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sheetId="1" state="visible" r:id="rId1"/>
    <sheet xmlns:r="http://schemas.openxmlformats.org/officeDocument/2006/relationships" name="Dashboard" sheetId="2" state="visible" r:id="rId2"/>
    <sheet xmlns:r="http://schemas.openxmlformats.org/officeDocument/2006/relationships" name="Project" sheetId="3" state="visible" r:id="rId3"/>
    <sheet xmlns:r="http://schemas.openxmlformats.org/officeDocument/2006/relationships" name="Q&amp;A" sheetId="4" state="visible" r:id="rId4"/>
    <sheet xmlns:r="http://schemas.openxmlformats.org/officeDocument/2006/relationships" name="Guides" sheetId="5" state="visible" r:id="rId5"/>
    <sheet xmlns:r="http://schemas.openxmlformats.org/officeDocument/2006/relationships" name="Reference" sheetId="6" state="visible" r:id="rId6"/>
    <sheet xmlns:r="http://schemas.openxmlformats.org/officeDocument/2006/relationships" name="Gate Review" sheetId="7" state="visible" r:id="rId7"/>
    <sheet xmlns:r="http://schemas.openxmlformats.org/officeDocument/2006/relationships" name="Gateways" sheetId="8" state="visible" r:id="rId8"/>
    <sheet xmlns:r="http://schemas.openxmlformats.org/officeDocument/2006/relationships" name="Compliance" sheetId="9" state="visible" r:id="rId9"/>
    <sheet xmlns:r="http://schemas.openxmlformats.org/officeDocument/2006/relationships" name="Risks" sheetId="10" state="visible" r:id="rId10"/>
    <sheet xmlns:r="http://schemas.openxmlformats.org/officeDocument/2006/relationships" name="Google Drive Map" sheetId="11" state="visible" r:id="rId11"/>
    <sheet xmlns:r="http://schemas.openxmlformats.org/officeDocument/2006/relationships" name="Rooms" sheetId="12" state="visible" r:id="rId12"/>
    <sheet xmlns:r="http://schemas.openxmlformats.org/officeDocument/2006/relationships" name="Selections" sheetId="13" state="visible" r:id="rId13"/>
    <sheet xmlns:r="http://schemas.openxmlformats.org/officeDocument/2006/relationships" name="Diary" sheetId="14" state="visible" r:id="rId14"/>
    <sheet xmlns:r="http://schemas.openxmlformats.org/officeDocument/2006/relationships" name="Photos" sheetId="15" state="visible" r:id="rId15"/>
    <sheet xmlns:r="http://schemas.openxmlformats.org/officeDocument/2006/relationships" name="Documents" sheetId="16" state="visible" r:id="rId16"/>
    <sheet xmlns:r="http://schemas.openxmlformats.org/officeDocument/2006/relationships" name="Tender Setup" sheetId="17" state="visible" r:id="rId17"/>
    <sheet xmlns:r="http://schemas.openxmlformats.org/officeDocument/2006/relationships" name="Tenders" sheetId="18" state="visible" r:id="rId18"/>
    <sheet xmlns:r="http://schemas.openxmlformats.org/officeDocument/2006/relationships" name="Packages" sheetId="19" state="visible" r:id="rId19"/>
    <sheet xmlns:r="http://schemas.openxmlformats.org/officeDocument/2006/relationships" name="Trades" sheetId="20" state="visible" r:id="rId20"/>
    <sheet xmlns:r="http://schemas.openxmlformats.org/officeDocument/2006/relationships" name="Payments" sheetId="21" state="visible" r:id="rId21"/>
    <sheet xmlns:r="http://schemas.openxmlformats.org/officeDocument/2006/relationships" name="Variations" sheetId="22" state="visible" r:id="rId22"/>
    <sheet xmlns:r="http://schemas.openxmlformats.org/officeDocument/2006/relationships" name="Certificates" sheetId="23" state="visible" r:id="rId23"/>
    <sheet xmlns:r="http://schemas.openxmlformats.org/officeDocument/2006/relationships" name="Settings" sheetId="24" state="visible" r:id="rId24"/>
    <sheet xmlns:r="http://schemas.openxmlformats.org/officeDocument/2006/relationships" name="Lists" sheetId="25" state="hidden" r:id="rId25"/>
  </sheets>
  <definedNames>
    <definedName name="_xlnm._FilterDatabase" localSheetId="3" hidden="1">'Q&amp;A'!$A$3:$C$42</definedName>
    <definedName name="_xlnm._FilterDatabase" localSheetId="4" hidden="1">'Guides'!$A$3:$E$18</definedName>
    <definedName name="_xlnm._FilterDatabase" localSheetId="6" hidden="1">'Gate Review'!$A$3:$P$11</definedName>
    <definedName name="_xlnm._FilterDatabase" localSheetId="7" hidden="1">'Gateways'!$A$3:$J$114</definedName>
    <definedName name="_xlnm._FilterDatabase" localSheetId="8" hidden="1">'Compliance'!$A$3:$M$79</definedName>
    <definedName name="_xlnm._FilterDatabase" localSheetId="9" hidden="1">'Risks'!$A$3:$K$63</definedName>
    <definedName name="_xlnm._FilterDatabase" localSheetId="11" hidden="1">'Rooms'!$A$3:$N$63</definedName>
    <definedName name="_xlnm._FilterDatabase" localSheetId="12" hidden="1">'Selections'!$A$3:$O$153</definedName>
    <definedName name="_xlnm._FilterDatabase" localSheetId="13" hidden="1">'Diary'!$A$3:$L$303</definedName>
    <definedName name="_xlnm._FilterDatabase" localSheetId="14" hidden="1">'Photos'!$A$3:$I$303</definedName>
    <definedName name="_xlnm._FilterDatabase" localSheetId="15" hidden="1">'Documents'!$A$3:$T$303</definedName>
    <definedName name="_xlnm._FilterDatabase" localSheetId="16" hidden="1">'Tender Setup'!$A$3:$P$33</definedName>
    <definedName name="_xlnm._FilterDatabase" localSheetId="17" hidden="1">'Tenders'!$A$3:$AF$103</definedName>
    <definedName name="_xlnm._FilterDatabase" localSheetId="18" hidden="1">'Packages'!$A$3:$T$33</definedName>
    <definedName name="_xlnm._FilterDatabase" localSheetId="19" hidden="1">'Trades'!$A$3:$AA$103</definedName>
    <definedName name="_xlnm._FilterDatabase" localSheetId="20" hidden="1">'Payments'!$A$3:$O$303</definedName>
    <definedName name="_xlnm._FilterDatabase" localSheetId="21" hidden="1">'Variations'!$A$3:$L$153</definedName>
    <definedName name="_xlnm._FilterDatabase" localSheetId="22" hidden="1">'Certificates'!$A$3:$M$51</definedName>
  </definedNames>
  <calcPr calcId="124519" fullCalcOnLoad="1"/>
</workbook>
</file>

<file path=xl/styles.xml><?xml version="1.0" encoding="utf-8"?>
<styleSheet xmlns="http://schemas.openxmlformats.org/spreadsheetml/2006/main">
  <numFmts count="5">
    <numFmt numFmtId="164" formatCode="&quot;$&quot;#,##0"/>
    <numFmt numFmtId="165" formatCode="d mmm yyyy"/>
    <numFmt numFmtId="166" formatCode="0.0"/>
    <numFmt numFmtId="167" formatCode="&quot;$&quot;#,##0;[Red](&quot;$&quot;#,##0)"/>
    <numFmt numFmtId="168" formatCode="&quot;$&quot;#,##0;[Red]-&quot;$&quot;#,##0"/>
  </numFmts>
  <fonts count="5">
    <font>
      <name val="Calibri"/>
      <family val="2"/>
      <color theme="1"/>
      <sz val="11"/>
      <scheme val="minor"/>
    </font>
    <font>
      <b val="1"/>
    </font>
    <font>
      <b val="1"/>
      <color rgb="000B6E8F"/>
      <sz val="16"/>
    </font>
    <font>
      <i val="1"/>
      <color rgb="005A6B7D"/>
    </font>
    <font>
      <b val="1"/>
      <color rgb="00FFFFFF"/>
    </font>
  </fonts>
  <fills count="8">
    <fill>
      <patternFill/>
    </fill>
    <fill>
      <patternFill patternType="gray125"/>
    </fill>
    <fill>
      <patternFill patternType="solid">
        <fgColor rgb="001A365D"/>
      </patternFill>
    </fill>
    <fill>
      <patternFill patternType="solid">
        <fgColor rgb="00FFFBE6"/>
      </patternFill>
    </fill>
    <fill>
      <patternFill patternType="solid">
        <fgColor rgb="002D5A8C"/>
      </patternFill>
    </fill>
    <fill>
      <patternFill patternType="solid">
        <fgColor rgb="00F1F4F7"/>
      </patternFill>
    </fill>
    <fill>
      <patternFill patternType="solid">
        <fgColor rgb="00FFF4D6"/>
      </patternFill>
    </fill>
    <fill>
      <patternFill patternType="solid">
        <fgColor rgb="00E8F1F6"/>
      </patternFill>
    </fill>
  </fills>
  <borders count="2">
    <border>
      <left/>
      <right/>
      <top/>
      <bottom/>
      <diagonal/>
    </border>
    <border>
      <bottom style="thin">
        <color rgb="00D5DDE5"/>
      </bottom>
    </border>
  </borders>
  <cellStyleXfs count="1">
    <xf numFmtId="0" fontId="0" fillId="0" borderId="0"/>
  </cellStyleXfs>
  <cellXfs count="40">
    <xf numFmtId="0" fontId="0"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0" fillId="2"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0" fillId="5" borderId="0" pivotButton="0" quotePrefix="0" xfId="0"/>
    <xf numFmtId="9" fontId="0" fillId="5" borderId="0" pivotButton="0" quotePrefix="0" xfId="0"/>
    <xf numFmtId="164" fontId="0" fillId="5" borderId="0" pivotButton="0" quotePrefix="0" xfId="0"/>
    <xf numFmtId="167" fontId="0" fillId="5" borderId="0" pivotButton="0" quotePrefix="0" xfId="0"/>
    <xf numFmtId="166" fontId="0" fillId="5" borderId="0" pivotButton="0" quotePrefix="0" xfId="0"/>
    <xf numFmtId="0" fontId="1" fillId="0" borderId="0" pivotButton="0" quotePrefix="0" xfId="0"/>
    <xf numFmtId="9" fontId="0" fillId="0" borderId="0" pivotButton="0" quotePrefix="0" xfId="0"/>
    <xf numFmtId="0" fontId="1" fillId="7" borderId="0" pivotButton="0" quotePrefix="0" xfId="0"/>
    <xf numFmtId="0" fontId="0" fillId="7" borderId="0" pivotButton="0" quotePrefix="0" xfId="0"/>
    <xf numFmtId="0" fontId="0" fillId="3" borderId="1" pivotButton="0" quotePrefix="0" xfId="0"/>
    <xf numFmtId="165" fontId="0" fillId="3" borderId="1" pivotButton="0" quotePrefix="0" xfId="0"/>
    <xf numFmtId="164" fontId="0" fillId="3" borderId="1" pivotButton="0" quotePrefix="0" xfId="0"/>
    <xf numFmtId="9" fontId="0" fillId="3" borderId="1" pivotButton="0" quotePrefix="0" xfId="0"/>
    <xf numFmtId="0" fontId="4" fillId="2" borderId="0" applyAlignment="1" pivotButton="0" quotePrefix="0" xfId="0">
      <alignment vertical="center" wrapText="1"/>
    </xf>
    <xf numFmtId="0" fontId="4" fillId="4" borderId="0" applyAlignment="1" pivotButton="0" quotePrefix="0" xfId="0">
      <alignment vertical="center" wrapText="1"/>
    </xf>
    <xf numFmtId="0" fontId="0" fillId="0" borderId="0" applyProtection="1" pivotButton="0" quotePrefix="0" xfId="0">
      <protection locked="0" hidden="0"/>
    </xf>
    <xf numFmtId="0" fontId="0" fillId="0" borderId="0" applyAlignment="1" applyProtection="1" pivotButton="0" quotePrefix="0" xfId="0">
      <alignment vertical="top" wrapText="1"/>
      <protection locked="0" hidden="0"/>
    </xf>
    <xf numFmtId="165" fontId="0" fillId="0" borderId="0" applyProtection="1" pivotButton="0" quotePrefix="0" xfId="0">
      <protection locked="0" hidden="0"/>
    </xf>
    <xf numFmtId="49" fontId="0" fillId="0" borderId="0" applyAlignment="1" pivotButton="0" quotePrefix="0" xfId="0">
      <alignment vertical="top" wrapText="1"/>
    </xf>
    <xf numFmtId="49" fontId="0" fillId="0" borderId="0" pivotButton="0" quotePrefix="0" xfId="0"/>
    <xf numFmtId="0" fontId="0" fillId="6" borderId="0" applyProtection="1" pivotButton="0" quotePrefix="0" xfId="0">
      <protection locked="0" hidden="0"/>
    </xf>
    <xf numFmtId="2" fontId="0" fillId="6" borderId="0" applyProtection="1" pivotButton="0" quotePrefix="0" xfId="0">
      <protection locked="0" hidden="0"/>
    </xf>
    <xf numFmtId="0" fontId="0" fillId="6" borderId="0" applyAlignment="1" applyProtection="1" pivotButton="0" quotePrefix="0" xfId="0">
      <alignment vertical="top" wrapText="1"/>
      <protection locked="0" hidden="0"/>
    </xf>
    <xf numFmtId="2" fontId="0" fillId="0" borderId="0" applyProtection="1" pivotButton="0" quotePrefix="0" xfId="0">
      <protection locked="0" hidden="0"/>
    </xf>
    <xf numFmtId="164" fontId="0" fillId="6" borderId="0" applyProtection="1" pivotButton="0" quotePrefix="0" xfId="0">
      <protection locked="0" hidden="0"/>
    </xf>
    <xf numFmtId="165" fontId="0" fillId="6" borderId="0" applyProtection="1" pivotButton="0" quotePrefix="0" xfId="0">
      <protection locked="0" hidden="0"/>
    </xf>
    <xf numFmtId="164" fontId="0" fillId="0" borderId="0" applyProtection="1" pivotButton="0" quotePrefix="0" xfId="0">
      <protection locked="0" hidden="0"/>
    </xf>
    <xf numFmtId="49" fontId="0" fillId="6" borderId="0" applyProtection="1" pivotButton="0" quotePrefix="0" xfId="0">
      <protection locked="0" hidden="0"/>
    </xf>
    <xf numFmtId="49" fontId="0" fillId="0" borderId="0" applyProtection="1" pivotButton="0" quotePrefix="0" xfId="0">
      <protection locked="0" hidden="0"/>
    </xf>
    <xf numFmtId="0" fontId="0" fillId="5" borderId="0" applyAlignment="1" pivotButton="0" quotePrefix="0" xfId="0">
      <alignment vertical="top" wrapText="1"/>
    </xf>
    <xf numFmtId="168" fontId="0" fillId="0" borderId="0" applyProtection="1" pivotButton="0" quotePrefix="0" xfId="0">
      <protection locked="0" hidden="0"/>
    </xf>
    <xf numFmtId="1" fontId="0" fillId="3" borderId="1" pivotButton="0" quotePrefix="0" xfId="0"/>
    <xf numFmtId="2" fontId="0" fillId="3" borderId="1" pivotButton="0" quotePrefix="0" xfId="0"/>
  </cellXfs>
  <cellStyles count="1">
    <cellStyle name="Normal" xfId="0" builtinId="0" hidden="0"/>
  </cellStyles>
  <dxfs count="3">
    <dxf>
      <fill>
        <patternFill patternType="solid">
          <fgColor rgb="00D4EDDA"/>
        </patternFill>
      </fill>
    </dxf>
    <dxf>
      <fill>
        <patternFill patternType="solid">
          <fgColor rgb="00FFE8B0"/>
        </patternFill>
      </fill>
    </dxf>
    <dxf>
      <fill>
        <patternFill patternType="solid">
          <fgColor rgb="00F8D7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styles" Target="styles.xml" Id="rId26"/><Relationship Type="http://schemas.openxmlformats.org/officeDocument/2006/relationships/theme" Target="theme/theme1.xml" Id="rId2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B6E8F"/>
    <outlinePr summaryBelow="1" summaryRight="1"/>
    <pageSetUpPr/>
  </sheetPr>
  <dimension ref="A1:B33"/>
  <sheetViews>
    <sheetView workbookViewId="0">
      <selection activeCell="A1" sqref="A1"/>
    </sheetView>
  </sheetViews>
  <sheetFormatPr baseColWidth="8" defaultRowHeight="15"/>
  <cols>
    <col width="22" customWidth="1" min="1" max="1"/>
    <col width="100" customWidth="1" min="2" max="2"/>
  </cols>
  <sheetData>
    <row r="1" ht="24" customHeight="1">
      <c r="A1" s="1" t="inlineStr">
        <is>
          <t>Owner Builder in a Box: Owner Workbook</t>
        </is>
      </c>
    </row>
    <row r="2">
      <c r="A2" s="2" t="inlineStr">
        <is>
          <t>Your whole owner-build in one spreadsheet. Works offline in Excel, Numbers, LibreOffice or Google Sheets (offline mode).</t>
        </is>
      </c>
    </row>
    <row r="3">
      <c r="A3" t="inlineStr">
        <is>
          <t>Includes Guides and common Q&amp;A for tracking your project efficiently</t>
        </is>
      </c>
    </row>
    <row r="4">
      <c r="A4" s="3" t="inlineStr">
        <is>
          <t>How it works</t>
        </is>
      </c>
      <c r="B4" s="4" t="n"/>
    </row>
    <row r="5">
      <c r="A5" s="5" t="inlineStr">
        <is>
          <t>Colours</t>
        </is>
      </c>
      <c r="B5" s="6" t="inlineStr">
        <is>
          <t>White cells are for you. Grey cells are calculated and locked so they can't be typed over by accident (Review &gt; Unprotect sheet if you need to; there's no password). Pale yellow rows are examples: delete them when you're ready (the Dashboard counts what's left).</t>
        </is>
      </c>
    </row>
    <row r="6">
      <c r="A6" s="5" t="inlineStr">
        <is>
          <t>Start here</t>
        </is>
      </c>
      <c r="B6" s="6" t="inlineStr">
        <is>
          <t>1. Fill in the Project tab.  2. Set your budgets on Packages.  3. Work through Compliance and Gateways from G0.  4. Log everything else as it happens.</t>
        </is>
      </c>
    </row>
    <row r="7">
      <c r="A7" s="5" t="inlineStr">
        <is>
          <t>Files</t>
        </is>
      </c>
      <c r="B7" s="6" t="inlineStr">
        <is>
          <t>Documents live in Google Drive, not in the workbook. Register each one on the Documents tab: it builds a Doc ID (e.g. 02-DWG-012), the file name to use, and the Drive folder to save it in. Paste the Drive link once it's uploaded.
Share documents, photos and tender documents with trades and others as needed. (recommend to use suggested naming conventions for files)</t>
        </is>
      </c>
    </row>
    <row r="8">
      <c r="A8" s="5" t="inlineStr">
        <is>
          <t>Offline</t>
        </is>
      </c>
      <c r="B8" s="6" t="inlineStr">
        <is>
          <t>Excel / Numbers / LibreOffice: open this file and work. With Google Drive / Dropbox / Onedrive for desktop the project folder is on your computer too, so you can save files offline and they sync later. Google Sheets: turn on Drive &gt; Settings &gt; Offline, or in the Sheets app tap ⋮ &gt; Make available offline. The Apps Script menu needs a connection.</t>
        </is>
      </c>
    </row>
    <row r="9">
      <c r="A9" s="5" t="inlineStr">
        <is>
          <t>Folder links</t>
        </is>
      </c>
      <c r="B9" s="6" t="inlineStr">
        <is>
          <t>The Open links work with Google Drive, Dropbox, OneDrive or SharePoint: paste each folder's link (Share &gt; Copy link) into the Google Drive Map tab. Working offline on a computer, paste the local folder path instead and it opens without internet.</t>
        </is>
      </c>
    </row>
    <row r="10">
      <c r="A10" s="5" t="inlineStr">
        <is>
          <t>Google Sheets fast set-up</t>
        </is>
      </c>
      <c r="B10" s="6" t="inlineStr">
        <is>
          <t>Upload this file to Drive, open it, then File &gt; Save as Google Sheets. Then Extensions &gt; Apps Script, paste in Code.gs, save and reload. A new Owner Builder menu appears: Set up Drive folders creates the folder tree for this build and links every folder path in the workbook.</t>
        </is>
      </c>
    </row>
    <row r="11">
      <c r="A11" s="5" t="inlineStr">
        <is>
          <t>Need more rows?</t>
        </is>
      </c>
      <c r="B11" s="6" t="inlineStr">
        <is>
          <t>Each tab has room for hundreds of entries. If you run out, unprotect the sheet and copy the last row down so the formulas come too. The Dashboard warns if anything is typed below the last formula row.</t>
        </is>
      </c>
    </row>
    <row r="12">
      <c r="A12" s="3" t="inlineStr">
        <is>
          <t>Tabs</t>
        </is>
      </c>
      <c r="B12" s="4" t="n"/>
    </row>
    <row r="13">
      <c r="A13" s="5" t="inlineStr">
        <is>
          <t>Dashboard</t>
        </is>
      </c>
      <c r="B13" s="6" t="inlineStr">
        <is>
          <t>Current gateway, money, compliance progress and everything that needs attention.</t>
        </is>
      </c>
    </row>
    <row r="14">
      <c r="A14" s="5" t="inlineStr">
        <is>
          <t>Project</t>
        </is>
      </c>
      <c r="B14" s="6" t="inlineStr">
        <is>
          <t>Address, title, owners, budget, permits, site classification.</t>
        </is>
      </c>
    </row>
    <row r="15">
      <c r="A15" s="5" t="inlineStr">
        <is>
          <t>Guides / Q&amp;A / Reference</t>
        </is>
      </c>
      <c r="B15" s="6" t="inlineStr">
        <is>
          <t>Buying guides, plain-English answers and key numbers from Owner Builder in a Box. Read-only.</t>
        </is>
      </c>
    </row>
    <row r="16">
      <c r="A16" s="5" t="inlineStr">
        <is>
          <t>Gate Review</t>
        </is>
      </c>
      <c r="B16" s="6" t="inlineStr">
        <is>
          <t>G0 to G7: progress against entry, deliverables and exit checks, with your Go / Hold / Stop decision.</t>
        </is>
      </c>
    </row>
    <row r="17">
      <c r="A17" s="5" t="inlineStr">
        <is>
          <t>Gateways</t>
        </is>
      </c>
      <c r="B17" s="6" t="inlineStr">
        <is>
          <t>Every entry criterion, deliverable and exit check for each gate.</t>
        </is>
      </c>
    </row>
    <row r="18">
      <c r="A18" s="5" t="inlineStr">
        <is>
          <t>Compliance</t>
        </is>
      </c>
      <c r="B18" s="6" t="inlineStr">
        <is>
          <t>The 11-stage Victorian owner-builder checklist, with the folder to file the evidence in.</t>
        </is>
      </c>
    </row>
    <row r="19">
      <c r="A19" s="5" t="inlineStr">
        <is>
          <t>Risks</t>
        </is>
      </c>
      <c r="B19" s="6" t="inlineStr">
        <is>
          <t>Starter risk register with likelihood × impact ratings.</t>
        </is>
      </c>
    </row>
    <row r="20">
      <c r="A20" s="5" t="inlineStr">
        <is>
          <t>Google Drive Map</t>
        </is>
      </c>
      <c r="B20" s="6" t="inlineStr">
        <is>
          <t>The folder tree, what goes in each folder, the file naming rules, and the folder links.</t>
        </is>
      </c>
    </row>
    <row r="21">
      <c r="A21" s="5" t="inlineStr">
        <is>
          <t>Rooms</t>
        </is>
      </c>
      <c r="B21" s="6" t="inlineStr">
        <is>
          <t>Room sizes give floor area, paint area, skirting length and tile quantities. Area type keeps garages and outdoor areas out of the paint and skirting figures.</t>
        </is>
      </c>
    </row>
    <row r="22">
      <c r="A22" s="5" t="inlineStr">
        <is>
          <t>Selections</t>
        </is>
      </c>
      <c r="B22" s="6" t="inlineStr">
        <is>
          <t>Every product decision: spec, supplier, price, status.</t>
        </is>
      </c>
    </row>
    <row r="23">
      <c r="A23" s="5" t="inlineStr">
        <is>
          <t>Diary</t>
        </is>
      </c>
      <c r="B23" s="6" t="inlineStr">
        <is>
          <t>Site diary, plan notes, instructions to trades, defects, questions for the building surveyor.</t>
        </is>
      </c>
    </row>
    <row r="24">
      <c r="A24" s="5" t="inlineStr">
        <is>
          <t>Photos</t>
        </is>
      </c>
      <c r="B24" s="6" t="inlineStr">
        <is>
          <t>Log of site photos, especially before anything is covered.</t>
        </is>
      </c>
    </row>
    <row r="25">
      <c r="A25" s="5" t="inlineStr">
        <is>
          <t>Documents</t>
        </is>
      </c>
      <c r="B25" s="6" t="inlineStr">
        <is>
          <t>The register of every file in Google Drive, with Doc IDs and file names.</t>
        </is>
      </c>
    </row>
    <row r="26">
      <c r="A26" s="5" t="inlineStr">
        <is>
          <t>Tender Setup / Tenders</t>
        </is>
      </c>
      <c r="B26" s="6" t="inlineStr">
        <is>
          <t>Quote comparison: compliance gates, price levelling, weighted scoring and a recommendation per package.</t>
        </is>
      </c>
    </row>
    <row r="27">
      <c r="A27" s="5" t="inlineStr">
        <is>
          <t>Packages</t>
        </is>
      </c>
      <c r="B27" s="6" t="inlineStr">
        <is>
          <t>20 trade packages: budget, committed, paid and forecast.</t>
        </is>
      </c>
    </row>
    <row r="28">
      <c r="A28" s="5" t="inlineStr">
        <is>
          <t>Trades</t>
        </is>
      </c>
      <c r="B28" s="6" t="inlineStr">
        <is>
          <t>Contacts, licences, insurance, SWMS, contracts, deposit checks, expiry alerts.</t>
        </is>
      </c>
    </row>
    <row r="29">
      <c r="A29" s="5" t="inlineStr">
        <is>
          <t>Variations / Payments</t>
        </is>
      </c>
      <c r="B29" s="6" t="inlineStr">
        <is>
          <t>Written variations and every invoice. They feed the Packages costs.</t>
        </is>
      </c>
    </row>
    <row r="30">
      <c r="A30" s="5" t="inlineStr">
        <is>
          <t>Certificates</t>
        </is>
      </c>
      <c r="B30" s="6" t="inlineStr">
        <is>
          <t>Mandatory inspections and the certificates needed for the final inspection.</t>
        </is>
      </c>
    </row>
    <row r="31">
      <c r="A31" s="5" t="inlineStr">
        <is>
          <t>Settings</t>
        </is>
      </c>
      <c r="B31" s="6" t="inlineStr">
        <is>
          <t>The legal thresholds and rules behind the checks (deposit caps, contract, warranty and consent thresholds, warning days). Update them here when the law changes.</t>
        </is>
      </c>
    </row>
    <row r="32">
      <c r="A32" s="3" t="inlineStr">
        <is>
          <t>Important</t>
        </is>
      </c>
      <c r="B32" s="4" t="n"/>
    </row>
    <row r="33">
      <c r="A33" s="5" t="inlineStr">
        <is>
          <t>Not advice</t>
        </is>
      </c>
      <c r="B33" s="6" t="inlineStr">
        <is>
          <t>General information only. It is not legal, financial or building advice. Always confirm current requirements with the Building and Plumbing Commission (BPC), your relevant building surveyor, your council and WorkSafe Victoria. Victorian rules checked September 2026.</t>
        </is>
      </c>
    </row>
  </sheetData>
  <sheetProtection selectLockedCells="0" selectUnlockedCells="0" sheet="1" objects="0" insertRows="0" insertHyperlinks="0" autoFilter="0" scenarios="0" formatColumns="0" deleteColumns="1" insertColumns="1" pivotTables="1" deleteRows="0" formatCells="0" formatRows="0" sort="0"/>
  <pageMargins left="0.75" right="0.75" top="1" bottom="1" header="0.5" footer="0.5"/>
</worksheet>
</file>

<file path=xl/worksheets/sheet2.xml><?xml version="1.0" encoding="utf-8"?>
<worksheet xmlns="http://schemas.openxmlformats.org/spreadsheetml/2006/main">
  <sheetPr>
    <tabColor rgb="000B6E8F"/>
    <outlinePr summaryBelow="1" summaryRight="1"/>
    <pageSetUpPr/>
  </sheetPr>
  <dimension ref="A1:F72"/>
  <sheetViews>
    <sheetView workbookViewId="0">
      <selection activeCell="A1" sqref="A1"/>
    </sheetView>
  </sheetViews>
  <sheetFormatPr baseColWidth="8" defaultRowHeight="15"/>
  <cols>
    <col width="34" customWidth="1" min="1" max="1"/>
    <col width="16" customWidth="1" min="2" max="2"/>
    <col width="12" customWidth="1" min="3" max="3"/>
    <col width="12" customWidth="1" min="4" max="4"/>
    <col width="12" customWidth="1" min="5" max="5"/>
    <col width="40" customWidth="1" min="6" max="6"/>
  </cols>
  <sheetData>
    <row r="1" ht="24" customHeight="1">
      <c r="A1" s="1" t="inlineStr">
        <is>
          <t>Dashboard</t>
        </is>
      </c>
    </row>
    <row r="2">
      <c r="A2" s="2" t="inlineStr">
        <is>
          <t>Where the build is up to. Everything here is calculated; change the other tabs, not this one.</t>
        </is>
      </c>
    </row>
    <row r="4">
      <c r="A4" s="3" t="inlineStr">
        <is>
          <t>Project</t>
        </is>
      </c>
      <c r="B4" s="4" t="n"/>
      <c r="C4" s="4" t="n"/>
      <c r="D4" s="4" t="n"/>
      <c r="E4" s="4" t="n"/>
      <c r="F4" s="4" t="n"/>
    </row>
    <row r="5">
      <c r="A5" t="inlineStr">
        <is>
          <t>Project</t>
        </is>
      </c>
      <c r="B5" s="7">
        <f>IF(Project!$B$5="","(name it on the Project tab)",Project!$B$5)</f>
        <v/>
      </c>
    </row>
    <row r="6">
      <c r="A6" t="inlineStr">
        <is>
          <t>Current gateway</t>
        </is>
      </c>
      <c r="B6" s="7">
        <f>Project!$B$12&amp;" "&amp;IFERROR(INDEX('Gate Review'!$B$4:$B$11,MATCH(Project!$B$12,'Gate Review'!$A$4:$A$11,0)),"")</f>
        <v/>
      </c>
    </row>
    <row r="7">
      <c r="A7" t="inlineStr">
        <is>
          <t>Exit checks done at this gate</t>
        </is>
      </c>
      <c r="B7" s="8">
        <f>IFERROR(INDEX('Gate Review'!$H$4:$H$11,MATCH(Project!$B$12,'Gate Review'!$A$4:$A$11,0)),"")</f>
        <v/>
      </c>
    </row>
    <row r="8">
      <c r="A8" t="inlineStr">
        <is>
          <t>Ready to pass?</t>
        </is>
      </c>
      <c r="B8" s="7">
        <f>IFERROR(INDEX('Gate Review'!$I$4:$I$11,MATCH(Project!$B$12,'Gate Review'!$A$4:$A$11,0)),"")</f>
        <v/>
      </c>
    </row>
    <row r="10">
      <c r="A10" s="3" t="inlineStr">
        <is>
          <t>Money</t>
        </is>
      </c>
      <c r="B10" s="4" t="n"/>
      <c r="C10" s="4" t="n"/>
      <c r="D10" s="4" t="n"/>
      <c r="E10" s="4" t="n"/>
      <c r="F10" s="4" t="n"/>
    </row>
    <row r="11">
      <c r="A11" t="inlineStr">
        <is>
          <t>Total budget</t>
        </is>
      </c>
      <c r="B11" s="9">
        <f>N(Project!$B$16)</f>
        <v/>
      </c>
    </row>
    <row r="12">
      <c r="A12" t="inlineStr">
        <is>
          <t>Contingency in the budget</t>
        </is>
      </c>
      <c r="B12" s="9">
        <f>B11*N(Project!$B$17)</f>
        <v/>
      </c>
    </row>
    <row r="13">
      <c r="A13" t="inlineStr">
        <is>
          <t>Allocated to packages</t>
        </is>
      </c>
      <c r="B13" s="9">
        <f>SUM('Packages'!$H$4:$H$33)</f>
        <v/>
      </c>
      <c r="F13" s="2" t="inlineStr">
        <is>
          <t>Sum of Packages budgets. Should be about the total budget less contingency.</t>
        </is>
      </c>
    </row>
    <row r="14">
      <c r="A14" t="inlineStr">
        <is>
          <t>Committed (contracts + approved variations)</t>
        </is>
      </c>
      <c r="B14" s="9">
        <f>SUM('Packages'!$K$4:$K$33)</f>
        <v/>
      </c>
    </row>
    <row r="15">
      <c r="A15" t="inlineStr">
        <is>
          <t>Committed as % of package budgets</t>
        </is>
      </c>
      <c r="B15" s="8">
        <f>IF(B13=0,"",B14/B13)</f>
        <v/>
      </c>
      <c r="F15" s="2" t="inlineStr">
        <is>
          <t>G3 exit check: compare with the target on Settings before going to site.</t>
        </is>
      </c>
    </row>
    <row r="16">
      <c r="A16" t="inlineStr">
        <is>
          <t>G3 target</t>
        </is>
      </c>
      <c r="B16" s="8">
        <f>Settings!$B$14</f>
        <v/>
      </c>
    </row>
    <row r="17">
      <c r="A17" t="inlineStr">
        <is>
          <t>Spent to date (paid)</t>
        </is>
      </c>
      <c r="B17" s="9">
        <f>SUMIFS('Payments'!$F$4:$F$303,'Payments'!$K$4:$K$303,"Yes")</f>
        <v/>
      </c>
    </row>
    <row r="18">
      <c r="A18" t="inlineStr">
        <is>
          <t>Budget used</t>
        </is>
      </c>
      <c r="B18" s="8">
        <f>IF(B11=0,"",B17/B11)</f>
        <v/>
      </c>
    </row>
    <row r="19">
      <c r="A19" t="inlineStr">
        <is>
          <t>Forecast final cost</t>
        </is>
      </c>
      <c r="B19" s="9">
        <f>SUM('Packages'!$N$4:$N$33)</f>
        <v/>
      </c>
    </row>
    <row r="20">
      <c r="A20" t="inlineStr">
        <is>
          <t>Forecast under / (over) total budget</t>
        </is>
      </c>
      <c r="B20" s="10">
        <f>B11-B19</f>
        <v/>
      </c>
    </row>
    <row r="21">
      <c r="A21" t="inlineStr">
        <is>
          <t>Selections total</t>
        </is>
      </c>
      <c r="B21" s="9">
        <f>SUM('Selections'!$I$4:$I$153)</f>
        <v/>
      </c>
    </row>
    <row r="23">
      <c r="A23" s="3" t="inlineStr">
        <is>
          <t>Takeoffs (Rooms tab)</t>
        </is>
      </c>
      <c r="B23" s="4" t="n"/>
      <c r="C23" s="4" t="n"/>
      <c r="D23" s="4" t="n"/>
      <c r="E23" s="4" t="n"/>
      <c r="F23" s="4" t="n"/>
    </row>
    <row r="24">
      <c r="A24" t="inlineStr">
        <is>
          <t>Internal floor area (m²)</t>
        </is>
      </c>
      <c r="B24" s="11">
        <f>SUMIFS('Rooms'!$G$4:$G$63,'Rooms'!$C$4:$C$63,"&lt;&gt;Garage",'Rooms'!$C$4:$C$63,"&lt;&gt;External")</f>
        <v/>
      </c>
      <c r="F24" s="2" t="inlineStr">
        <is>
          <t>Blank area type counts as internal.</t>
        </is>
      </c>
    </row>
    <row r="25">
      <c r="A25" t="inlineStr">
        <is>
          <t>Garage floor area (m²)</t>
        </is>
      </c>
      <c r="B25" s="11">
        <f>SUMIFS('Rooms'!$G$4:$G$63,'Rooms'!$C$4:$C$63,"Garage")</f>
        <v/>
      </c>
    </row>
    <row r="26">
      <c r="A26" t="inlineStr">
        <is>
          <t>External areas (m²)</t>
        </is>
      </c>
      <c r="B26" s="11">
        <f>SUMIFS('Rooms'!$G$4:$G$63,'Rooms'!$C$4:$C$63,"External")</f>
        <v/>
      </c>
      <c r="F26" s="2" t="inlineStr">
        <is>
          <t>Driveways, paving, decks.</t>
        </is>
      </c>
    </row>
    <row r="27">
      <c r="A27" t="inlineStr">
        <is>
          <t>Wall paint, one coat (m²)</t>
        </is>
      </c>
      <c r="B27" s="11">
        <f>SUM('Rooms'!$I$4:$I$63)</f>
        <v/>
      </c>
    </row>
    <row r="28">
      <c r="A28" t="inlineStr">
        <is>
          <t>Skirting (m)</t>
        </is>
      </c>
      <c r="B28" s="11">
        <f>SUM('Rooms'!$H$4:$H$63)</f>
        <v/>
      </c>
    </row>
    <row r="29">
      <c r="A29" t="inlineStr">
        <is>
          <t>Floor covering incl. waste (m²)</t>
        </is>
      </c>
      <c r="B29" s="11">
        <f>SUM('Rooms'!$J$4:$J$63)</f>
        <v/>
      </c>
    </row>
    <row r="31">
      <c r="A31" s="3" t="inlineStr">
        <is>
          <t>Compliance by stage</t>
        </is>
      </c>
      <c r="B31" s="3" t="inlineStr">
        <is>
          <t>Items</t>
        </is>
      </c>
      <c r="C31" s="3" t="inlineStr">
        <is>
          <t>N/A</t>
        </is>
      </c>
      <c r="D31" s="3" t="inlineStr">
        <is>
          <t>Done</t>
        </is>
      </c>
      <c r="E31" s="3" t="inlineStr">
        <is>
          <t>% done</t>
        </is>
      </c>
      <c r="F31" s="4" t="n"/>
    </row>
    <row r="32">
      <c r="A32" t="inlineStr">
        <is>
          <t>1. Eligibility</t>
        </is>
      </c>
      <c r="B32" s="7">
        <f>COUNTIFS('Compliance'!$B$4:$B$79,$A32)</f>
        <v/>
      </c>
      <c r="C32" s="7">
        <f>COUNTIFS('Compliance'!$B$4:$B$79,$A32,'Compliance'!$G$4:$G$79,"N/A")</f>
        <v/>
      </c>
      <c r="D32" s="7">
        <f>COUNTIFS('Compliance'!$B$4:$B$79,$A32,'Compliance'!$G$4:$G$79,"Done")</f>
        <v/>
      </c>
      <c r="E32" s="8">
        <f>IF(B32-C32=0,"",D32/(B32-C32))</f>
        <v/>
      </c>
    </row>
    <row r="33">
      <c r="A33" t="inlineStr">
        <is>
          <t>2. Certificate of consent</t>
        </is>
      </c>
      <c r="B33" s="7">
        <f>COUNTIFS('Compliance'!$B$4:$B$79,$A33)</f>
        <v/>
      </c>
      <c r="C33" s="7">
        <f>COUNTIFS('Compliance'!$B$4:$B$79,$A33,'Compliance'!$G$4:$G$79,"N/A")</f>
        <v/>
      </c>
      <c r="D33" s="7">
        <f>COUNTIFS('Compliance'!$B$4:$B$79,$A33,'Compliance'!$G$4:$G$79,"Done")</f>
        <v/>
      </c>
      <c r="E33" s="8">
        <f>IF(B33-C33=0,"",D33/(B33-C33))</f>
        <v/>
      </c>
    </row>
    <row r="34">
      <c r="A34" t="inlineStr">
        <is>
          <t>3. Site, planning &amp; design</t>
        </is>
      </c>
      <c r="B34" s="7">
        <f>COUNTIFS('Compliance'!$B$4:$B$79,$A34)</f>
        <v/>
      </c>
      <c r="C34" s="7">
        <f>COUNTIFS('Compliance'!$B$4:$B$79,$A34,'Compliance'!$G$4:$G$79,"N/A")</f>
        <v/>
      </c>
      <c r="D34" s="7">
        <f>COUNTIFS('Compliance'!$B$4:$B$79,$A34,'Compliance'!$G$4:$G$79,"Done")</f>
        <v/>
      </c>
      <c r="E34" s="8">
        <f>IF(B34-C34=0,"",D34/(B34-C34))</f>
        <v/>
      </c>
    </row>
    <row r="35">
      <c r="A35" t="inlineStr">
        <is>
          <t>4. Building permit &amp; pre-start</t>
        </is>
      </c>
      <c r="B35" s="7">
        <f>COUNTIFS('Compliance'!$B$4:$B$79,$A35)</f>
        <v/>
      </c>
      <c r="C35" s="7">
        <f>COUNTIFS('Compliance'!$B$4:$B$79,$A35,'Compliance'!$G$4:$G$79,"N/A")</f>
        <v/>
      </c>
      <c r="D35" s="7">
        <f>COUNTIFS('Compliance'!$B$4:$B$79,$A35,'Compliance'!$G$4:$G$79,"Done")</f>
        <v/>
      </c>
      <c r="E35" s="8">
        <f>IF(B35-C35=0,"",D35/(B35-C35))</f>
        <v/>
      </c>
    </row>
    <row r="36">
      <c r="A36" t="inlineStr">
        <is>
          <t>5. Health &amp; safety (WorkSafe Victoria)</t>
        </is>
      </c>
      <c r="B36" s="7">
        <f>COUNTIFS('Compliance'!$B$4:$B$79,$A36)</f>
        <v/>
      </c>
      <c r="C36" s="7">
        <f>COUNTIFS('Compliance'!$B$4:$B$79,$A36,'Compliance'!$G$4:$G$79,"N/A")</f>
        <v/>
      </c>
      <c r="D36" s="7">
        <f>COUNTIFS('Compliance'!$B$4:$B$79,$A36,'Compliance'!$G$4:$G$79,"Done")</f>
        <v/>
      </c>
      <c r="E36" s="8">
        <f>IF(B36-C36=0,"",D36/(B36-C36))</f>
        <v/>
      </c>
    </row>
    <row r="37">
      <c r="A37" t="inlineStr">
        <is>
          <t>6. Insurance</t>
        </is>
      </c>
      <c r="B37" s="7">
        <f>COUNTIFS('Compliance'!$B$4:$B$79,$A37)</f>
        <v/>
      </c>
      <c r="C37" s="7">
        <f>COUNTIFS('Compliance'!$B$4:$B$79,$A37,'Compliance'!$G$4:$G$79,"N/A")</f>
        <v/>
      </c>
      <c r="D37" s="7">
        <f>COUNTIFS('Compliance'!$B$4:$B$79,$A37,'Compliance'!$G$4:$G$79,"Done")</f>
        <v/>
      </c>
      <c r="E37" s="8">
        <f>IF(B37-C37=0,"",D37/(B37-C37))</f>
        <v/>
      </c>
    </row>
    <row r="38">
      <c r="A38" t="inlineStr">
        <is>
          <t>7. Engaging trades</t>
        </is>
      </c>
      <c r="B38" s="7">
        <f>COUNTIFS('Compliance'!$B$4:$B$79,$A38)</f>
        <v/>
      </c>
      <c r="C38" s="7">
        <f>COUNTIFS('Compliance'!$B$4:$B$79,$A38,'Compliance'!$G$4:$G$79,"N/A")</f>
        <v/>
      </c>
      <c r="D38" s="7">
        <f>COUNTIFS('Compliance'!$B$4:$B$79,$A38,'Compliance'!$G$4:$G$79,"Done")</f>
        <v/>
      </c>
      <c r="E38" s="8">
        <f>IF(B38-C38=0,"",D38/(B38-C38))</f>
        <v/>
      </c>
    </row>
    <row r="39">
      <c r="A39" t="inlineStr">
        <is>
          <t>8. During construction</t>
        </is>
      </c>
      <c r="B39" s="7">
        <f>COUNTIFS('Compliance'!$B$4:$B$79,$A39)</f>
        <v/>
      </c>
      <c r="C39" s="7">
        <f>COUNTIFS('Compliance'!$B$4:$B$79,$A39,'Compliance'!$G$4:$G$79,"N/A")</f>
        <v/>
      </c>
      <c r="D39" s="7">
        <f>COUNTIFS('Compliance'!$B$4:$B$79,$A39,'Compliance'!$G$4:$G$79,"Done")</f>
        <v/>
      </c>
      <c r="E39" s="8">
        <f>IF(B39-C39=0,"",D39/(B39-C39))</f>
        <v/>
      </c>
    </row>
    <row r="40">
      <c r="A40" t="inlineStr">
        <is>
          <t>9. Completion &amp; occupancy</t>
        </is>
      </c>
      <c r="B40" s="7">
        <f>COUNTIFS('Compliance'!$B$4:$B$79,$A40)</f>
        <v/>
      </c>
      <c r="C40" s="7">
        <f>COUNTIFS('Compliance'!$B$4:$B$79,$A40,'Compliance'!$G$4:$G$79,"N/A")</f>
        <v/>
      </c>
      <c r="D40" s="7">
        <f>COUNTIFS('Compliance'!$B$4:$B$79,$A40,'Compliance'!$G$4:$G$79,"Done")</f>
        <v/>
      </c>
      <c r="E40" s="8">
        <f>IF(B40-C40=0,"",D40/(B40-C40))</f>
        <v/>
      </c>
    </row>
    <row r="41">
      <c r="A41" t="inlineStr">
        <is>
          <t>10. Records &amp; selling</t>
        </is>
      </c>
      <c r="B41" s="7">
        <f>COUNTIFS('Compliance'!$B$4:$B$79,$A41)</f>
        <v/>
      </c>
      <c r="C41" s="7">
        <f>COUNTIFS('Compliance'!$B$4:$B$79,$A41,'Compliance'!$G$4:$G$79,"N/A")</f>
        <v/>
      </c>
      <c r="D41" s="7">
        <f>COUNTIFS('Compliance'!$B$4:$B$79,$A41,'Compliance'!$G$4:$G$79,"Done")</f>
        <v/>
      </c>
      <c r="E41" s="8">
        <f>IF(B41-C41=0,"",D41/(B41-C41))</f>
        <v/>
      </c>
    </row>
    <row r="42">
      <c r="A42" t="inlineStr">
        <is>
          <t>11. Finance &amp; tax</t>
        </is>
      </c>
      <c r="B42" s="7">
        <f>COUNTIFS('Compliance'!$B$4:$B$79,$A42)</f>
        <v/>
      </c>
      <c r="C42" s="7">
        <f>COUNTIFS('Compliance'!$B$4:$B$79,$A42,'Compliance'!$G$4:$G$79,"N/A")</f>
        <v/>
      </c>
      <c r="D42" s="7">
        <f>COUNTIFS('Compliance'!$B$4:$B$79,$A42,'Compliance'!$G$4:$G$79,"Done")</f>
        <v/>
      </c>
      <c r="E42" s="8">
        <f>IF(B42-C42=0,"",D42/(B42-C42))</f>
        <v/>
      </c>
    </row>
    <row r="43">
      <c r="A43" s="12" t="inlineStr">
        <is>
          <t>All stages</t>
        </is>
      </c>
      <c r="B43" s="12">
        <f>SUM(B32:B42)</f>
        <v/>
      </c>
      <c r="C43" s="12">
        <f>SUM(C32:C42)</f>
        <v/>
      </c>
      <c r="D43" s="12">
        <f>SUM(D32:D42)</f>
        <v/>
      </c>
      <c r="E43" s="13">
        <f>IF(B43-C43=0,"",D43/(B43-C43))</f>
        <v/>
      </c>
    </row>
    <row r="45">
      <c r="A45" s="3" t="inlineStr">
        <is>
          <t>Needs attention</t>
        </is>
      </c>
      <c r="B45" s="3" t="inlineStr">
        <is>
          <t>Count</t>
        </is>
      </c>
      <c r="C45" s="4" t="n"/>
      <c r="D45" s="4" t="n"/>
      <c r="E45" s="4" t="n"/>
      <c r="F45" s="4" t="n"/>
    </row>
    <row r="46">
      <c r="A46" t="inlineStr">
        <is>
          <t>Entries past the pre-filled rows (not counted!)</t>
        </is>
      </c>
      <c r="B46" s="7">
        <f>COUNTA('Gateways'!$A$115:$J$1114)+COUNTA('Compliance'!$A$80:$M$1079)+COUNTA('Rooms'!$A$64:$N$1063)+COUNTA('Selections'!$A$154:$O$1153)+COUNTA('Diary'!$A$304:$L$1303)+COUNTA('Photos'!$A$304:$I$1303)+COUNTA('Documents'!$A$304:$T$1303)+COUNTA('Packages'!$A$34:$T$1033)+COUNTA('Trades'!$A$104:$AA$1103)+COUNTA('Tenders'!$A$104:$AF$1103)+COUNTA('Variations'!$A$154:$L$1153)+COUNTA('Payments'!$A$304:$O$1303)+COUNTA('Certificates'!$A$52:$M$1051)+COUNTA('Risks'!$A$64:$K$1063)</f>
        <v/>
      </c>
      <c r="F46" s="2" t="inlineStr">
        <is>
          <t>Something was typed below the last formula row. Unprotect the sheet and copy the last row down to extend it.</t>
        </is>
      </c>
    </row>
    <row r="47">
      <c r="A47" t="inlineStr">
        <is>
          <t>Go decisions with exit checks open</t>
        </is>
      </c>
      <c r="B47" s="7">
        <f>COUNTIF('Gate Review'!$K$4:$K$11,"?*")</f>
        <v/>
      </c>
      <c r="F47" s="2" t="inlineStr">
        <is>
          <t>Gate Review tab</t>
        </is>
      </c>
    </row>
    <row r="48">
      <c r="A48" t="inlineStr">
        <is>
          <t>Earlier gates without a Go decision</t>
        </is>
      </c>
      <c r="B48" s="7">
        <f>SUMPRODUCT(('Gate Review'!$A$4:$A$11&lt;Project!$B$12)*('Gate Review'!$J$4:$J$11&lt;&gt;"Go"))</f>
        <v/>
      </c>
      <c r="F48" s="2" t="inlineStr">
        <is>
          <t>Gates before the current gateway on the Project tab.</t>
        </is>
      </c>
    </row>
    <row r="49">
      <c r="A49" t="inlineStr">
        <is>
          <t>Certificate of consent needed, no number recorded</t>
        </is>
      </c>
      <c r="B49" s="7">
        <f>IF(AND(N(Project!$B$16)&gt;Settings!$B$9,Project!$B$20=""),1,0)</f>
        <v/>
      </c>
      <c r="F49" s="2" t="inlineStr">
        <is>
          <t>Budget is over the consent threshold on Settings.</t>
        </is>
      </c>
    </row>
    <row r="50">
      <c r="A50" t="inlineStr">
        <is>
          <t>Principal contractor needed, not done</t>
        </is>
      </c>
      <c r="B50" s="7">
        <f>IF(AND(N(Project!$B$16)&gt;=Settings!$B$10,COUNTIFS('Compliance'!$A$4:$A$79,"oh-pc",'Compliance'!$G$4:$G$79,"Done")=0),1,0)</f>
        <v/>
      </c>
      <c r="F50" s="2" t="inlineStr">
        <is>
          <t>Budget is at or over the principal contractor threshold (Compliance oh-pc).</t>
        </is>
      </c>
    </row>
    <row r="51">
      <c r="A51" t="inlineStr">
        <is>
          <t>Trade paperwork expired</t>
        </is>
      </c>
      <c r="B51" s="7">
        <f>COUNTIF('Trades'!$W$4:$W$103,"Expired")</f>
        <v/>
      </c>
      <c r="F51" s="2" t="inlineStr">
        <is>
          <t>Trades tab: licence or insurance past its expiry date.</t>
        </is>
      </c>
    </row>
    <row r="52">
      <c r="A52" t="inlineStr">
        <is>
          <t>Trade paperwork expiring soon</t>
        </is>
      </c>
      <c r="B52" s="7">
        <f>COUNTIF('Trades'!$W$4:$W$103,"Expires*")</f>
        <v/>
      </c>
      <c r="F52" s="2" t="inlineStr">
        <is>
          <t>Ask for new certificates of currency now.</t>
        </is>
      </c>
    </row>
    <row r="53">
      <c r="A53" t="inlineStr">
        <is>
          <t>Trade dates typed as text or missing</t>
        </is>
      </c>
      <c r="B53" s="7">
        <f>COUNTIF('Trades'!$W$4:$W$103,"Check date*")+COUNTIF('Trades'!$W$4:$W$103,"Missing*")</f>
        <v/>
      </c>
      <c r="F53" s="2" t="inlineStr">
        <is>
          <t>A date typed as text can't be checked for expiry.</t>
        </is>
      </c>
    </row>
    <row r="54">
      <c r="A54" t="inlineStr">
        <is>
          <t>Trade contract checks to look at</t>
        </is>
      </c>
      <c r="B54" s="7">
        <f>COUNTIF('Trades'!$X$4:$X$103,"?*")</f>
        <v/>
      </c>
      <c r="F54" s="2" t="inlineStr">
        <is>
          <t>Trades tab: duplicates, registration and home warranty.</t>
        </is>
      </c>
    </row>
    <row r="55">
      <c r="A55" t="inlineStr">
        <is>
          <t>Deposits over the statutory cap</t>
        </is>
      </c>
      <c r="B55" s="7">
        <f>COUNTIF('Trades'!$V$4:$V$103,"Over statutory cap")</f>
        <v/>
      </c>
      <c r="F55" s="2" t="inlineStr">
        <is>
          <t>Caps and threshold are on Settings.</t>
        </is>
      </c>
    </row>
    <row r="56">
      <c r="A56" t="inlineStr">
        <is>
          <t>Quotes needing a look</t>
        </is>
      </c>
      <c r="B56" s="7">
        <f>COUNTIF('Tenders'!$AC$4:$AC$103,"?*")</f>
        <v/>
      </c>
      <c r="F56" s="2" t="inlineStr">
        <is>
          <t>Tenders tab: Check column.</t>
        </is>
      </c>
    </row>
    <row r="57">
      <c r="A57" t="inlineStr">
        <is>
          <t>Tender packages tied for 1st</t>
        </is>
      </c>
      <c r="B57" s="7">
        <f>COUNTIF('Tender Setup'!$K$4:$K$33,"Tie*")</f>
        <v/>
      </c>
      <c r="F57" s="2" t="inlineStr">
        <is>
          <t>Tender Setup tab</t>
        </is>
      </c>
    </row>
    <row r="58">
      <c r="A58" t="inlineStr">
        <is>
          <t>Documents with problems</t>
        </is>
      </c>
      <c r="B58" s="7">
        <f>COUNTIF('Documents'!$R$4:$R$303,"?*")</f>
        <v/>
      </c>
      <c r="F58" s="2" t="inlineStr">
        <is>
          <t>Documents tab: Check column.</t>
        </is>
      </c>
    </row>
    <row r="59">
      <c r="A59" t="inlineStr">
        <is>
          <t>Packages with naming problems</t>
        </is>
      </c>
      <c r="B59" s="7">
        <f>COUNTIF('Packages'!$Q$4:$Q$33,"?*")</f>
        <v/>
      </c>
      <c r="F59" s="2" t="inlineStr">
        <is>
          <t>Packages tab: names must start with their No.</t>
        </is>
      </c>
    </row>
    <row r="60">
      <c r="A60" t="inlineStr">
        <is>
          <t>Rooms with sizes typed as text</t>
        </is>
      </c>
      <c r="B60" s="7">
        <f>COUNTIF('Rooms'!$L$4:$L$63,"?*")</f>
        <v/>
      </c>
    </row>
    <row r="61">
      <c r="A61" t="inlineStr">
        <is>
          <t>Invoices charging GST from unregistered trades</t>
        </is>
      </c>
      <c r="B61" s="7">
        <f>COUNTIF('Payments'!$I$4:$I$303,"GST charged, not registered")</f>
        <v/>
      </c>
    </row>
    <row r="62">
      <c r="A62" t="inlineStr">
        <is>
          <t>Unpaid invoices</t>
        </is>
      </c>
      <c r="B62" s="7">
        <f>COUNTIFS('Payments'!$F$4:$F$303,"&gt;0",'Payments'!$K$4:$K$303,"&lt;&gt;Yes")</f>
        <v/>
      </c>
    </row>
    <row r="63">
      <c r="A63" t="inlineStr">
        <is>
          <t>Open defects</t>
        </is>
      </c>
      <c r="B63" s="7">
        <f>COUNTIFS('Diary'!$B$4:$B$303,"Defect",'Diary'!$J$4:$J$303,"&lt;&gt;Yes")</f>
        <v/>
      </c>
      <c r="F63" s="2" t="inlineStr">
        <is>
          <t>Diary tab</t>
        </is>
      </c>
    </row>
    <row r="64">
      <c r="A64" t="inlineStr">
        <is>
          <t>Open questions for the building surveyor</t>
        </is>
      </c>
      <c r="B64" s="7">
        <f>COUNTIFS('Diary'!$B$4:$B$303,"Question for RBS",'Diary'!$J$4:$J$303,"&lt;&gt;Yes")</f>
        <v/>
      </c>
      <c r="F64" s="2" t="inlineStr">
        <is>
          <t>Diary tab</t>
        </is>
      </c>
    </row>
    <row r="65">
      <c r="A65" t="inlineStr">
        <is>
          <t>Pending variations</t>
        </is>
      </c>
      <c r="B65" s="7">
        <f>COUNTIF('Variations'!$I$4:$I$153,"Pending")</f>
        <v/>
      </c>
      <c r="F65" s="2" t="inlineStr">
        <is>
          <t>Don't let work start before the price is agreed.</t>
        </is>
      </c>
    </row>
    <row r="66">
      <c r="A66" t="inlineStr">
        <is>
          <t>Selections still to choose</t>
        </is>
      </c>
      <c r="B66" s="7">
        <f>COUNTIF('Selections'!$J$4:$J$153,"To choose")</f>
        <v/>
      </c>
      <c r="F66" s="2" t="inlineStr">
        <is>
          <t>All selections must be locked before G6.</t>
        </is>
      </c>
    </row>
    <row r="67">
      <c r="A67" t="inlineStr">
        <is>
          <t>Packages forecast over budget</t>
        </is>
      </c>
      <c r="B67" s="7">
        <f>COUNTIF('Packages'!$P$4:$P$33,"Over budget")</f>
        <v/>
      </c>
      <c r="F67" s="2" t="inlineStr">
        <is>
          <t>By more than the margin on Settings.</t>
        </is>
      </c>
    </row>
    <row r="68">
      <c r="A68" t="inlineStr">
        <is>
          <t>Tender weights that don't add to 100</t>
        </is>
      </c>
      <c r="B68" s="7">
        <f>SUMPRODUCT(('Tender Setup'!$A$4:$A$33&lt;&gt;"")*('Tender Setup'!$I$4:$I$33&lt;&gt;100))</f>
        <v/>
      </c>
      <c r="F68" s="2" t="inlineStr">
        <is>
          <t>Tender Setup tab</t>
        </is>
      </c>
    </row>
    <row r="69">
      <c r="A69" t="inlineStr">
        <is>
          <t>Must-have certificates not yet passed</t>
        </is>
      </c>
      <c r="B69" s="7">
        <f>COUNTIFS('Certificates'!$G$4:$G$51,"Must",'Certificates'!$J$4:$J$51,"&lt;&gt;Pass")</f>
        <v/>
      </c>
      <c r="F69" s="2" t="inlineStr">
        <is>
          <t>Certificates tab. Needed before the final inspection.</t>
        </is>
      </c>
    </row>
    <row r="70">
      <c r="A70" t="inlineStr">
        <is>
          <t>High risks still open</t>
        </is>
      </c>
      <c r="B70" s="7">
        <f>COUNTIFS('Risks'!$F$4:$F$63,"High",'Risks'!$I$4:$I$63,"&lt;&gt;Closed")</f>
        <v/>
      </c>
    </row>
    <row r="71">
      <c r="A71" t="inlineStr">
        <is>
          <t>Duplicate Doc IDs</t>
        </is>
      </c>
      <c r="B71" s="7">
        <f>SUMPRODUCT(('Documents'!$F$4:$F$303&lt;&gt;"")*(COUNTIF('Documents'!$F$4:$F$303,'Documents'!$F$4:$F$303)&gt;1))</f>
        <v/>
      </c>
      <c r="F71" s="2" t="inlineStr">
        <is>
          <t>Documents tab: rows sharing a Doc ID. Should be 0.</t>
        </is>
      </c>
    </row>
    <row r="72">
      <c r="A72" t="inlineStr">
        <is>
          <t>Example rows still in the workbook</t>
        </is>
      </c>
      <c r="B72" s="7">
        <f>COUNTIF('Rooms'!$N$4:$N$63,"EXAMPLE: delete this row")+COUNTIF('Selections'!$O$4:$O$153,"EXAMPLE: delete this row")+COUNTIF('Diary'!$L$4:$L$303,"EXAMPLE: delete this row")+COUNTIF('Photos'!$I$4:$I$303,"EXAMPLE: delete this row")+COUNTIF('Documents'!$T$4:$T$303,"EXAMPLE: delete this row")+COUNTIF('Trades'!$AA$4:$AA$103,"EXAMPLE: delete this row")+COUNTIF('Tenders'!$AF$4:$AF$103,"EXAMPLE: delete this row")+COUNTIF('Payments'!$O$4:$O$303,"EXAMPLE: delete this row")</f>
        <v/>
      </c>
      <c r="F72" s="2" t="inlineStr">
        <is>
          <t>Delete them once you've seen how each tab works.</t>
        </is>
      </c>
    </row>
  </sheetData>
  <sheetProtection selectLockedCells="0" selectUnlockedCells="0" sheet="1" objects="0" insertRows="0" insertHyperlinks="0" autoFilter="0" scenarios="0" formatColumns="0" deleteColumns="1" insertColumns="1" pivotTables="1" deleteRows="0" formatCells="0" formatRows="0" sort="0"/>
  <conditionalFormatting sqref="E32:E43">
    <cfRule type="cellIs" priority="1" operator="equal" dxfId="0">
      <formula>1</formula>
    </cfRule>
  </conditionalFormatting>
  <conditionalFormatting sqref="B46:B72">
    <cfRule type="cellIs" priority="2" operator="notEqual" dxfId="1">
      <formula>0</formula>
    </cfRule>
  </conditionalFormatting>
  <pageMargins left="0.75" right="0.75" top="1" bottom="1" header="0.5" footer="0.5"/>
</worksheet>
</file>

<file path=xl/worksheets/sheet3.xml><?xml version="1.0" encoding="utf-8"?>
<worksheet xmlns="http://schemas.openxmlformats.org/spreadsheetml/2006/main">
  <sheetPr>
    <tabColor rgb="000B6E8F"/>
    <outlinePr summaryBelow="1" summaryRight="1"/>
    <pageSetUpPr/>
  </sheetPr>
  <dimension ref="A1:C30"/>
  <sheetViews>
    <sheetView workbookViewId="0">
      <selection activeCell="A1" sqref="A1"/>
    </sheetView>
  </sheetViews>
  <sheetFormatPr baseColWidth="8" defaultRowHeight="15"/>
  <cols>
    <col width="32" customWidth="1" min="1" max="1"/>
    <col width="46" customWidth="1" min="2" max="2"/>
    <col width="50" customWidth="1" min="3" max="3"/>
  </cols>
  <sheetData>
    <row r="1" ht="24" customHeight="1">
      <c r="A1" s="1" t="inlineStr">
        <is>
          <t>Project</t>
        </is>
      </c>
    </row>
    <row r="2">
      <c r="A2" s="2" t="inlineStr">
        <is>
          <t>The basics, always at hand. Yellow cells are yours to fill in.</t>
        </is>
      </c>
    </row>
    <row r="4">
      <c r="A4" s="14" t="inlineStr">
        <is>
          <t>Project</t>
        </is>
      </c>
      <c r="B4" s="15" t="n"/>
      <c r="C4" t="inlineStr">
        <is>
          <t>Notes</t>
        </is>
      </c>
    </row>
    <row r="5">
      <c r="A5" t="inlineStr">
        <is>
          <t>Project name</t>
        </is>
      </c>
      <c r="B5" s="16" t="n"/>
    </row>
    <row r="6">
      <c r="A6" t="inlineStr">
        <is>
          <t>Site address</t>
        </is>
      </c>
      <c r="B6" s="16" t="n"/>
    </row>
    <row r="7">
      <c r="A7" t="inlineStr">
        <is>
          <t>Lot / plan of subdivision</t>
        </is>
      </c>
      <c r="B7" s="16" t="n"/>
    </row>
    <row r="8">
      <c r="A8" t="inlineStr">
        <is>
          <t>Title volume / folio</t>
        </is>
      </c>
      <c r="B8" s="16" t="n"/>
    </row>
    <row r="9">
      <c r="A9" t="inlineStr">
        <is>
          <t>Owner-builder(s)</t>
        </is>
      </c>
      <c r="B9" s="16" t="n"/>
    </row>
    <row r="10">
      <c r="A10" t="inlineStr">
        <is>
          <t>Phone</t>
        </is>
      </c>
      <c r="B10" s="16" t="n"/>
    </row>
    <row r="11">
      <c r="A11" t="inlineStr">
        <is>
          <t>Email</t>
        </is>
      </c>
      <c r="B11" s="16" t="n"/>
    </row>
    <row r="12">
      <c r="A12" t="inlineStr">
        <is>
          <t>Current gateway</t>
        </is>
      </c>
      <c r="B12" s="16" t="inlineStr">
        <is>
          <t>G0</t>
        </is>
      </c>
    </row>
    <row r="13">
      <c r="A13" t="inlineStr">
        <is>
          <t>Target start</t>
        </is>
      </c>
      <c r="B13" s="17" t="n"/>
    </row>
    <row r="14">
      <c r="A14" t="inlineStr">
        <is>
          <t>Target finish</t>
        </is>
      </c>
      <c r="B14" s="17" t="n"/>
    </row>
    <row r="15">
      <c r="A15" s="14" t="inlineStr">
        <is>
          <t>Money</t>
        </is>
      </c>
      <c r="B15" s="15" t="n"/>
    </row>
    <row r="16">
      <c r="A16" t="inlineStr">
        <is>
          <t>Total budget inc GST ($)</t>
        </is>
      </c>
      <c r="B16" s="18" t="n"/>
    </row>
    <row r="17">
      <c r="A17" t="inlineStr">
        <is>
          <t>Contingency (%)</t>
        </is>
      </c>
      <c r="B17" s="19" t="n">
        <v>0.12</v>
      </c>
      <c r="C17" s="2" t="inlineStr">
        <is>
          <t>10–15% is typical. Owner-builders often underestimate site works, services and finishes.</t>
        </is>
      </c>
    </row>
    <row r="18">
      <c r="A18" t="inlineStr">
        <is>
          <t>Lender</t>
        </is>
      </c>
      <c r="B18" s="16" t="n"/>
    </row>
    <row r="19">
      <c r="A19" s="14" t="inlineStr">
        <is>
          <t>Approvals</t>
        </is>
      </c>
      <c r="B19" s="15" t="n"/>
    </row>
    <row r="20">
      <c r="A20" t="inlineStr">
        <is>
          <t>Certificate of consent no.</t>
        </is>
      </c>
      <c r="B20" s="16" t="n"/>
    </row>
    <row r="21">
      <c r="A21" t="inlineStr">
        <is>
          <t>Relevant building surveyor</t>
        </is>
      </c>
      <c r="B21" s="16" t="n"/>
    </row>
    <row r="22">
      <c r="A22" t="inlineStr">
        <is>
          <t>Building permit no.</t>
        </is>
      </c>
      <c r="B22" s="16" t="n"/>
    </row>
    <row r="23">
      <c r="A23" t="inlineStr">
        <is>
          <t>Planning permit no. (if any)</t>
        </is>
      </c>
      <c r="B23" s="16" t="n"/>
    </row>
    <row r="24">
      <c r="A24" s="14" t="inlineStr">
        <is>
          <t>Site &amp; design</t>
        </is>
      </c>
      <c r="B24" s="15" t="n"/>
    </row>
    <row r="25">
      <c r="A25" t="inlineStr">
        <is>
          <t>Soil classification (AS 2870)</t>
        </is>
      </c>
      <c r="B25" s="16" t="n"/>
    </row>
    <row r="26">
      <c r="A26" t="inlineStr">
        <is>
          <t>Wind classification</t>
        </is>
      </c>
      <c r="B26" s="16" t="n"/>
    </row>
    <row r="27">
      <c r="A27" t="inlineStr">
        <is>
          <t>BAL rating (if bushfire prone)</t>
        </is>
      </c>
      <c r="B27" s="16" t="n"/>
    </row>
    <row r="28">
      <c r="A28" t="inlineStr">
        <is>
          <t>Energy rating (stars)</t>
        </is>
      </c>
      <c r="B28" s="16" t="n"/>
    </row>
    <row r="29">
      <c r="A29" s="14" t="inlineStr">
        <is>
          <t>Google Drive</t>
        </is>
      </c>
      <c r="B29" s="15" t="n"/>
    </row>
    <row r="30">
      <c r="A30" t="inlineStr">
        <is>
          <t>Project folder link</t>
        </is>
      </c>
      <c r="B30" s="16" t="n"/>
      <c r="C30" s="2" t="inlineStr">
        <is>
          <t>Paste your project folder link (any provider), or let Owner Builder &gt; Set up Drive folders fill it in Google Sheets.</t>
        </is>
      </c>
    </row>
  </sheetData>
  <dataValidations count="1">
    <dataValidation sqref="B12" showDropDown="0" showInputMessage="0" showErrorMessage="0" allowBlank="1" error="Pick a value from the list." type="list" errorStyle="warning">
      <formula1>=Lists!$A$2:$A$9</formula1>
    </dataValidation>
  </dataValidations>
  <pageMargins left="0.75" right="0.75" top="1" bottom="1" header="0.5" footer="0.5"/>
</worksheet>
</file>

<file path=xl/worksheets/sheet4.xml><?xml version="1.0" encoding="utf-8"?>
<worksheet xmlns="http://schemas.openxmlformats.org/spreadsheetml/2006/main">
  <sheetPr>
    <tabColor rgb="008A9BAE"/>
    <outlinePr summaryBelow="1" summaryRight="1"/>
    <pageSetUpPr/>
  </sheetPr>
  <dimension ref="A1:C42"/>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24" customWidth="1" min="1" max="1"/>
    <col width="44" customWidth="1" min="2" max="2"/>
    <col width="100" customWidth="1" min="3" max="3"/>
  </cols>
  <sheetData>
    <row r="1" ht="24" customHeight="1">
      <c r="A1" s="1" t="inlineStr">
        <is>
          <t>Owner-builder Q&amp;A (Victoria)</t>
        </is>
      </c>
    </row>
    <row r="2">
      <c r="A2" s="2" t="inlineStr">
        <is>
          <t>Plain-English answers, grouped by topic. Read-only. General information, checked September 2026, not legal advice.</t>
        </is>
      </c>
    </row>
    <row r="3">
      <c r="A3" s="3" t="inlineStr">
        <is>
          <t>Topic</t>
        </is>
      </c>
      <c r="B3" s="3" t="inlineStr">
        <is>
          <t>Question</t>
        </is>
      </c>
      <c r="C3" s="3" t="inlineStr">
        <is>
          <t>Answer</t>
        </is>
      </c>
    </row>
    <row r="4">
      <c r="A4" s="6" t="inlineStr">
        <is>
          <t>Getting started</t>
        </is>
      </c>
      <c r="B4" s="6" t="inlineStr">
        <is>
          <t>What is an owner-builder?</t>
        </is>
      </c>
      <c r="C4" s="6" t="inlineStr">
        <is>
          <t>An owner-builder is a landowner who takes legal responsibility for domestic building work on their own land, instead of engaging a registered builder to manage the whole job. You take on the builder's responsibilities: quality, compliance, safety, and coordinating and paying trades. You can do some work yourself and hire trades for the rest.</t>
        </is>
      </c>
    </row>
    <row r="5">
      <c r="A5" s="6" t="inlineStr">
        <is>
          <t>Getting started</t>
        </is>
      </c>
      <c r="B5" s="6" t="inlineStr">
        <is>
          <t>Do I have to do the building work myself?</t>
        </is>
      </c>
      <c r="C5" s="6" t="inlineStr">
        <is>
          <t>No. Most owner-builders act as project manager and engage trades for most of the work. You can do the non-licensed work yourself if you're capable, such as some carpentry, painting or landscaping. Plumbing, gasfitting and electrical work must always be done by licensed practitioners.</t>
        </is>
      </c>
    </row>
    <row r="6">
      <c r="A6" s="6" t="inlineStr">
        <is>
          <t>Getting started</t>
        </is>
      </c>
      <c r="B6" s="6" t="inlineStr">
        <is>
          <t>How much can I really save?</t>
        </is>
      </c>
      <c r="C6" s="6" t="inlineStr">
        <is>
          <t>A builder's margin and overheads are commonly 15–25% of the build cost. Realistic owner-builder savings are often 10–20% after allowing for your time, mistakes, higher finance costs and missed trade discounts. Savings come from managing well, not just from cutting out the builder.</t>
        </is>
      </c>
    </row>
    <row r="7">
      <c r="A7" s="6" t="inlineStr">
        <is>
          <t>Getting started</t>
        </is>
      </c>
      <c r="B7" s="6" t="inlineStr">
        <is>
          <t>How long does an owner-build take?</t>
        </is>
      </c>
      <c r="C7" s="6" t="inlineStr">
        <is>
          <t>Plan on 18–24 months from idea to occupancy for a typical new home. That's roughly 6–11 months of design, approvals and procurement, then 9–13 months on site. Owner-builders working part-time usually take longer. See the gateways program.</t>
        </is>
      </c>
    </row>
    <row r="8">
      <c r="A8" s="6" t="inlineStr">
        <is>
          <t>Getting started</t>
        </is>
      </c>
      <c r="B8" s="6" t="inlineStr">
        <is>
          <t>What skills do I need?</t>
        </is>
      </c>
      <c r="C8" s="6" t="inlineStr">
        <is>
          <t>Organisation matters more than trade skills. You'll be reading plans, scheduling, negotiating, checking quality, managing money and paperwork, and keeping people safe. If you run projects or a household budget well, you're most of the way there. Owner Builder in a Box fills in the rest.</t>
        </is>
      </c>
    </row>
    <row r="9">
      <c r="A9" s="6" t="inlineStr">
        <is>
          <t>Eligibility &amp; certificate of consent</t>
        </is>
      </c>
      <c r="B9" s="6" t="inlineStr">
        <is>
          <t>When do I need a certificate of consent?</t>
        </is>
      </c>
      <c r="C9" s="6" t="inlineStr">
        <is>
          <t>When the value of the domestic building work is over $20,000 (it was $16,000 before 1 July 2026). Value means labour plus materials plus GST, including a market value for your own labour. Below that you can owner-build without consent, but you still need any building permit the work requires.</t>
        </is>
      </c>
    </row>
    <row r="10">
      <c r="A10" s="6" t="inlineStr">
        <is>
          <t>Eligibility &amp; certificate of consent</t>
        </is>
      </c>
      <c r="B10" s="6" t="inlineStr">
        <is>
          <t>Who is eligible?</t>
        </is>
      </c>
      <c r="C10" s="6" t="inlineStr">
        <is>
          <t>• You own the land, or you're a director of the owning company or a beneficiary of the owning trust
• The work is for a single dwelling (or ancillary to it)
• You live in it, or intend to (not required for a small second dwelling)
• You're not in the business of building
• No owner-builder permit in the past 5 years (with exceptions)
• You've passed the BPC eLearning assessment and done construction induction training
See the eligibility checklist.</t>
        </is>
      </c>
    </row>
    <row r="11">
      <c r="A11" s="6" t="inlineStr">
        <is>
          <t>Eligibility &amp; certificate of consent</t>
        </is>
      </c>
      <c r="B11" s="6" t="inlineStr">
        <is>
          <t>What is the eLearning assessment?</t>
        </is>
      </c>
      <c r="C11" s="6" t="inlineStr">
        <is>
          <t>A free online course and assessment run by the Building and Plumbing Commission. It covers your legal responsibilities, safety, contracts and the building process, and takes about 2–3 hours. You need a pass before applying for consent.</t>
        </is>
      </c>
    </row>
    <row r="12">
      <c r="A12" s="6" t="inlineStr">
        <is>
          <t>Eligibility &amp; certificate of consent</t>
        </is>
      </c>
      <c r="B12" s="6" t="inlineStr">
        <is>
          <t>Can I owner-build again within five years?</t>
        </is>
      </c>
      <c r="C12" s="6" t="inlineStr">
        <is>
          <t>Generally not on a different property. The exceptions are further work on the same home, building a small second dwelling, or an exemption granted by the BPC for special circumstances such as a substantial change in circumstances or hardship.</t>
        </is>
      </c>
    </row>
    <row r="13">
      <c r="A13" s="6" t="inlineStr">
        <is>
          <t>Eligibility &amp; certificate of consent</t>
        </is>
      </c>
      <c r="B13" s="6" t="inlineStr">
        <is>
          <t>Can I owner-build if my partner and I own the land together?</t>
        </is>
      </c>
      <c r="C13" s="6" t="inlineStr">
        <is>
          <t>Yes. Each owner-builder named needs to meet the requirements. The five-year rule also looks at people you co-own, or have co-owned, property with, so check both your histories.</t>
        </is>
      </c>
    </row>
    <row r="14">
      <c r="A14" s="6" t="inlineStr">
        <is>
          <t>Eligibility &amp; certificate of consent</t>
        </is>
      </c>
      <c r="B14" s="6" t="inlineStr">
        <is>
          <t>Can I owner-build a house to sell or rent out?</t>
        </is>
      </c>
      <c r="C14" s="6" t="inlineStr">
        <is>
          <t>Owner-builder consent is for a home you live in or intend to live in, apart from a small second dwelling. Building to sell or rent can put you "in the business of building", which requires registration.</t>
        </is>
      </c>
    </row>
    <row r="15">
      <c r="A15" s="6" t="inlineStr">
        <is>
          <t>Eligibility &amp; certificate of consent</t>
        </is>
      </c>
      <c r="B15" s="6" t="inlineStr">
        <is>
          <t>Who regulates owner-builders now: the VBA or the BPC?</t>
        </is>
      </c>
      <c r="C15" s="6" t="inlineStr">
        <is>
          <t>The Building and Plumbing Commission (BPC). It replaced the Victorian Building Authority, and from 1 July 2026 it also absorbed domestic building insurance (formerly VMIA) and dispute resolution (formerly DBDRV). Older guides and forms may still say VBA.</t>
        </is>
      </c>
    </row>
    <row r="16">
      <c r="A16" s="6" t="inlineStr">
        <is>
          <t>Permits &amp; inspections</t>
        </is>
      </c>
      <c r="B16" s="6" t="inlineStr">
        <is>
          <t>Do I need a planning permit and a building permit?</t>
        </is>
      </c>
      <c r="C16" s="6" t="inlineStr">
        <is>
          <t>You always need a building permit for a new home. You need a planning permit only if your zone or overlays require one, for example heritage, bushfire, flood, vegetation or some neighbourhood character controls. Check your Planning Property Report on VicPlan, and ask council if you're unsure.</t>
        </is>
      </c>
    </row>
    <row r="17">
      <c r="A17" s="6" t="inlineStr">
        <is>
          <t>Permits &amp; inspections</t>
        </is>
      </c>
      <c r="B17" s="6" t="inlineStr">
        <is>
          <t>Who issues the building permit?</t>
        </is>
      </c>
      <c r="C17" s="6" t="inlineStr">
        <is>
          <t>A relevant building surveyor (RBS) that you appoint. It can be a private surveyor or the council's. They assess your plans, issue the permit, carry out the mandatory inspections and issue the occupancy permit or certificate of final inspection.</t>
        </is>
      </c>
    </row>
    <row r="18">
      <c r="A18" s="6" t="inlineStr">
        <is>
          <t>Permits &amp; inspections</t>
        </is>
      </c>
      <c r="B18" s="6" t="inlineStr">
        <is>
          <t>What inspections are mandatory?</t>
        </is>
      </c>
      <c r="C18" s="6" t="inlineStr">
        <is>
          <t>Usually before pouring footings, before pouring the slab, at frame stage and at final. Your permit may add more, such as a pre-plaster or a retaining wall inspection. You must notify the RBS at each stage and not cover work before it's inspected.</t>
        </is>
      </c>
    </row>
    <row r="19">
      <c r="A19" s="6" t="inlineStr">
        <is>
          <t>Permits &amp; inspections</t>
        </is>
      </c>
      <c r="B19" s="6" t="inlineStr">
        <is>
          <t>What documents does the surveyor need at the end?</t>
        </is>
      </c>
      <c r="C19" s="6" t="inlineStr">
        <is>
          <t>Typically: plumbing compliance certificates, Certificate of Electrical Safety, waterproofing, termite and glazing certificates, insulation and energy compliance, smoke alarm certificate, and engineer sign-offs where required. Collect them as each trade finishes and don't release final payment until you have them.</t>
        </is>
      </c>
    </row>
    <row r="20">
      <c r="A20" s="6" t="inlineStr">
        <is>
          <t>Permits &amp; inspections</t>
        </is>
      </c>
      <c r="B20" s="6" t="inlineStr">
        <is>
          <t>What is an occupancy permit and why does it matter?</t>
        </is>
      </c>
      <c r="C20" s="6" t="inlineStr">
        <is>
          <t>It's the RBS confirming a new home is suitable to live in. It's an offence to occupy a new dwelling without one, and your lender and insurer will ask for it.</t>
        </is>
      </c>
    </row>
    <row r="21">
      <c r="A21" s="6" t="inlineStr">
        <is>
          <t>Permits &amp; inspections</t>
        </is>
      </c>
      <c r="B21" s="6" t="inlineStr">
        <is>
          <t>What does the 7-star energy rating mean for me?</t>
        </is>
      </c>
      <c r="C21" s="6" t="inlineStr">
        <is>
          <t>New Victorian homes must meet NCC 2022 energy efficiency: a 7-star NatHERS thermal rating plus a whole-of-home energy budget covering appliances, hot water and solar. Your energy assessor's report sets the insulation, glazing and fixed appliances, so buy exactly what it says.</t>
        </is>
      </c>
    </row>
    <row r="22">
      <c r="A22" s="6" t="inlineStr">
        <is>
          <t>Permits &amp; inspections</t>
        </is>
      </c>
      <c r="B22" s="6" t="inlineStr">
        <is>
          <t>Can I change the design during construction?</t>
        </is>
      </c>
      <c r="C22" s="6" t="inlineStr">
        <is>
          <t>Minor non-structural changes are usually fine. Anything affecting structure, siting, fire safety or energy compliance needs an amended permit from your RBS before you build it.</t>
        </is>
      </c>
    </row>
    <row r="23">
      <c r="A23" s="6" t="inlineStr">
        <is>
          <t>Trades &amp; contracts</t>
        </is>
      </c>
      <c r="B23" s="6" t="inlineStr">
        <is>
          <t>Do my trades need to be registered?</t>
        </is>
      </c>
      <c r="C23" s="6" t="inlineStr">
        <is>
          <t>Plumbers and gasfitters must be BPC licensed or registered, and electricians must be licensed by Energy Safe Victoria, regardless of job size. For other domestic building work over $10,000, the trade generally needs to be a registered domestic builder with a written major domestic building contract, with some single-trade exemptions. An increase in that threshold to $20,000 has been proposed.</t>
        </is>
      </c>
    </row>
    <row r="24">
      <c r="A24" s="6" t="inlineStr">
        <is>
          <t>Trades &amp; contracts</t>
        </is>
      </c>
      <c r="B24" s="6" t="inlineStr">
        <is>
          <t>How many quotes should I get?</t>
        </is>
      </c>
      <c r="C24" s="6" t="inlineStr">
        <is>
          <t>Three is the minimum per package. Five for big packages like slab, frame and roof. Send every tenderer the same RFQ pack so the prices are comparable, then level and score them with the tender tool.</t>
        </is>
      </c>
    </row>
    <row r="25">
      <c r="A25" s="6" t="inlineStr">
        <is>
          <t>Trades &amp; contracts</t>
        </is>
      </c>
      <c r="B25" s="6" t="inlineStr">
        <is>
          <t>Should I always pick the cheapest quote?</t>
        </is>
      </c>
      <c r="C25" s="6" t="inlineStr">
        <is>
          <t>No. Level the quotes first by adding the cost of exclusions and normalising provisional sums. Then weigh price against experience, availability, quality and communication. A quote well below the others usually means something is missing from the scope.</t>
        </is>
      </c>
    </row>
    <row r="26">
      <c r="A26" s="6" t="inlineStr">
        <is>
          <t>Trades &amp; contracts</t>
        </is>
      </c>
      <c r="B26" s="6" t="inlineStr">
        <is>
          <t>How much deposit can a trade ask for?</t>
        </is>
      </c>
      <c r="C26" s="6" t="inlineStr">
        <is>
          <t>Under a major domestic building contract: no more than 10% if the contract price is under $20,000, and 5% if it's $20,000 or more. For smaller trade jobs, keep deposits minimal. Pay for completed, inspected work, not in advance.</t>
        </is>
      </c>
    </row>
    <row r="27">
      <c r="A27" s="6" t="inlineStr">
        <is>
          <t>Trades &amp; contracts</t>
        </is>
      </c>
      <c r="B27" s="6" t="inlineStr">
        <is>
          <t>What should be in a trade contract?</t>
        </is>
      </c>
      <c r="C27" s="6" t="inlineStr">
        <is>
          <t>Scope tied to drawing revisions, inclusions and exclusions, price and GST, program, payment milestones, variations in writing, defects period, insurance, SWMS and site rules, and compliance certificates required before final payment. See the must-have clauses.</t>
        </is>
      </c>
    </row>
    <row r="28">
      <c r="A28" s="6" t="inlineStr">
        <is>
          <t>Trades &amp; contracts</t>
        </is>
      </c>
      <c r="B28" s="6" t="inlineStr">
        <is>
          <t>What if a trade does defective work?</t>
        </is>
      </c>
      <c r="C28" s="6" t="inlineStr">
        <is>
          <t>Document it with photos, notify them in writing with a reasonable time to fix, and meet on site. If it's unresolved, use the BPC's domestic building dispute resolution, then VCAT. Statutory warranties under the Domestic Building Contracts Act protect you.</t>
        </is>
      </c>
    </row>
    <row r="29">
      <c r="A29" s="6" t="inlineStr">
        <is>
          <t>Trades &amp; contracts</t>
        </is>
      </c>
      <c r="B29" s="6" t="inlineStr">
        <is>
          <t>Can I hire workers directly and pay them wages?</t>
        </is>
      </c>
      <c r="C29" s="6" t="inlineStr">
        <is>
          <t>You can, but then you're an employer, with obligations for WorkCover insurance, superannuation, PAYG, awards and OHS. Most owner-builders engage trades as contractors with their own ABN and insurance.</t>
        </is>
      </c>
    </row>
    <row r="30">
      <c r="A30" s="6" t="inlineStr">
        <is>
          <t>Money &amp; finance</t>
        </is>
      </c>
      <c r="B30" s="6" t="inlineStr">
        <is>
          <t>Will a bank lend to an owner-builder?</t>
        </is>
      </c>
      <c r="C30" s="6" t="inlineStr">
        <is>
          <t>Some will, often with a lower maximum loan-to-value ratio, a detailed costing, fixed-price quotes, and progress draws released only after a valuer inspects each stage. Talk to a broker who knows construction lending before you buy land or commit to a design.</t>
        </is>
      </c>
    </row>
    <row r="31">
      <c r="A31" s="6" t="inlineStr">
        <is>
          <t>Money &amp; finance</t>
        </is>
      </c>
      <c r="B31" s="6" t="inlineStr">
        <is>
          <t>How much contingency should I allow?</t>
        </is>
      </c>
      <c r="C31" s="6" t="inlineStr">
        <is>
          <t>At least 10%, and 15% for sloping, rocky or bushfire-prone sites or renovations. Contingency is for risks, not upgrades. Track it separately in your budget.</t>
        </is>
      </c>
    </row>
    <row r="32">
      <c r="A32" s="6" t="inlineStr">
        <is>
          <t>Money &amp; finance</t>
        </is>
      </c>
      <c r="B32" s="6" t="inlineStr">
        <is>
          <t>Can I get the First Home Owner Grant?</t>
        </is>
      </c>
      <c r="C32" s="6" t="inlineStr">
        <is>
          <t>Owner-builders building their first home may be eligible, subject to value caps, residence requirements and timing rules such as when the foundations are laid. Check the current rules with the State Revenue Office before you start.</t>
        </is>
      </c>
    </row>
    <row r="33">
      <c r="A33" s="6" t="inlineStr">
        <is>
          <t>Money &amp; finance</t>
        </is>
      </c>
      <c r="B33" s="6" t="inlineStr">
        <is>
          <t>Do I pay or claim GST?</t>
        </is>
      </c>
      <c r="C33" s="6" t="inlineStr">
        <is>
          <t>If you're building your own home to live in, you're generally not carrying on an enterprise, so you pay GST on trade invoices but can't claim it back. Building to sell can change that, so get tax advice.</t>
        </is>
      </c>
    </row>
    <row r="34">
      <c r="A34" s="6" t="inlineStr">
        <is>
          <t>Money &amp; finance</t>
        </is>
      </c>
      <c r="B34" s="6" t="inlineStr">
        <is>
          <t>How do I stop the budget blowing out?</t>
        </is>
      </c>
      <c r="C34" s="6" t="inlineStr">
        <is>
          <t>Freeze scope at gateway G1. Get fixed prices wherever you can. Use written variations. Track Budget → Committed → Paid → Forecast every week. And never pay ahead of work.</t>
        </is>
      </c>
    </row>
    <row r="35">
      <c r="A35" s="6" t="inlineStr">
        <is>
          <t>Safety &amp; insurance</t>
        </is>
      </c>
      <c r="B35" s="6" t="inlineStr">
        <is>
          <t>Am I responsible for safety on site?</t>
        </is>
      </c>
      <c r="C35" s="6" t="inlineStr">
        <is>
          <t>Yes. As the person managing or controlling the site you have duties under the OHS Act 2004. For projects of $350,000 or more you're the principal contractor unless you appoint one. That means a safety coordination plan, site induction, SWMS management and signage.</t>
        </is>
      </c>
    </row>
    <row r="36">
      <c r="A36" s="6" t="inlineStr">
        <is>
          <t>Safety &amp; insurance</t>
        </is>
      </c>
      <c r="B36" s="6" t="inlineStr">
        <is>
          <t>What is a SWMS?</t>
        </is>
      </c>
      <c r="C36" s="6" t="inlineStr">
        <is>
          <t>A Safe Work Method Statement is required before any high-risk construction work, such as work at heights over 2 m, trenches over 1.5 m, structural alterations or work near powerlines. The trade prepares it. You check it's on site and being followed.</t>
        </is>
      </c>
    </row>
    <row r="37">
      <c r="A37" s="6" t="inlineStr">
        <is>
          <t>Safety &amp; insurance</t>
        </is>
      </c>
      <c r="B37" s="6" t="inlineStr">
        <is>
          <t>What insurance do I need?</t>
        </is>
      </c>
      <c r="C37" s="6" t="inlineStr">
        <is>
          <t>Construction (contract works) insurance and public liability are strongly recommended, and lenders usually require them. Also consider personal accident cover. Check every trade's public liability and WorkCover certificates of currency, and track their expiry dates.</t>
        </is>
      </c>
    </row>
    <row r="38">
      <c r="A38" s="6" t="inlineStr">
        <is>
          <t>Safety &amp; insurance</t>
        </is>
      </c>
      <c r="B38" s="6" t="inlineStr">
        <is>
          <t>Does everyone on site need a white card?</t>
        </is>
      </c>
      <c r="C38" s="6" t="inlineStr">
        <is>
          <t>Yes. Anyone doing construction work needs construction induction training, and so do you. It's also part of the owner-builder eligibility criteria.</t>
        </is>
      </c>
    </row>
    <row r="39">
      <c r="A39" s="6" t="inlineStr">
        <is>
          <t>Selling &amp; after completion</t>
        </is>
      </c>
      <c r="B39" s="6" t="inlineStr">
        <is>
          <t>What if I sell within 6.5 years?</t>
        </is>
      </c>
      <c r="C39" s="6" t="inlineStr">
        <is>
          <t>Under s137B of the Building Act you must, before signing the contract of sale: (1) get a defects report from a prescribed building practitioner, no more than 6 months old, on the BPC template; and (2) for work over $20,000, comply with the statutory insurance scheme by buying owner-builder cover. The buyer gets copies. Selling without them is an offence, and the buyer may be able to end the contract.</t>
        </is>
      </c>
    </row>
    <row r="40">
      <c r="A40" s="6" t="inlineStr">
        <is>
          <t>Selling &amp; after completion</t>
        </is>
      </c>
      <c r="B40" s="6" t="inlineStr">
        <is>
          <t>What changed for owner-builder insurance on 1 July 2026?</t>
        </is>
      </c>
      <c r="C40" s="6" t="inlineStr">
        <is>
          <t>The old last-resort domestic building insurance was replaced by the First Resort Home Warranty Scheme, run by the BPC. Buyers can claim without the owner-builder having died, disappeared or become insolvent. The trigger threshold rose to $20,000.</t>
        </is>
      </c>
    </row>
    <row r="41">
      <c r="A41" s="6" t="inlineStr">
        <is>
          <t>Selling &amp; after completion</t>
        </is>
      </c>
      <c r="B41" s="6" t="inlineStr">
        <is>
          <t>What records should I keep, and for how long?</t>
        </is>
      </c>
      <c r="C41" s="6" t="inlineStr">
        <is>
          <t>Keep everything for at least 10 years: permits, stamped plans, certificates, contracts, invoices, warranties, photos and the site diary. A complete handover file makes selling, insurance claims and future renovations much easier. My Build keeps it all in one place.</t>
        </is>
      </c>
    </row>
    <row r="42">
      <c r="A42" s="6" t="inlineStr">
        <is>
          <t>Selling &amp; after completion</t>
        </is>
      </c>
      <c r="B42" s="6" t="inlineStr">
        <is>
          <t>Am I liable for defects after I finish?</t>
        </is>
      </c>
      <c r="C42" s="6" t="inlineStr">
        <is>
          <t>If you sell, the buyer can rely on statutory warranties for owner-builder work for a period, and the insurance scheme backs claims. In practice that's why the defects report and insurance exist. Build it right, document it, and fix issues before sale.</t>
        </is>
      </c>
    </row>
  </sheetData>
  <sheetProtection selectLockedCells="0" selectUnlockedCells="0" sheet="1" objects="0" insertRows="1" insertHyperlinks="1" autoFilter="0" scenarios="0" formatColumns="1" deleteColumns="1" insertColumns="1" pivotTables="1" deleteRows="1" formatCells="1" formatRows="1" sort="1"/>
  <autoFilter ref="A3:C42"/>
  <pageMargins left="0.75" right="0.75" top="1" bottom="1" header="0.5" footer="0.5"/>
</worksheet>
</file>

<file path=xl/worksheets/sheet5.xml><?xml version="1.0" encoding="utf-8"?>
<worksheet xmlns="http://schemas.openxmlformats.org/spreadsheetml/2006/main">
  <sheetPr>
    <tabColor rgb="008A9BAE"/>
    <outlinePr summaryBelow="1" summaryRight="1"/>
    <pageSetUpPr/>
  </sheetPr>
  <dimension ref="A1:E18"/>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6" customWidth="1" min="1" max="1"/>
    <col width="26" customWidth="1" min="2" max="2"/>
    <col width="30" customWidth="1" min="3" max="3"/>
    <col width="70" customWidth="1" min="4" max="4"/>
    <col width="50" customWidth="1" min="5" max="5"/>
  </cols>
  <sheetData>
    <row r="1" ht="24" customHeight="1">
      <c r="A1" s="1" t="inlineStr">
        <is>
          <t>Buying guides &amp; specs</t>
        </is>
      </c>
    </row>
    <row r="2">
      <c r="A2" s="2" t="inlineStr">
        <is>
          <t>Stage-by-stage: the standards that apply, the spec to confirm and what to ask suppliers. Read-only. Content checked September 2026.</t>
        </is>
      </c>
    </row>
    <row r="3">
      <c r="A3" s="3" t="inlineStr">
        <is>
          <t>Stage</t>
        </is>
      </c>
      <c r="B3" s="3" t="inlineStr">
        <is>
          <t>Topic</t>
        </is>
      </c>
      <c r="C3" s="3" t="inlineStr">
        <is>
          <t>Standards</t>
        </is>
      </c>
      <c r="D3" s="3" t="inlineStr">
        <is>
          <t>Spec to confirm</t>
        </is>
      </c>
      <c r="E3" s="3" t="inlineStr">
        <is>
          <t>Ask the supplier / trade</t>
        </is>
      </c>
    </row>
    <row r="4">
      <c r="A4" s="6" t="inlineStr">
        <is>
          <t>Base stage</t>
        </is>
      </c>
      <c r="B4" s="6" t="inlineStr">
        <is>
          <t>Concrete footings &amp; slab</t>
        </is>
      </c>
      <c r="C4" s="6" t="inlineStr">
        <is>
          <t>AS 2870 (residential slabs &amp; footings), AS 3600 (concrete structures).</t>
        </is>
      </c>
      <c r="D4" s="6" t="inlineStr">
        <is>
          <t>• Spec to confirm with your engineer: slab type (waffle or raft), concrete strength (typically N20–N32 MPa), slump, mesh (e.g. SL82), bar sizes, edge beam depths, cover to steel.
• Vapour barrier: 0.2 mm polyethylene, lapped and taped. Check the energy report for slab-edge insulation.
• Termite management to AS 3660.1: physical barrier or chemical. Get the certificate and durable notice.</t>
        </is>
      </c>
      <c r="E4" s="6" t="inlineStr">
        <is>
          <t>Is pump hire included? What's the allowance for over-dig and extra concrete? Who books the pre-pour inspection? Will you give me delivery dockets showing MPa?</t>
        </is>
      </c>
    </row>
    <row r="5">
      <c r="A5" s="6" t="inlineStr">
        <is>
          <t>Base stage</t>
        </is>
      </c>
      <c r="B5" s="6" t="inlineStr">
        <is>
          <t>Site drainage &amp; stormwater</t>
        </is>
      </c>
      <c r="C5" s="6" t="inlineStr"/>
      <c r="D5" s="6" t="inlineStr">
        <is>
          <t>• Pipe class and diameter per the engineer's drainage plan (commonly 90 mm and 100 mm PVC).
• Rainwater tank size if your energy or water compliance relies on it (often 2,000 L or more connected to toilets or laundry).
• Connection to the legal point of discharge. Your plumber lodges a compliance certificate.</t>
        </is>
      </c>
      <c r="E5" s="6" t="inlineStr"/>
    </row>
    <row r="6">
      <c r="A6" s="6" t="inlineStr">
        <is>
          <t>Frame &amp; roof</t>
        </is>
      </c>
      <c r="B6" s="6" t="inlineStr">
        <is>
          <t>Wall frames &amp; roof trusses</t>
        </is>
      </c>
      <c r="C6" s="6" t="inlineStr">
        <is>
          <t>AS 1684 (timber framing), AS 4440 (nail-plated trusses), NASH standard for light steel.</t>
        </is>
      </c>
      <c r="D6" s="6" t="inlineStr">
        <is>
          <t>• Timber grade: MGP10 / MGP12 pine is standard. Use H2 treated in termite zones, or light-gauge steel.
• Wind classification (e.g. N2, N3) from your engineer. It drives tie-downs and bracing.
• Get the frame &amp; truss layout, design certificate and bracing plan with the delivery.</t>
        </is>
      </c>
      <c r="E6" s="6" t="inlineStr">
        <is>
          <t>Is it pre-cut or prefabricated? Are lintels, beams and bracing included? What's the lead time? Do you set out the trusses on site?</t>
        </is>
      </c>
    </row>
    <row r="7">
      <c r="A7" s="6" t="inlineStr">
        <is>
          <t>Frame &amp; roof</t>
        </is>
      </c>
      <c r="B7" s="6" t="inlineStr">
        <is>
          <t>Roofing: metal or tiles</t>
        </is>
      </c>
      <c r="C7" s="6" t="inlineStr">
        <is>
          <t>AS 1562.1 (metal roofing), AS 2050 (tiles), AS 3959 (bushfire).</t>
        </is>
      </c>
      <c r="D7" s="6" t="inlineStr">
        <is>
          <t>• Metal: 0.42 mm BMT is standard. Choose the colour's solar absorptance to match the energy report.
• Anticon or sarking blanket for thermal and condensation control (NCC 2022 condensation rules).
• Gutter overflow provisions and downpipe spacing per AS/NZS 3500.3.
• BAL-rated ember guards and screens if you're in a bushfire prone area.</t>
        </is>
      </c>
      <c r="E7" s="6" t="inlineStr"/>
    </row>
    <row r="8">
      <c r="A8" s="6" t="inlineStr">
        <is>
          <t>Lock-up</t>
        </is>
      </c>
      <c r="B8" s="6" t="inlineStr">
        <is>
          <t>Windows &amp; external doors</t>
        </is>
      </c>
      <c r="C8" s="6" t="inlineStr">
        <is>
          <t>AS 2047 (windows), AS 1288 (glass selection), AS 3959 (BAL).</t>
        </is>
      </c>
      <c r="D8" s="6" t="inlineStr">
        <is>
          <t>• Use the U-value and SHGC in your energy report. They are part of your 7-star compliance and must be matched.
• Double glazing in thermally broken or uPVC frames is typical for 7-star compliance in Victoria.
• Wind rating to match the site's wind class. BAL rating if required.
• Keep the WERS label and AS 2047 certificate for your building surveyor.</t>
        </is>
      </c>
      <c r="E8" s="6" t="inlineStr">
        <is>
          <t>Do these U-value and SHGC figures match my energy report? What's the lead time? Are flashings and reveals included? Is there a warranty on hardware and seals?</t>
        </is>
      </c>
    </row>
    <row r="9">
      <c r="A9" s="6" t="inlineStr">
        <is>
          <t>Lock-up</t>
        </is>
      </c>
      <c r="B9" s="6" t="inlineStr">
        <is>
          <t>Wall wrap, cladding &amp; bricks</t>
        </is>
      </c>
      <c r="C9" s="6" t="inlineStr"/>
      <c r="D9" s="6" t="inlineStr">
        <is>
          <t>• Vapour-permeable wall wrap (NCC 2022 condensation provisions). Check its class against the specification.
• Bricks: order about 5% extra from the same batch to avoid colour variation. Check wall ties and weep holes.
• Fibre cement, timber or metal cladding: fix it to the manufacturer's installation guide. Warranties depend on it.</t>
        </is>
      </c>
      <c r="E9" s="6" t="inlineStr"/>
    </row>
    <row r="10">
      <c r="A10" s="6" t="inlineStr">
        <is>
          <t>Services</t>
        </is>
      </c>
      <c r="B10" s="6" t="inlineStr">
        <is>
          <t>Insulation</t>
        </is>
      </c>
      <c r="C10" s="6" t="inlineStr"/>
      <c r="D10" s="6" t="inlineStr">
        <is>
          <t>Standard: AS/NZS 4859.1. Values come from your energy report.
• Typical Victorian 7-star: ceiling around R6.0, external walls around R2.5, plus underfloor if the floor is suspended.
• Photograph every wall before plaster. The building surveyor may ask for an installation certificate.</t>
        </is>
      </c>
      <c r="E10" s="6" t="inlineStr"/>
    </row>
    <row r="11">
      <c r="A11" s="6" t="inlineStr">
        <is>
          <t>Services</t>
        </is>
      </c>
      <c r="B11" s="6" t="inlineStr">
        <is>
          <t>Hot water, heating &amp; all-electric homes</t>
        </is>
      </c>
      <c r="C11" s="6" t="inlineStr"/>
      <c r="D11" s="6" t="inlineStr">
        <is>
          <t>• New Victorian homes that need a planning permit (applied for from 1 January 2024) can't connect to reticulated gas. All-electric is the default choice anyway.
• A heat-pump hot water system scores well in the NCC 2022 whole-of-home energy budget.
• Reverse-cycle split or ducted systems: check the energy rating, zoning and the refrigerant licence (ARCtick) of the installer.
• Solar PV: use a Solar Accreditation Australia (formerly CEC) accredited installer if you want rebates. Check Solar Victoria.</t>
        </is>
      </c>
      <c r="E11" s="6" t="inlineStr"/>
    </row>
    <row r="12">
      <c r="A12" s="6" t="inlineStr">
        <is>
          <t>Services</t>
        </is>
      </c>
      <c r="B12" s="6" t="inlineStr">
        <is>
          <t>Electrical: switchboard, lighting, smoke alarms</t>
        </is>
      </c>
      <c r="C12" s="6" t="inlineStr">
        <is>
          <t>AS/NZS 3000 (wiring rules), AS 3786 (smoke alarms).</t>
        </is>
      </c>
      <c r="D12" s="6" t="inlineStr">
        <is>
          <t>• RCD (safety switch) protection on all final sub-circuits.
• Hardwired, interconnected smoke alarms in the locations the NCC requires.
• Plan the points before rough-in: walk every room in My Build and note GPOs, switches, data and TV.
• Think ahead: an EV charger circuit, induction cooktop capacity, battery-ready switchboard.</t>
        </is>
      </c>
      <c r="E12" s="6" t="inlineStr"/>
    </row>
    <row r="13">
      <c r="A13" s="6" t="inlineStr">
        <is>
          <t>Services</t>
        </is>
      </c>
      <c r="B13" s="6" t="inlineStr">
        <is>
          <t>Plumbing fixtures &amp; tapware</t>
        </is>
      </c>
      <c r="C13" s="6" t="inlineStr"/>
      <c r="D13" s="6" t="inlineStr">
        <is>
          <t>• Only buy WaterMark-certified products. Plumbers can refuse to install anything else, and it may not pass inspection.
• Check WELS water ratings (star rating and litres per minute).
• Hot water to bathrooms must be delivered at a maximum of 50°C (tempering or thermostatic valve per AS/NZS 3500.4).</t>
        </is>
      </c>
      <c r="E13" s="6" t="inlineStr"/>
    </row>
    <row r="14">
      <c r="A14" s="6" t="inlineStr">
        <is>
          <t>Fit-out</t>
        </is>
      </c>
      <c r="B14" s="6" t="inlineStr">
        <is>
          <t>Wet areas: waterproofing &amp; tiles</t>
        </is>
      </c>
      <c r="C14" s="6" t="inlineStr"/>
      <c r="D14" s="6" t="inlineStr">
        <is>
          <t>Standard: AS 3740 (waterproofing of domestic wet areas).
• Get a waterproofing certificate for every wet area. The building surveyor needs it.
• Slip resistance: use P3 or better for wet-area floors and P4–P5 for outdoor areas (AS 4586).
• Order about 10% extra tiles from one batch (15% for diagonal or herringbone). My Build's room calculator does this for you.</t>
        </is>
      </c>
      <c r="E14" s="6" t="inlineStr"/>
    </row>
    <row r="15">
      <c r="A15" s="6" t="inlineStr">
        <is>
          <t>Fit-out</t>
        </is>
      </c>
      <c r="B15" s="6" t="inlineStr">
        <is>
          <t>Kitchen, benchtops &amp; joinery</t>
        </is>
      </c>
      <c r="C15" s="6" t="inlineStr"/>
      <c r="D15" s="6" t="inlineStr">
        <is>
          <t>• Engineered stone is banned in Australia from 1 July 2024. Consider porcelain, sintered stone, natural stone, laminate or timber.
• Board: E0 / E1 low-formaldehyde, moisture-resistant under sinks.
• Sign off shop drawings. Check the appliance cut-out sizes and ventilation clearances first.
• Appliances: use the Energy Rating label, and check the cooktop's electrical load with your electrician.</t>
        </is>
      </c>
      <c r="E15" s="6" t="inlineStr"/>
    </row>
    <row r="16">
      <c r="A16" s="6" t="inlineStr">
        <is>
          <t>Fit-out</t>
        </is>
      </c>
      <c r="B16" s="6" t="inlineStr">
        <is>
          <t>Paint, flooring &amp; finishes</t>
        </is>
      </c>
      <c r="C16" s="6" t="inlineStr"/>
      <c r="D16" s="6" t="inlineStr">
        <is>
          <t>• Low-VOC, washable paints for living areas. Mould-resistant paint for wet areas. Record the colour codes in My Build.
• Flooring: acclimatise timber before laying. Check the moisture content of the slab.
• Keep every product's warranty registration and care guide for the handover file.</t>
        </is>
      </c>
      <c r="E16" s="6" t="inlineStr"/>
    </row>
    <row r="17">
      <c r="A17" s="6" t="inlineStr">
        <is>
          <t>How to buy</t>
        </is>
      </c>
      <c r="B17" s="6" t="inlineStr">
        <is>
          <t>Getting trade pricing as an owner-builder</t>
        </is>
      </c>
      <c r="C17" s="6" t="inlineStr"/>
      <c r="D17" s="6" t="inlineStr">
        <is>
          <t>• Open trade accounts with your building permit and certificate of consent. Many suppliers give owner-builders a builder's discount.
• Bundle orders by stage (e.g. all frame hardware together) and ask for a project price.
• Compare supply-only prices against supply &amp; install quotes using the tender tool.</t>
        </is>
      </c>
      <c r="E17" s="6" t="inlineStr"/>
    </row>
    <row r="18">
      <c r="A18" s="6" t="inlineStr">
        <is>
          <t>How to buy</t>
        </is>
      </c>
      <c r="B18" s="6" t="inlineStr">
        <is>
          <t>Deliveries, storage &amp; checking goods</t>
        </is>
      </c>
      <c r="C18" s="6" t="inlineStr"/>
      <c r="D18" s="6" t="inlineStr">
        <is>
          <t>• Time deliveries to the program. Early deliveries get stolen or damaged; late ones stop trades.
• Check quantities and condition on arrival and note damage on the docket before you sign it.
• Store off the ground, covered and secure. Photograph deliveries for insurance.
• Keep every docket and invoice against its trade package in your budget.</t>
        </is>
      </c>
      <c r="E18" s="6" t="inlineStr"/>
    </row>
  </sheetData>
  <sheetProtection selectLockedCells="0" selectUnlockedCells="0" sheet="1" objects="0" insertRows="1" insertHyperlinks="1" autoFilter="0" scenarios="0" formatColumns="1" deleteColumns="1" insertColumns="1" pivotTables="1" deleteRows="1" formatCells="1" formatRows="1" sort="1"/>
  <autoFilter ref="A3:E18"/>
  <pageMargins left="0.75" right="0.75" top="1" bottom="1" header="0.5" footer="0.5"/>
</worksheet>
</file>

<file path=xl/worksheets/sheet6.xml><?xml version="1.0" encoding="utf-8"?>
<worksheet xmlns="http://schemas.openxmlformats.org/spreadsheetml/2006/main">
  <sheetPr>
    <tabColor rgb="008A9BAE"/>
    <outlinePr summaryBelow="1" summaryRight="1"/>
    <pageSetUpPr/>
  </sheetPr>
  <dimension ref="A1:F73"/>
  <sheetViews>
    <sheetView workbookViewId="0">
      <selection activeCell="A1" sqref="A1"/>
    </sheetView>
  </sheetViews>
  <sheetFormatPr baseColWidth="8" defaultRowHeight="15"/>
  <cols>
    <col width="36" customWidth="1" min="1" max="1"/>
    <col width="30" customWidth="1" min="2" max="2"/>
    <col width="30" customWidth="1" min="3" max="3"/>
    <col width="30" customWidth="1" min="4" max="4"/>
    <col width="30" customWidth="1" min="5" max="5"/>
    <col width="22" customWidth="1" min="6" max="6"/>
  </cols>
  <sheetData>
    <row r="1" ht="24" customHeight="1">
      <c r="A1" s="1" t="inlineStr">
        <is>
          <t>Reference</t>
        </is>
      </c>
    </row>
    <row r="2">
      <c r="A2" s="2" t="inlineStr">
        <is>
          <t>Key numbers, contract types, tendering and who does what. Read-only.</t>
        </is>
      </c>
    </row>
    <row r="3">
      <c r="A3" s="1" t="inlineStr">
        <is>
          <t>Key numbers</t>
        </is>
      </c>
    </row>
    <row r="4">
      <c r="A4" s="3" t="inlineStr">
        <is>
          <t>Rule</t>
        </is>
      </c>
      <c r="B4" s="3" t="inlineStr">
        <is>
          <t>Figure</t>
        </is>
      </c>
      <c r="C4" s="3" t="inlineStr">
        <is>
          <t>Where it comes from</t>
        </is>
      </c>
    </row>
    <row r="5">
      <c r="A5" s="6" t="inlineStr">
        <is>
          <t>Certificate of consent required</t>
        </is>
      </c>
      <c r="B5" s="6" t="inlineStr">
        <is>
          <t>Work over $20,000 (was $16,000 before 1 July 2026)</t>
        </is>
      </c>
      <c r="C5" s="6" t="inlineStr">
        <is>
          <t>Building Act 1993, BPC</t>
        </is>
      </c>
    </row>
    <row r="6">
      <c r="A6" s="6" t="inlineStr">
        <is>
          <t>Owner-builder permit frequency</t>
        </is>
      </c>
      <c r="B6" s="6" t="inlineStr">
        <is>
          <t>1 every 5 years (exemptions apply)</t>
        </is>
      </c>
      <c r="C6" s="6" t="inlineStr">
        <is>
          <t>Building Act s25E, BPC</t>
        </is>
      </c>
    </row>
    <row r="7">
      <c r="A7" s="6" t="inlineStr">
        <is>
          <t>Major domestic building contract / registered builder</t>
        </is>
      </c>
      <c r="B7" s="6" t="inlineStr">
        <is>
          <t>Work over $10,000 (proposed increase to $20,000)</t>
        </is>
      </c>
      <c r="C7" s="6" t="inlineStr">
        <is>
          <t>Domestic Building Contracts Act 1995</t>
        </is>
      </c>
    </row>
    <row r="8">
      <c r="A8" s="6" t="inlineStr">
        <is>
          <t>Principal contractor (OHS)</t>
        </is>
      </c>
      <c r="B8" s="6" t="inlineStr">
        <is>
          <t>Projects of $350,000 or more</t>
        </is>
      </c>
      <c r="C8" s="6" t="inlineStr">
        <is>
          <t>OHS Regulations 2017</t>
        </is>
      </c>
    </row>
    <row r="9">
      <c r="A9" s="6" t="inlineStr">
        <is>
          <t>Selling: defects report &amp; insurance</t>
        </is>
      </c>
      <c r="B9" s="6" t="inlineStr">
        <is>
          <t>Within 6 yrs 6 mths of completion. Report ≤ 6 months old</t>
        </is>
      </c>
      <c r="C9" s="6" t="inlineStr">
        <is>
          <t>Building Act s137B</t>
        </is>
      </c>
    </row>
    <row r="10">
      <c r="A10" s="6" t="inlineStr">
        <is>
          <t>Energy efficiency (new homes)</t>
        </is>
      </c>
      <c r="B10" s="6" t="inlineStr">
        <is>
          <t>7-star NatHERS + whole-of-home</t>
        </is>
      </c>
      <c r="C10" s="6" t="inlineStr">
        <is>
          <t>NCC 2022, Victoria from 1 May 2024</t>
        </is>
      </c>
    </row>
    <row r="11">
      <c r="A11" s="6" t="inlineStr">
        <is>
          <t>Building permit levy</t>
        </is>
      </c>
      <c r="B11" s="6" t="inlineStr">
        <is>
          <t>Work over $10,000</t>
        </is>
      </c>
      <c r="C11" s="6" t="inlineStr">
        <is>
          <t>Building Act, collected by the RBS</t>
        </is>
      </c>
    </row>
    <row r="13">
      <c r="A13" s="1" t="inlineStr">
        <is>
          <t>Contract types</t>
        </is>
      </c>
    </row>
    <row r="14">
      <c r="A14" s="3" t="inlineStr">
        <is>
          <t>Type</t>
        </is>
      </c>
      <c r="B14" s="3" t="inlineStr">
        <is>
          <t>How it's priced</t>
        </is>
      </c>
      <c r="C14" s="3" t="inlineStr">
        <is>
          <t>Best for</t>
        </is>
      </c>
      <c r="D14" s="3" t="inlineStr">
        <is>
          <t>Watch out for</t>
        </is>
      </c>
    </row>
    <row r="15">
      <c r="A15" s="6" t="inlineStr">
        <is>
          <t>Lump sum (fixed price)</t>
        </is>
      </c>
      <c r="B15" s="6" t="inlineStr">
        <is>
          <t>One price for a defined scope</t>
        </is>
      </c>
      <c r="C15" s="6" t="inlineStr">
        <is>
          <t>Well-documented packages: slab, roof, electrical</t>
        </is>
      </c>
      <c r="D15" s="6" t="inlineStr">
        <is>
          <t>Vague scope means variations. Exclusions hide cost.</t>
        </is>
      </c>
    </row>
    <row r="16">
      <c r="A16" s="6" t="inlineStr">
        <is>
          <t>Schedule of rates</t>
        </is>
      </c>
      <c r="B16" s="6" t="inlineStr">
        <is>
          <t>$ per m², per point, per 1,000 bricks</t>
        </is>
      </c>
      <c r="C16" s="6" t="inlineStr">
        <is>
          <t>Measurable work: bricks, plaster, tiles</t>
        </is>
      </c>
      <c r="D16" s="6" t="inlineStr">
        <is>
          <t>You carry the quantity risk. Measure it yourself.</t>
        </is>
      </c>
    </row>
    <row r="17">
      <c r="A17" s="6" t="inlineStr">
        <is>
          <t>Labour only</t>
        </is>
      </c>
      <c r="B17" s="6" t="inlineStr">
        <is>
          <t>Labour price; you supply the materials</t>
        </is>
      </c>
      <c r="C17" s="6" t="inlineStr">
        <is>
          <t>Carpentry, fixing, painting</t>
        </is>
      </c>
      <c r="D17" s="6" t="inlineStr">
        <is>
          <t>You carry material risk and waste. Deliveries must be on time.</t>
        </is>
      </c>
    </row>
    <row r="18">
      <c r="A18" s="6" t="inlineStr">
        <is>
          <t>Supply only</t>
        </is>
      </c>
      <c r="B18" s="6" t="inlineStr">
        <is>
          <t>Materials delivered</t>
        </is>
      </c>
      <c r="C18" s="6" t="inlineStr">
        <is>
          <t>Frames, trusses, windows, appliances</t>
        </is>
      </c>
      <c r="D18" s="6" t="inlineStr">
        <is>
          <t>Check against the plans. Delivery dates. Damage on delivery.</t>
        </is>
      </c>
    </row>
    <row r="19">
      <c r="A19" s="6" t="inlineStr">
        <is>
          <t>Supply &amp; install</t>
        </is>
      </c>
      <c r="B19" s="6" t="inlineStr">
        <is>
          <t>Materials + labour</t>
        </is>
      </c>
      <c r="C19" s="6" t="inlineStr">
        <is>
          <t>Roofing, insulation, cabinetry</t>
        </is>
      </c>
      <c r="D19" s="6" t="inlineStr">
        <is>
          <t>Confirm the spec and brand. Warranty covers both parts.</t>
        </is>
      </c>
    </row>
    <row r="20">
      <c r="A20" s="6" t="inlineStr">
        <is>
          <t>Cost plus / do &amp; charge</t>
        </is>
      </c>
      <c r="B20" s="6" t="inlineStr">
        <is>
          <t>Actual cost + margin or hourly rate</t>
        </is>
      </c>
      <c r="C20" s="6" t="inlineStr">
        <is>
          <t>Small unknowns, repairs, excavation in rock</t>
        </is>
      </c>
      <c r="D20" s="6" t="inlineStr">
        <is>
          <t>No price certainty. Cap it and require daily dockets.</t>
        </is>
      </c>
    </row>
    <row r="22">
      <c r="A22" s="1" t="inlineStr">
        <is>
          <t>What goes in an RFQ pack</t>
        </is>
      </c>
    </row>
    <row r="23">
      <c r="A23" s="3" t="inlineStr">
        <is>
          <t>What goes in an RFQ pack</t>
        </is>
      </c>
    </row>
    <row r="24">
      <c r="A24" s="6" t="inlineStr">
        <is>
          <t>Cover letter: package, address, closing date, contact</t>
        </is>
      </c>
    </row>
    <row r="25">
      <c r="A25" s="6" t="inlineStr">
        <is>
          <t>Scope of works + inclusions list</t>
        </is>
      </c>
    </row>
    <row r="26">
      <c r="A26" s="6" t="inlineStr">
        <is>
          <t>Drawings &amp; specification (with revision numbers)</t>
        </is>
      </c>
    </row>
    <row r="27">
      <c r="A27" s="6" t="inlineStr">
        <is>
          <t>Engineering &amp; energy report extracts</t>
        </is>
      </c>
    </row>
    <row r="28">
      <c r="A28" s="6" t="inlineStr">
        <is>
          <t>Program: target start and duration</t>
        </is>
      </c>
    </row>
    <row r="29">
      <c r="A29" s="6" t="inlineStr">
        <is>
          <t>Site info: access, power, water, slope, photos</t>
        </is>
      </c>
    </row>
    <row r="30">
      <c r="A30" s="6" t="inlineStr">
        <is>
          <t>Your draft trade agreement (see Contracts)</t>
        </is>
      </c>
    </row>
    <row r="31">
      <c r="A31" s="6" t="inlineStr">
        <is>
          <t>Pricing schedule so every quote breaks down the same way</t>
        </is>
      </c>
    </row>
    <row r="32">
      <c r="A32" s="6" t="inlineStr">
        <is>
          <t>What to return: licence, insurance, ABN, SWMS, references</t>
        </is>
      </c>
    </row>
    <row r="34">
      <c r="A34" s="1" t="inlineStr">
        <is>
          <t>Levelling: making quotes comparable</t>
        </is>
      </c>
    </row>
    <row r="35">
      <c r="A35" s="3" t="inlineStr">
        <is>
          <t>Levelling: making quotes comparable</t>
        </is>
      </c>
    </row>
    <row r="36">
      <c r="A36" s="6" t="inlineStr">
        <is>
          <t>Exclusions: if Quote A excludes rubbish removal, add what it will cost you</t>
        </is>
      </c>
    </row>
    <row r="37">
      <c r="A37" s="6" t="inlineStr">
        <is>
          <t>Provisional sums: replace each tenderer's allowance with the same figure</t>
        </is>
      </c>
    </row>
    <row r="38">
      <c r="A38" s="6" t="inlineStr">
        <is>
          <t>Scope gaps: price anything missing against the RFQ</t>
        </is>
      </c>
    </row>
    <row r="39">
      <c r="A39" s="6" t="inlineStr">
        <is>
          <t>Risk: add an allowance for vague or heavily qualified quotes</t>
        </is>
      </c>
    </row>
    <row r="40">
      <c r="A40" s="6" t="inlineStr">
        <is>
          <t>GST: compare everything inc. GST</t>
        </is>
      </c>
    </row>
    <row r="41">
      <c r="A41" s="6" t="inlineStr">
        <is>
          <t>Result: a levelled price for each tenderer, like-for-like</t>
        </is>
      </c>
    </row>
    <row r="43">
      <c r="A43" s="1" t="inlineStr">
        <is>
          <t>Red flags</t>
        </is>
      </c>
    </row>
    <row r="44">
      <c r="A44" s="3" t="inlineStr">
        <is>
          <t>Red flags</t>
        </is>
      </c>
    </row>
    <row r="45">
      <c r="A45" s="6" t="inlineStr">
        <is>
          <t>Price more than 15% under the median: something is probably missing</t>
        </is>
      </c>
    </row>
    <row r="46">
      <c r="A46" s="6" t="inlineStr">
        <is>
          <t>Deposit request above the statutory cap</t>
        </is>
      </c>
    </row>
    <row r="47">
      <c r="A47" s="6" t="inlineStr">
        <is>
          <t>No written quote, or "cash price"</t>
        </is>
      </c>
    </row>
    <row r="48">
      <c r="A48" s="6" t="inlineStr">
        <is>
          <t>Registration or insurance in a different name</t>
        </is>
      </c>
    </row>
    <row r="49">
      <c r="A49" s="6" t="inlineStr">
        <is>
          <t>Long exclusions list or "subject to" everywhere</t>
        </is>
      </c>
    </row>
    <row r="50">
      <c r="A50" s="6" t="inlineStr">
        <is>
          <t>Can't provide references or recent jobs</t>
        </is>
      </c>
    </row>
    <row r="51">
      <c r="A51" s="6" t="inlineStr">
        <is>
          <t>Pressure to sign immediately</t>
        </is>
      </c>
    </row>
    <row r="53">
      <c r="A53" s="1" t="inlineStr">
        <is>
          <t>1. Tenderers &amp; quotes
+ Add tenderer
Export CSV
Print
Reset to example
2. Criteria weights
3. Results
How the scoring works</t>
        </is>
      </c>
    </row>
    <row r="54">
      <c r="A54" s="3" t="inlineStr">
        <is>
          <t>1. Tenderers &amp; quotes
+ Add tenderer
Export CSV
Print
Reset to example
2. Criteria weights
3. Results
How the scoring works</t>
        </is>
      </c>
    </row>
    <row r="55">
      <c r="A55" s="6" t="inlineStr">
        <is>
          <t>Compliance gates are pass / fail. A tenderer who fails any gate (not registered, no current insurance, no SWMS, non-conforming scope) is excluded from ranking, whatever the price.</t>
        </is>
      </c>
    </row>
    <row r="56">
      <c r="A56" s="6" t="inlineStr">
        <is>
          <t>Levelled price = quoted price + cost of exclusions + provisional sum adjustment + risk allowance.</t>
        </is>
      </c>
    </row>
    <row r="57">
      <c r="A57" s="6" t="inlineStr">
        <is>
          <t>Price score = lowest compliant levelled price ÷ this levelled price × 10. The cheapest scores 10.</t>
        </is>
      </c>
    </row>
    <row r="58">
      <c r="A58" s="6" t="inlineStr">
        <is>
          <t>Non-price criteria are scored 0–10 by you: experience, program, quality, communication, warranty.</t>
        </is>
      </c>
    </row>
    <row r="59">
      <c r="A59" s="6" t="inlineStr">
        <is>
          <t>Weighted total = Σ (score × weight) ÷ 10, out of 100. Weights must add to 100%.</t>
        </is>
      </c>
    </row>
    <row r="60">
      <c r="A60" s="6" t="inlineStr">
        <is>
          <t>Quotes more than 15% below the median levelled price are flagged Check scope.</t>
        </is>
      </c>
    </row>
    <row r="62">
      <c r="A62" s="1" t="inlineStr">
        <is>
          <t>Who does what (RACI)</t>
        </is>
      </c>
    </row>
    <row r="63">
      <c r="A63" s="3" t="inlineStr">
        <is>
          <t>Activity</t>
        </is>
      </c>
      <c r="B63" s="3" t="inlineStr">
        <is>
          <t>You (owner-builder)</t>
        </is>
      </c>
      <c r="C63" s="3" t="inlineStr">
        <is>
          <t>Designer / engineer</t>
        </is>
      </c>
      <c r="D63" s="3" t="inlineStr">
        <is>
          <t>Building surveyor</t>
        </is>
      </c>
      <c r="E63" s="3" t="inlineStr">
        <is>
          <t>Trades</t>
        </is>
      </c>
      <c r="F63" s="3" t="inlineStr">
        <is>
          <t>Lender</t>
        </is>
      </c>
    </row>
    <row r="64">
      <c r="A64" s="6" t="inlineStr">
        <is>
          <t>Design brief &amp; scope</t>
        </is>
      </c>
      <c r="B64" s="6" t="inlineStr">
        <is>
          <t>A/R</t>
        </is>
      </c>
      <c r="C64" s="6" t="inlineStr">
        <is>
          <t>C</t>
        </is>
      </c>
      <c r="D64" s="6" t="inlineStr">
        <is>
          <t>I</t>
        </is>
      </c>
      <c r="E64" s="6" t="inlineStr">
        <is>
          <t>–</t>
        </is>
      </c>
      <c r="F64" s="6" t="inlineStr">
        <is>
          <t>I</t>
        </is>
      </c>
    </row>
    <row r="65">
      <c r="A65" s="6" t="inlineStr">
        <is>
          <t>Working drawings &amp; engineering</t>
        </is>
      </c>
      <c r="B65" s="6" t="inlineStr">
        <is>
          <t>A</t>
        </is>
      </c>
      <c r="C65" s="6" t="inlineStr">
        <is>
          <t>R</t>
        </is>
      </c>
      <c r="D65" s="6" t="inlineStr">
        <is>
          <t>C</t>
        </is>
      </c>
      <c r="E65" s="6" t="inlineStr">
        <is>
          <t>–</t>
        </is>
      </c>
      <c r="F65" s="6" t="inlineStr">
        <is>
          <t>I</t>
        </is>
      </c>
    </row>
    <row r="66">
      <c r="A66" s="6" t="inlineStr">
        <is>
          <t>Certificate of consent</t>
        </is>
      </c>
      <c r="B66" s="6" t="inlineStr">
        <is>
          <t>A/R</t>
        </is>
      </c>
      <c r="C66" s="6" t="inlineStr">
        <is>
          <t>–</t>
        </is>
      </c>
      <c r="D66" s="6" t="inlineStr">
        <is>
          <t>I</t>
        </is>
      </c>
      <c r="E66" s="6" t="inlineStr">
        <is>
          <t>–</t>
        </is>
      </c>
      <c r="F66" s="6" t="inlineStr">
        <is>
          <t>I</t>
        </is>
      </c>
    </row>
    <row r="67">
      <c r="A67" s="6" t="inlineStr">
        <is>
          <t>Building permit</t>
        </is>
      </c>
      <c r="B67" s="6" t="inlineStr">
        <is>
          <t>A</t>
        </is>
      </c>
      <c r="C67" s="6" t="inlineStr">
        <is>
          <t>C</t>
        </is>
      </c>
      <c r="D67" s="6" t="inlineStr">
        <is>
          <t>R</t>
        </is>
      </c>
      <c r="E67" s="6" t="inlineStr">
        <is>
          <t>–</t>
        </is>
      </c>
      <c r="F67" s="6" t="inlineStr">
        <is>
          <t>I</t>
        </is>
      </c>
    </row>
    <row r="68">
      <c r="A68" s="6" t="inlineStr">
        <is>
          <t>Tendering &amp; contracts</t>
        </is>
      </c>
      <c r="B68" s="6" t="inlineStr">
        <is>
          <t>A/R</t>
        </is>
      </c>
      <c r="C68" s="6" t="inlineStr">
        <is>
          <t>C</t>
        </is>
      </c>
      <c r="D68" s="6" t="inlineStr">
        <is>
          <t>–</t>
        </is>
      </c>
      <c r="E68" s="6" t="inlineStr">
        <is>
          <t>C</t>
        </is>
      </c>
      <c r="F68" s="6" t="inlineStr">
        <is>
          <t>I</t>
        </is>
      </c>
    </row>
    <row r="69">
      <c r="A69" s="6" t="inlineStr">
        <is>
          <t>Site safety &amp; coordination</t>
        </is>
      </c>
      <c r="B69" s="6" t="inlineStr">
        <is>
          <t>A/R</t>
        </is>
      </c>
      <c r="C69" s="6" t="inlineStr">
        <is>
          <t>–</t>
        </is>
      </c>
      <c r="D69" s="6" t="inlineStr">
        <is>
          <t>–</t>
        </is>
      </c>
      <c r="E69" s="6" t="inlineStr">
        <is>
          <t>R (own work)</t>
        </is>
      </c>
      <c r="F69" s="6" t="inlineStr">
        <is>
          <t>–</t>
        </is>
      </c>
    </row>
    <row r="70">
      <c r="A70" s="6" t="inlineStr">
        <is>
          <t>Mandatory inspections</t>
        </is>
      </c>
      <c r="B70" s="6" t="inlineStr">
        <is>
          <t>A (notify)</t>
        </is>
      </c>
      <c r="C70" s="6" t="inlineStr">
        <is>
          <t>C</t>
        </is>
      </c>
      <c r="D70" s="6" t="inlineStr">
        <is>
          <t>R</t>
        </is>
      </c>
      <c r="E70" s="6" t="inlineStr">
        <is>
          <t>C</t>
        </is>
      </c>
      <c r="F70" s="6" t="inlineStr">
        <is>
          <t>I</t>
        </is>
      </c>
    </row>
    <row r="71">
      <c r="A71" s="6" t="inlineStr">
        <is>
          <t>Trade workmanship &amp; certificates</t>
        </is>
      </c>
      <c r="B71" s="6" t="inlineStr">
        <is>
          <t>A</t>
        </is>
      </c>
      <c r="C71" s="6" t="inlineStr">
        <is>
          <t>–</t>
        </is>
      </c>
      <c r="D71" s="6" t="inlineStr">
        <is>
          <t>C</t>
        </is>
      </c>
      <c r="E71" s="6" t="inlineStr">
        <is>
          <t>R</t>
        </is>
      </c>
      <c r="F71" s="6" t="inlineStr">
        <is>
          <t>–</t>
        </is>
      </c>
    </row>
    <row r="72">
      <c r="A72" s="6" t="inlineStr">
        <is>
          <t>Progress claims &amp; payments</t>
        </is>
      </c>
      <c r="B72" s="6" t="inlineStr">
        <is>
          <t>A/R</t>
        </is>
      </c>
      <c r="C72" s="6" t="inlineStr">
        <is>
          <t>–</t>
        </is>
      </c>
      <c r="D72" s="6" t="inlineStr">
        <is>
          <t>–</t>
        </is>
      </c>
      <c r="E72" s="6" t="inlineStr">
        <is>
          <t>C</t>
        </is>
      </c>
      <c r="F72" s="6" t="inlineStr">
        <is>
          <t>R (drawdown)</t>
        </is>
      </c>
    </row>
    <row r="73">
      <c r="A73" s="6" t="inlineStr">
        <is>
          <t>Occupancy permit</t>
        </is>
      </c>
      <c r="B73" s="6" t="inlineStr">
        <is>
          <t>A</t>
        </is>
      </c>
      <c r="C73" s="6" t="inlineStr">
        <is>
          <t>–</t>
        </is>
      </c>
      <c r="D73" s="6" t="inlineStr">
        <is>
          <t>R</t>
        </is>
      </c>
      <c r="E73" s="6" t="inlineStr">
        <is>
          <t>C</t>
        </is>
      </c>
      <c r="F73" s="6" t="inlineStr">
        <is>
          <t>I</t>
        </is>
      </c>
    </row>
  </sheetData>
  <sheetProtection selectLockedCells="0" selectUnlockedCells="0" sheet="1" objects="0" insertRows="1" insertHyperlinks="1" autoFilter="0" scenarios="0" formatColumns="1" deleteColumns="1" insertColumns="1" pivotTables="1" deleteRows="1" formatCells="1" formatRows="1" sort="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11"/>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7" customWidth="1" min="1" max="1"/>
    <col width="24" customWidth="1" min="2" max="2"/>
    <col width="36" customWidth="1" min="3" max="3"/>
    <col width="11" customWidth="1" min="4" max="4"/>
    <col width="11" customWidth="1" min="5" max="5"/>
    <col width="8" customWidth="1" min="6" max="6"/>
    <col width="9" customWidth="1" min="7" max="7"/>
    <col width="8" customWidth="1" min="8" max="8"/>
    <col width="11" customWidth="1" min="9" max="9"/>
    <col width="9" customWidth="1" min="10" max="10"/>
    <col width="22" customWidth="1" min="11" max="11"/>
    <col width="12" customWidth="1" min="12" max="12"/>
    <col width="44" customWidth="1" min="13" max="13"/>
    <col width="12" customWidth="1" min="14" max="14"/>
    <col width="14" customWidth="1" min="15" max="15"/>
    <col width="30" customWidth="1" min="16" max="16"/>
  </cols>
  <sheetData>
    <row r="1" ht="24" customHeight="1">
      <c r="A1" s="1" t="inlineStr">
        <is>
          <t>Gate review</t>
        </is>
      </c>
    </row>
    <row r="2">
      <c r="A2" s="2" t="inlineStr">
        <is>
          <t>At each gate decide Go, Hold or Stop. A gate is ready when every exit check on the Gateways tab is Yes.</t>
        </is>
      </c>
    </row>
    <row r="3" ht="32" customHeight="1">
      <c r="A3" s="20" t="inlineStr">
        <is>
          <t>Gate</t>
        </is>
      </c>
      <c r="B3" s="20" t="inlineStr">
        <is>
          <t>Name</t>
        </is>
      </c>
      <c r="C3" s="20" t="inlineStr">
        <is>
          <t>Purpose</t>
        </is>
      </c>
      <c r="D3" s="21" t="inlineStr">
        <is>
          <t>Entry criteria met</t>
        </is>
      </c>
      <c r="E3" s="21" t="inlineStr">
        <is>
          <t>Deliverables done</t>
        </is>
      </c>
      <c r="F3" s="21" t="inlineStr">
        <is>
          <t>Exit checks</t>
        </is>
      </c>
      <c r="G3" s="21" t="inlineStr">
        <is>
          <t>Exit checks done</t>
        </is>
      </c>
      <c r="H3" s="21" t="inlineStr">
        <is>
          <t>Exit %</t>
        </is>
      </c>
      <c r="I3" s="21" t="inlineStr">
        <is>
          <t>Ready to pass?</t>
        </is>
      </c>
      <c r="J3" s="20" t="inlineStr">
        <is>
          <t>Decision</t>
        </is>
      </c>
      <c r="K3" s="21" t="inlineStr">
        <is>
          <t>Decision check</t>
        </is>
      </c>
      <c r="L3" s="20" t="inlineStr">
        <is>
          <t>Decision date</t>
        </is>
      </c>
      <c r="M3" s="20" t="inlineStr">
        <is>
          <t>Decision guide</t>
        </is>
      </c>
      <c r="N3" s="20" t="inlineStr">
        <is>
          <t>Typical budget spent</t>
        </is>
      </c>
      <c r="O3" s="20" t="inlineStr">
        <is>
          <t>Typical duration</t>
        </is>
      </c>
      <c r="P3" s="20" t="inlineStr">
        <is>
          <t>Notes</t>
        </is>
      </c>
    </row>
    <row r="4">
      <c r="A4" s="22" t="inlineStr">
        <is>
          <t>G0</t>
        </is>
      </c>
      <c r="B4" s="22" t="inlineStr">
        <is>
          <t>Feasibility &amp; eligibility</t>
        </is>
      </c>
      <c r="C4" s="23" t="inlineStr">
        <is>
          <t>Can I, should I, and can I afford to owner-build?</t>
        </is>
      </c>
      <c r="D4" s="7">
        <f>COUNTIFS('Gateways'!$A$4:$A$114,A4,'Gateways'!$C$4:$C$114,"Entry criteria",'Gateways'!$E$4:$E$114,"Yes")&amp;" of "&amp;COUNTIFS('Gateways'!$A$4:$A$114,A4,'Gateways'!$C$4:$C$114,"Entry criteria")</f>
        <v/>
      </c>
      <c r="E4" s="7">
        <f>COUNTIFS('Gateways'!$A$4:$A$114,A4,'Gateways'!$C$4:$C$114,"Deliverable",'Gateways'!$E$4:$E$114,"Yes")&amp;" of "&amp;COUNTIFS('Gateways'!$A$4:$A$114,A4,'Gateways'!$C$4:$C$114,"Deliverable")</f>
        <v/>
      </c>
      <c r="F4" s="7">
        <f>COUNTIFS('Gateways'!$A$4:$A$114,A4,'Gateways'!$C$4:$C$114,"Exit check")</f>
        <v/>
      </c>
      <c r="G4" s="7">
        <f>COUNTIFS('Gateways'!$A$4:$A$114,A4,'Gateways'!$C$4:$C$114,"Exit check",'Gateways'!$E$4:$E$114,"Yes")</f>
        <v/>
      </c>
      <c r="H4" s="8">
        <f>IF(F4=0,"",G4/F4)</f>
        <v/>
      </c>
      <c r="I4" s="7">
        <f>IF(F4=0,"",IF(G4=F4,"Ready","Not yet"))</f>
        <v/>
      </c>
      <c r="J4" s="22" t="n"/>
      <c r="K4" s="7">
        <f>IF(AND(J4="Go",I4&lt;&gt;"Ready"),"Go recorded, exit checks open","")</f>
        <v/>
      </c>
      <c r="L4" s="24" t="n"/>
      <c r="M4" s="23" t="inlineStr">
        <is>
          <t>Go to concept, or Stop and consider a builder or part-build instead.</t>
        </is>
      </c>
      <c r="N4" s="22" t="inlineStr">
        <is>
          <t>~0–1%</t>
        </is>
      </c>
      <c r="O4" s="22" t="inlineStr">
        <is>
          <t>1–3 months (with G1)</t>
        </is>
      </c>
      <c r="P4" s="23" t="n"/>
    </row>
    <row r="5">
      <c r="A5" s="22" t="inlineStr">
        <is>
          <t>G1</t>
        </is>
      </c>
      <c r="B5" s="22" t="inlineStr">
        <is>
          <t>Concept &amp; budget</t>
        </is>
      </c>
      <c r="C5" s="23" t="inlineStr">
        <is>
          <t>Lock the brief, the concept and the money.</t>
        </is>
      </c>
      <c r="D5" s="7">
        <f>COUNTIFS('Gateways'!$A$4:$A$114,A5,'Gateways'!$C$4:$C$114,"Entry criteria",'Gateways'!$E$4:$E$114,"Yes")&amp;" of "&amp;COUNTIFS('Gateways'!$A$4:$A$114,A5,'Gateways'!$C$4:$C$114,"Entry criteria")</f>
        <v/>
      </c>
      <c r="E5" s="7">
        <f>COUNTIFS('Gateways'!$A$4:$A$114,A5,'Gateways'!$C$4:$C$114,"Deliverable",'Gateways'!$E$4:$E$114,"Yes")&amp;" of "&amp;COUNTIFS('Gateways'!$A$4:$A$114,A5,'Gateways'!$C$4:$C$114,"Deliverable")</f>
        <v/>
      </c>
      <c r="F5" s="7">
        <f>COUNTIFS('Gateways'!$A$4:$A$114,A5,'Gateways'!$C$4:$C$114,"Exit check")</f>
        <v/>
      </c>
      <c r="G5" s="7">
        <f>COUNTIFS('Gateways'!$A$4:$A$114,A5,'Gateways'!$C$4:$C$114,"Exit check",'Gateways'!$E$4:$E$114,"Yes")</f>
        <v/>
      </c>
      <c r="H5" s="8">
        <f>IF(F5=0,"",G5/F5)</f>
        <v/>
      </c>
      <c r="I5" s="7">
        <f>IF(F5=0,"",IF(G5=F5,"Ready","Not yet"))</f>
        <v/>
      </c>
      <c r="J5" s="22" t="n"/>
      <c r="K5" s="7">
        <f>IF(AND(J5="Go",I5&lt;&gt;"Ready"),"Go recorded, exit checks open","")</f>
        <v/>
      </c>
      <c r="L5" s="24" t="n"/>
      <c r="M5" s="23" t="inlineStr">
        <is>
          <t>Go to detailed design, or Hold and value-manage the concept.</t>
        </is>
      </c>
      <c r="N5" s="22" t="inlineStr">
        <is>
          <t>~2–3%</t>
        </is>
      </c>
      <c r="O5" s="22" t="inlineStr">
        <is>
          <t>1–3 months (with G0)</t>
        </is>
      </c>
      <c r="P5" s="23" t="n"/>
    </row>
    <row r="6">
      <c r="A6" s="22" t="inlineStr">
        <is>
          <t>G2</t>
        </is>
      </c>
      <c r="B6" s="22" t="inlineStr">
        <is>
          <t>Design &amp; approvals</t>
        </is>
      </c>
      <c r="C6" s="23" t="inlineStr">
        <is>
          <t>Everything you need for a building permit.</t>
        </is>
      </c>
      <c r="D6" s="7">
        <f>COUNTIFS('Gateways'!$A$4:$A$114,A6,'Gateways'!$C$4:$C$114,"Entry criteria",'Gateways'!$E$4:$E$114,"Yes")&amp;" of "&amp;COUNTIFS('Gateways'!$A$4:$A$114,A6,'Gateways'!$C$4:$C$114,"Entry criteria")</f>
        <v/>
      </c>
      <c r="E6" s="7">
        <f>COUNTIFS('Gateways'!$A$4:$A$114,A6,'Gateways'!$C$4:$C$114,"Deliverable",'Gateways'!$E$4:$E$114,"Yes")&amp;" of "&amp;COUNTIFS('Gateways'!$A$4:$A$114,A6,'Gateways'!$C$4:$C$114,"Deliverable")</f>
        <v/>
      </c>
      <c r="F6" s="7">
        <f>COUNTIFS('Gateways'!$A$4:$A$114,A6,'Gateways'!$C$4:$C$114,"Exit check")</f>
        <v/>
      </c>
      <c r="G6" s="7">
        <f>COUNTIFS('Gateways'!$A$4:$A$114,A6,'Gateways'!$C$4:$C$114,"Exit check",'Gateways'!$E$4:$E$114,"Yes")</f>
        <v/>
      </c>
      <c r="H6" s="8">
        <f>IF(F6=0,"",G6/F6)</f>
        <v/>
      </c>
      <c r="I6" s="7">
        <f>IF(F6=0,"",IF(G6=F6,"Ready","Not yet"))</f>
        <v/>
      </c>
      <c r="J6" s="22" t="n"/>
      <c r="K6" s="7">
        <f>IF(AND(J6="Go",I6&lt;&gt;"Ready"),"Go recorded, exit checks open","")</f>
        <v/>
      </c>
      <c r="L6" s="24" t="n"/>
      <c r="M6" s="23" t="inlineStr">
        <is>
          <t>Go to procurement, or Hold for design changes.</t>
        </is>
      </c>
      <c r="N6" s="22" t="inlineStr">
        <is>
          <t>~5%</t>
        </is>
      </c>
      <c r="O6" s="22" t="inlineStr">
        <is>
          <t>2–6 months</t>
        </is>
      </c>
      <c r="P6" s="23" t="n"/>
    </row>
    <row r="7">
      <c r="A7" s="22" t="inlineStr">
        <is>
          <t>G3</t>
        </is>
      </c>
      <c r="B7" s="22" t="inlineStr">
        <is>
          <t>Procurement &amp; permit</t>
        </is>
      </c>
      <c r="C7" s="23" t="inlineStr">
        <is>
          <t>Right trades, right price, right paperwork. Ready to start.</t>
        </is>
      </c>
      <c r="D7" s="7">
        <f>COUNTIFS('Gateways'!$A$4:$A$114,A7,'Gateways'!$C$4:$C$114,"Entry criteria",'Gateways'!$E$4:$E$114,"Yes")&amp;" of "&amp;COUNTIFS('Gateways'!$A$4:$A$114,A7,'Gateways'!$C$4:$C$114,"Entry criteria")</f>
        <v/>
      </c>
      <c r="E7" s="7">
        <f>COUNTIFS('Gateways'!$A$4:$A$114,A7,'Gateways'!$C$4:$C$114,"Deliverable",'Gateways'!$E$4:$E$114,"Yes")&amp;" of "&amp;COUNTIFS('Gateways'!$A$4:$A$114,A7,'Gateways'!$C$4:$C$114,"Deliverable")</f>
        <v/>
      </c>
      <c r="F7" s="7">
        <f>COUNTIFS('Gateways'!$A$4:$A$114,A7,'Gateways'!$C$4:$C$114,"Exit check")</f>
        <v/>
      </c>
      <c r="G7" s="7">
        <f>COUNTIFS('Gateways'!$A$4:$A$114,A7,'Gateways'!$C$4:$C$114,"Exit check",'Gateways'!$E$4:$E$114,"Yes")</f>
        <v/>
      </c>
      <c r="H7" s="8">
        <f>IF(F7=0,"",G7/F7)</f>
        <v/>
      </c>
      <c r="I7" s="7">
        <f>IF(F7=0,"",IF(G7=F7,"Ready","Not yet"))</f>
        <v/>
      </c>
      <c r="J7" s="22" t="n"/>
      <c r="K7" s="7">
        <f>IF(AND(J7="Go",I7&lt;&gt;"Ready"),"Go recorded, exit checks open","")</f>
        <v/>
      </c>
      <c r="L7" s="24" t="n"/>
      <c r="M7" s="23" t="inlineStr">
        <is>
          <t>Go to site, or Hold until the price and paperwork are right.</t>
        </is>
      </c>
      <c r="N7" s="22" t="inlineStr">
        <is>
          <t>~8%</t>
        </is>
      </c>
      <c r="O7" s="22" t="inlineStr">
        <is>
          <t>1–2 months</t>
        </is>
      </c>
      <c r="P7" s="23" t="n"/>
    </row>
    <row r="8">
      <c r="A8" s="22" t="inlineStr">
        <is>
          <t>G4</t>
        </is>
      </c>
      <c r="B8" s="22" t="inlineStr">
        <is>
          <t>Site works &amp; base</t>
        </is>
      </c>
      <c r="C8" s="23" t="inlineStr">
        <is>
          <t>Out of the ground: set-out, services, footings and slab.</t>
        </is>
      </c>
      <c r="D8" s="7">
        <f>COUNTIFS('Gateways'!$A$4:$A$114,A8,'Gateways'!$C$4:$C$114,"Entry criteria",'Gateways'!$E$4:$E$114,"Yes")&amp;" of "&amp;COUNTIFS('Gateways'!$A$4:$A$114,A8,'Gateways'!$C$4:$C$114,"Entry criteria")</f>
        <v/>
      </c>
      <c r="E8" s="7">
        <f>COUNTIFS('Gateways'!$A$4:$A$114,A8,'Gateways'!$C$4:$C$114,"Deliverable",'Gateways'!$E$4:$E$114,"Yes")&amp;" of "&amp;COUNTIFS('Gateways'!$A$4:$A$114,A8,'Gateways'!$C$4:$C$114,"Deliverable")</f>
        <v/>
      </c>
      <c r="F8" s="7">
        <f>COUNTIFS('Gateways'!$A$4:$A$114,A8,'Gateways'!$C$4:$C$114,"Exit check")</f>
        <v/>
      </c>
      <c r="G8" s="7">
        <f>COUNTIFS('Gateways'!$A$4:$A$114,A8,'Gateways'!$C$4:$C$114,"Exit check",'Gateways'!$E$4:$E$114,"Yes")</f>
        <v/>
      </c>
      <c r="H8" s="8">
        <f>IF(F8=0,"",G8/F8)</f>
        <v/>
      </c>
      <c r="I8" s="7">
        <f>IF(F8=0,"",IF(G8=F8,"Ready","Not yet"))</f>
        <v/>
      </c>
      <c r="J8" s="22" t="n"/>
      <c r="K8" s="7">
        <f>IF(AND(J8="Go",I8&lt;&gt;"Ready"),"Go recorded, exit checks open","")</f>
        <v/>
      </c>
      <c r="L8" s="24" t="n"/>
      <c r="M8" s="23" t="inlineStr">
        <is>
          <t>Go to frame.</t>
        </is>
      </c>
      <c r="N8" s="22" t="inlineStr">
        <is>
          <t>~15–20%</t>
        </is>
      </c>
      <c r="O8" s="22" t="inlineStr">
        <is>
          <t>4–8 weeks</t>
        </is>
      </c>
      <c r="P8" s="23" t="n"/>
    </row>
    <row r="9">
      <c r="A9" s="22" t="inlineStr">
        <is>
          <t>G5</t>
        </is>
      </c>
      <c r="B9" s="22" t="inlineStr">
        <is>
          <t>Frame &amp; lock-up</t>
        </is>
      </c>
      <c r="C9" s="23" t="inlineStr">
        <is>
          <t>Structure, roof, windows and doors. Weather-tight and secure.</t>
        </is>
      </c>
      <c r="D9" s="7">
        <f>COUNTIFS('Gateways'!$A$4:$A$114,A9,'Gateways'!$C$4:$C$114,"Entry criteria",'Gateways'!$E$4:$E$114,"Yes")&amp;" of "&amp;COUNTIFS('Gateways'!$A$4:$A$114,A9,'Gateways'!$C$4:$C$114,"Entry criteria")</f>
        <v/>
      </c>
      <c r="E9" s="7">
        <f>COUNTIFS('Gateways'!$A$4:$A$114,A9,'Gateways'!$C$4:$C$114,"Deliverable",'Gateways'!$E$4:$E$114,"Yes")&amp;" of "&amp;COUNTIFS('Gateways'!$A$4:$A$114,A9,'Gateways'!$C$4:$C$114,"Deliverable")</f>
        <v/>
      </c>
      <c r="F9" s="7">
        <f>COUNTIFS('Gateways'!$A$4:$A$114,A9,'Gateways'!$C$4:$C$114,"Exit check")</f>
        <v/>
      </c>
      <c r="G9" s="7">
        <f>COUNTIFS('Gateways'!$A$4:$A$114,A9,'Gateways'!$C$4:$C$114,"Exit check",'Gateways'!$E$4:$E$114,"Yes")</f>
        <v/>
      </c>
      <c r="H9" s="8">
        <f>IF(F9=0,"",G9/F9)</f>
        <v/>
      </c>
      <c r="I9" s="7">
        <f>IF(F9=0,"",IF(G9=F9,"Ready","Not yet"))</f>
        <v/>
      </c>
      <c r="J9" s="22" t="n"/>
      <c r="K9" s="7">
        <f>IF(AND(J9="Go",I9&lt;&gt;"Ready"),"Go recorded, exit checks open","")</f>
        <v/>
      </c>
      <c r="L9" s="24" t="n"/>
      <c r="M9" s="23" t="inlineStr">
        <is>
          <t>Go to fit-out.</t>
        </is>
      </c>
      <c r="N9" s="22" t="inlineStr">
        <is>
          <t>~45–55%</t>
        </is>
      </c>
      <c r="O9" s="22" t="inlineStr">
        <is>
          <t>8–12 weeks</t>
        </is>
      </c>
      <c r="P9" s="23" t="n"/>
    </row>
    <row r="10">
      <c r="A10" s="22" t="inlineStr">
        <is>
          <t>G6</t>
        </is>
      </c>
      <c r="B10" s="22" t="inlineStr">
        <is>
          <t>Fit-out &amp; fixing</t>
        </is>
      </c>
      <c r="C10" s="23" t="inlineStr">
        <is>
          <t>Plaster to paint, wet areas, kitchen, fit-off.</t>
        </is>
      </c>
      <c r="D10" s="7">
        <f>COUNTIFS('Gateways'!$A$4:$A$114,A10,'Gateways'!$C$4:$C$114,"Entry criteria",'Gateways'!$E$4:$E$114,"Yes")&amp;" of "&amp;COUNTIFS('Gateways'!$A$4:$A$114,A10,'Gateways'!$C$4:$C$114,"Entry criteria")</f>
        <v/>
      </c>
      <c r="E10" s="7">
        <f>COUNTIFS('Gateways'!$A$4:$A$114,A10,'Gateways'!$C$4:$C$114,"Deliverable",'Gateways'!$E$4:$E$114,"Yes")&amp;" of "&amp;COUNTIFS('Gateways'!$A$4:$A$114,A10,'Gateways'!$C$4:$C$114,"Deliverable")</f>
        <v/>
      </c>
      <c r="F10" s="7">
        <f>COUNTIFS('Gateways'!$A$4:$A$114,A10,'Gateways'!$C$4:$C$114,"Exit check")</f>
        <v/>
      </c>
      <c r="G10" s="7">
        <f>COUNTIFS('Gateways'!$A$4:$A$114,A10,'Gateways'!$C$4:$C$114,"Exit check",'Gateways'!$E$4:$E$114,"Yes")</f>
        <v/>
      </c>
      <c r="H10" s="8">
        <f>IF(F10=0,"",G10/F10)</f>
        <v/>
      </c>
      <c r="I10" s="7">
        <f>IF(F10=0,"",IF(G10=F10,"Ready","Not yet"))</f>
        <v/>
      </c>
      <c r="J10" s="22" t="n"/>
      <c r="K10" s="7">
        <f>IF(AND(J10="Go",I10&lt;&gt;"Ready"),"Go recorded, exit checks open","")</f>
        <v/>
      </c>
      <c r="L10" s="24" t="n"/>
      <c r="M10" s="23" t="inlineStr">
        <is>
          <t>Go to final.</t>
        </is>
      </c>
      <c r="N10" s="22" t="inlineStr">
        <is>
          <t>~85–90%</t>
        </is>
      </c>
      <c r="O10" s="22" t="inlineStr">
        <is>
          <t>12–20 weeks</t>
        </is>
      </c>
      <c r="P10" s="23" t="n"/>
    </row>
    <row r="11">
      <c r="A11" s="22" t="inlineStr">
        <is>
          <t>G7</t>
        </is>
      </c>
      <c r="B11" s="22" t="inlineStr">
        <is>
          <t>Completion &amp; handover</t>
        </is>
      </c>
      <c r="C11" s="23" t="inlineStr">
        <is>
          <t>Occupancy, close-out and your handover file.</t>
        </is>
      </c>
      <c r="D11" s="7">
        <f>COUNTIFS('Gateways'!$A$4:$A$114,A11,'Gateways'!$C$4:$C$114,"Entry criteria",'Gateways'!$E$4:$E$114,"Yes")&amp;" of "&amp;COUNTIFS('Gateways'!$A$4:$A$114,A11,'Gateways'!$C$4:$C$114,"Entry criteria")</f>
        <v/>
      </c>
      <c r="E11" s="7">
        <f>COUNTIFS('Gateways'!$A$4:$A$114,A11,'Gateways'!$C$4:$C$114,"Deliverable",'Gateways'!$E$4:$E$114,"Yes")&amp;" of "&amp;COUNTIFS('Gateways'!$A$4:$A$114,A11,'Gateways'!$C$4:$C$114,"Deliverable")</f>
        <v/>
      </c>
      <c r="F11" s="7">
        <f>COUNTIFS('Gateways'!$A$4:$A$114,A11,'Gateways'!$C$4:$C$114,"Exit check")</f>
        <v/>
      </c>
      <c r="G11" s="7">
        <f>COUNTIFS('Gateways'!$A$4:$A$114,A11,'Gateways'!$C$4:$C$114,"Exit check",'Gateways'!$E$4:$E$114,"Yes")</f>
        <v/>
      </c>
      <c r="H11" s="8">
        <f>IF(F11=0,"",G11/F11)</f>
        <v/>
      </c>
      <c r="I11" s="7">
        <f>IF(F11=0,"",IF(G11=F11,"Ready","Not yet"))</f>
        <v/>
      </c>
      <c r="J11" s="22" t="n"/>
      <c r="K11" s="7">
        <f>IF(AND(J11="Go",I11&lt;&gt;"Ready"),"Go recorded, exit checks open","")</f>
        <v/>
      </c>
      <c r="L11" s="24" t="n"/>
      <c r="M11" s="23" t="inlineStr">
        <is>
          <t>Close the project. Welcome home.</t>
        </is>
      </c>
      <c r="N11" s="22" t="inlineStr">
        <is>
          <t>100%</t>
        </is>
      </c>
      <c r="O11" s="22" t="inlineStr">
        <is>
          <t>2–6 weeks</t>
        </is>
      </c>
      <c r="P11" s="23" t="n"/>
    </row>
  </sheetData>
  <sheetProtection selectLockedCells="0" selectUnlockedCells="0" sheet="1" objects="0" insertRows="0" insertHyperlinks="0" autoFilter="0" scenarios="0" formatColumns="0" deleteColumns="1" insertColumns="1" pivotTables="1" deleteRows="0" formatCells="0" formatRows="0" sort="0"/>
  <autoFilter ref="A3:P11"/>
  <conditionalFormatting sqref="I4:I11">
    <cfRule type="cellIs" priority="1" operator="equal" dxfId="0">
      <formula>"Ready"</formula>
    </cfRule>
  </conditionalFormatting>
  <conditionalFormatting sqref="J4:J11">
    <cfRule type="cellIs" priority="2" operator="equal" dxfId="0">
      <formula>"Go"</formula>
    </cfRule>
    <cfRule type="cellIs" priority="3" operator="equal" dxfId="1">
      <formula>"Hold"</formula>
    </cfRule>
    <cfRule type="cellIs" priority="4" operator="equal" dxfId="2">
      <formula>"Stop"</formula>
    </cfRule>
  </conditionalFormatting>
  <conditionalFormatting sqref="K4:K11">
    <cfRule type="expression" priority="5" dxfId="2">
      <formula>LEN(K4)&gt;0</formula>
    </cfRule>
  </conditionalFormatting>
  <dataValidations count="1">
    <dataValidation sqref="J4:J11" showDropDown="0" showInputMessage="1" showErrorMessage="0" allowBlank="1" errorTitle="Not ready for Go" error="Type Go, Hold or Stop. Go is only allowed once every exit check for this gate is Yes on the Gateways tab." prompt="Type Go, Hold or Stop. Go needs every exit check done." type="custom" errorStyle="stop">
      <formula1>OR(J4="Hold",J4="Stop",AND(J4="Go",I4="Ready"))</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14"/>
  <sheetViews>
    <sheetView workbookViewId="0">
      <pane xSplit="4" ySplit="3" topLeftCell="E4" activePane="bottomRight" state="frozen"/>
      <selection pane="topRight"/>
      <selection pane="bottomLeft"/>
      <selection pane="bottomRight" activeCell="A1" sqref="A1"/>
    </sheetView>
  </sheetViews>
  <sheetFormatPr baseColWidth="8" defaultRowHeight="15"/>
  <cols>
    <col width="7" customWidth="1" min="1" max="1"/>
    <col width="24" customWidth="1" min="2" max="2"/>
    <col width="14" customWidth="1" min="3" max="3"/>
    <col width="52" customWidth="1" min="4" max="4"/>
    <col width="9" customWidth="1" min="5" max="5"/>
    <col width="12" customWidth="1" min="6" max="6"/>
    <col width="16" customWidth="1" min="7" max="7"/>
    <col width="30" customWidth="1" min="8" max="8"/>
    <col width="8" customWidth="1" min="9" max="9"/>
    <col width="36" customWidth="1" min="10" max="10"/>
  </cols>
  <sheetData>
    <row r="1" ht="24" customHeight="1">
      <c r="A1" s="1" t="inlineStr">
        <is>
          <t>Gateways G0 to G7</t>
        </is>
      </c>
    </row>
    <row r="2">
      <c r="A2" s="2" t="inlineStr">
        <is>
          <t>Tick each entry criterion, deliverable and exit check as it's met. A gate is ready to pass when every exit check is Yes (see Gate Review).</t>
        </is>
      </c>
    </row>
    <row r="3" ht="32" customHeight="1">
      <c r="A3" s="20" t="inlineStr">
        <is>
          <t>Gate</t>
        </is>
      </c>
      <c r="B3" s="20" t="inlineStr">
        <is>
          <t>Gate name</t>
        </is>
      </c>
      <c r="C3" s="20" t="inlineStr">
        <is>
          <t>Type</t>
        </is>
      </c>
      <c r="D3" s="20" t="inlineStr">
        <is>
          <t>Item</t>
        </is>
      </c>
      <c r="E3" s="20" t="inlineStr">
        <is>
          <t>Done?</t>
        </is>
      </c>
      <c r="F3" s="20" t="inlineStr">
        <is>
          <t>Date</t>
        </is>
      </c>
      <c r="G3" s="20" t="inlineStr">
        <is>
          <t>Evidence Doc ID</t>
        </is>
      </c>
      <c r="H3" s="20" t="inlineStr">
        <is>
          <t>Drive folder (suggested)</t>
        </is>
      </c>
      <c r="I3" s="21" t="inlineStr">
        <is>
          <t>Folder</t>
        </is>
      </c>
      <c r="J3" s="20" t="inlineStr">
        <is>
          <t>Notes</t>
        </is>
      </c>
    </row>
    <row r="4">
      <c r="A4" s="22" t="inlineStr">
        <is>
          <t>G0</t>
        </is>
      </c>
      <c r="B4" s="22" t="inlineStr">
        <is>
          <t>Feasibility &amp; eligibility</t>
        </is>
      </c>
      <c r="C4" s="22" t="inlineStr">
        <is>
          <t>Entry criteria</t>
        </is>
      </c>
      <c r="D4" s="23" t="inlineStr">
        <is>
          <t>You own, or are buying, the land</t>
        </is>
      </c>
      <c r="E4" s="22" t="n"/>
      <c r="F4" s="24" t="n"/>
      <c r="G4" s="22" t="n"/>
      <c r="H4" s="22" t="inlineStr"/>
      <c r="I4" s="7">
        <f>IF(H4="","",IF(IFERROR(INDEX('Google Drive Map'!$G$4:$G$33,MATCH(H4,'Google Drive Map'!$B$4:$B$33,0))&amp;"","")="","",HYPERLINK(INDEX('Google Drive Map'!$G$4:$G$33,MATCH(H4,'Google Drive Map'!$B$4:$B$33,0)),"Open")))</f>
        <v/>
      </c>
      <c r="J4" s="23" t="n"/>
    </row>
    <row r="5">
      <c r="A5" s="22" t="inlineStr">
        <is>
          <t>G0</t>
        </is>
      </c>
      <c r="B5" s="22" t="inlineStr">
        <is>
          <t>Feasibility &amp; eligibility</t>
        </is>
      </c>
      <c r="C5" s="22" t="inlineStr">
        <is>
          <t>Entry criteria</t>
        </is>
      </c>
      <c r="D5" s="23" t="inlineStr">
        <is>
          <t>You have a rough idea of the home you want</t>
        </is>
      </c>
      <c r="E5" s="22" t="n"/>
      <c r="F5" s="24" t="n"/>
      <c r="G5" s="22" t="n"/>
      <c r="H5" s="22" t="inlineStr"/>
      <c r="I5" s="7">
        <f>IF(H5="","",IF(IFERROR(INDEX('Google Drive Map'!$G$4:$G$33,MATCH(H5,'Google Drive Map'!$B$4:$B$33,0))&amp;"","")="","",HYPERLINK(INDEX('Google Drive Map'!$G$4:$G$33,MATCH(H5,'Google Drive Map'!$B$4:$B$33,0)),"Open")))</f>
        <v/>
      </c>
      <c r="J5" s="23" t="n"/>
    </row>
    <row r="6">
      <c r="A6" s="22" t="inlineStr">
        <is>
          <t>G0</t>
        </is>
      </c>
      <c r="B6" s="22" t="inlineStr">
        <is>
          <t>Feasibility &amp; eligibility</t>
        </is>
      </c>
      <c r="C6" s="22" t="inlineStr">
        <is>
          <t>Entry criteria</t>
        </is>
      </c>
      <c r="D6" s="23" t="inlineStr">
        <is>
          <t>You know how much time you can commit each week</t>
        </is>
      </c>
      <c r="E6" s="22" t="n"/>
      <c r="F6" s="24" t="n"/>
      <c r="G6" s="22" t="n"/>
      <c r="H6" s="22" t="inlineStr"/>
      <c r="I6" s="7">
        <f>IF(H6="","",IF(IFERROR(INDEX('Google Drive Map'!$G$4:$G$33,MATCH(H6,'Google Drive Map'!$B$4:$B$33,0))&amp;"","")="","",HYPERLINK(INDEX('Google Drive Map'!$G$4:$G$33,MATCH(H6,'Google Drive Map'!$B$4:$B$33,0)),"Open")))</f>
        <v/>
      </c>
      <c r="J6" s="23" t="n"/>
    </row>
    <row r="7">
      <c r="A7" s="22" t="inlineStr">
        <is>
          <t>G0</t>
        </is>
      </c>
      <c r="B7" s="22" t="inlineStr">
        <is>
          <t>Feasibility &amp; eligibility</t>
        </is>
      </c>
      <c r="C7" s="22" t="inlineStr">
        <is>
          <t>Deliverable</t>
        </is>
      </c>
      <c r="D7" s="23" t="inlineStr">
        <is>
          <t>Eligibility self-check (s25E)</t>
        </is>
      </c>
      <c r="E7" s="22" t="n"/>
      <c r="F7" s="24" t="n"/>
      <c r="G7" s="22" t="n"/>
      <c r="H7" s="22" t="inlineStr">
        <is>
          <t>01 Eligibility, Land &amp; Planning</t>
        </is>
      </c>
      <c r="I7" s="7">
        <f>IF(H7="","",IF(IFERROR(INDEX('Google Drive Map'!$G$4:$G$33,MATCH(H7,'Google Drive Map'!$B$4:$B$33,0))&amp;"","")="","",HYPERLINK(INDEX('Google Drive Map'!$G$4:$G$33,MATCH(H7,'Google Drive Map'!$B$4:$B$33,0)),"Open")))</f>
        <v/>
      </c>
      <c r="J7" s="23" t="n"/>
    </row>
    <row r="8">
      <c r="A8" s="22" t="inlineStr">
        <is>
          <t>G0</t>
        </is>
      </c>
      <c r="B8" s="22" t="inlineStr">
        <is>
          <t>Feasibility &amp; eligibility</t>
        </is>
      </c>
      <c r="C8" s="22" t="inlineStr">
        <is>
          <t>Deliverable</t>
        </is>
      </c>
      <c r="D8" s="23" t="inlineStr">
        <is>
          <t>Title, zoning &amp; overlay review</t>
        </is>
      </c>
      <c r="E8" s="22" t="n"/>
      <c r="F8" s="24" t="n"/>
      <c r="G8" s="22" t="n"/>
      <c r="H8" s="22" t="inlineStr">
        <is>
          <t>01 Eligibility, Land &amp; Planning</t>
        </is>
      </c>
      <c r="I8" s="7">
        <f>IF(H8="","",IF(IFERROR(INDEX('Google Drive Map'!$G$4:$G$33,MATCH(H8,'Google Drive Map'!$B$4:$B$33,0))&amp;"","")="","",HYPERLINK(INDEX('Google Drive Map'!$G$4:$G$33,MATCH(H8,'Google Drive Map'!$B$4:$B$33,0)),"Open")))</f>
        <v/>
      </c>
      <c r="J8" s="23" t="n"/>
    </row>
    <row r="9">
      <c r="A9" s="22" t="inlineStr">
        <is>
          <t>G0</t>
        </is>
      </c>
      <c r="B9" s="22" t="inlineStr">
        <is>
          <t>Feasibility &amp; eligibility</t>
        </is>
      </c>
      <c r="C9" s="22" t="inlineStr">
        <is>
          <t>Deliverable</t>
        </is>
      </c>
      <c r="D9" s="23" t="inlineStr">
        <is>
          <t>Order-of-magnitude budget ($/m² × area)</t>
        </is>
      </c>
      <c r="E9" s="22" t="n"/>
      <c r="F9" s="24" t="n"/>
      <c r="G9" s="22" t="n"/>
      <c r="H9" s="22" t="inlineStr">
        <is>
          <t>03 Permits, Insurance &amp; Finance</t>
        </is>
      </c>
      <c r="I9" s="7">
        <f>IF(H9="","",IF(IFERROR(INDEX('Google Drive Map'!$G$4:$G$33,MATCH(H9,'Google Drive Map'!$B$4:$B$33,0))&amp;"","")="","",HYPERLINK(INDEX('Google Drive Map'!$G$4:$G$33,MATCH(H9,'Google Drive Map'!$B$4:$B$33,0)),"Open")))</f>
        <v/>
      </c>
      <c r="J9" s="23" t="n"/>
    </row>
    <row r="10">
      <c r="A10" s="22" t="inlineStr">
        <is>
          <t>G0</t>
        </is>
      </c>
      <c r="B10" s="22" t="inlineStr">
        <is>
          <t>Feasibility &amp; eligibility</t>
        </is>
      </c>
      <c r="C10" s="22" t="inlineStr">
        <is>
          <t>Deliverable</t>
        </is>
      </c>
      <c r="D10" s="23" t="inlineStr">
        <is>
          <t>Finance conversation with an owner-builder-friendly lender</t>
        </is>
      </c>
      <c r="E10" s="22" t="n"/>
      <c r="F10" s="24" t="n"/>
      <c r="G10" s="22" t="n"/>
      <c r="H10" s="22" t="inlineStr">
        <is>
          <t>03 Permits, Insurance &amp; Finance</t>
        </is>
      </c>
      <c r="I10" s="7">
        <f>IF(H10="","",IF(IFERROR(INDEX('Google Drive Map'!$G$4:$G$33,MATCH(H10,'Google Drive Map'!$B$4:$B$33,0))&amp;"","")="","",HYPERLINK(INDEX('Google Drive Map'!$G$4:$G$33,MATCH(H10,'Google Drive Map'!$B$4:$B$33,0)),"Open")))</f>
        <v/>
      </c>
      <c r="J10" s="23" t="n"/>
    </row>
    <row r="11">
      <c r="A11" s="22" t="inlineStr">
        <is>
          <t>G0</t>
        </is>
      </c>
      <c r="B11" s="22" t="inlineStr">
        <is>
          <t>Feasibility &amp; eligibility</t>
        </is>
      </c>
      <c r="C11" s="22" t="inlineStr">
        <is>
          <t>Deliverable</t>
        </is>
      </c>
      <c r="D11" s="23" t="inlineStr">
        <is>
          <t>Honest skills &amp; time assessment</t>
        </is>
      </c>
      <c r="E11" s="22" t="n"/>
      <c r="F11" s="24" t="n"/>
      <c r="G11" s="22" t="n"/>
      <c r="H11" s="22" t="inlineStr">
        <is>
          <t>00 Project Register</t>
        </is>
      </c>
      <c r="I11" s="7">
        <f>IF(H11="","",IF(IFERROR(INDEX('Google Drive Map'!$G$4:$G$33,MATCH(H11,'Google Drive Map'!$B$4:$B$33,0))&amp;"","")="","",HYPERLINK(INDEX('Google Drive Map'!$G$4:$G$33,MATCH(H11,'Google Drive Map'!$B$4:$B$33,0)),"Open")))</f>
        <v/>
      </c>
      <c r="J11" s="23" t="n"/>
    </row>
    <row r="12">
      <c r="A12" s="22" t="inlineStr">
        <is>
          <t>G0</t>
        </is>
      </c>
      <c r="B12" s="22" t="inlineStr">
        <is>
          <t>Feasibility &amp; eligibility</t>
        </is>
      </c>
      <c r="C12" s="22" t="inlineStr">
        <is>
          <t>Exit check</t>
        </is>
      </c>
      <c r="D12" s="23" t="inlineStr">
        <is>
          <t>Eligible, or exemption pathway known</t>
        </is>
      </c>
      <c r="E12" s="22" t="n"/>
      <c r="F12" s="24" t="n"/>
      <c r="G12" s="22" t="n"/>
      <c r="H12" s="22" t="inlineStr"/>
      <c r="I12" s="7">
        <f>IF(H12="","",IF(IFERROR(INDEX('Google Drive Map'!$G$4:$G$33,MATCH(H12,'Google Drive Map'!$B$4:$B$33,0))&amp;"","")="","",HYPERLINK(INDEX('Google Drive Map'!$G$4:$G$33,MATCH(H12,'Google Drive Map'!$B$4:$B$33,0)),"Open")))</f>
        <v/>
      </c>
      <c r="J12" s="23" t="n"/>
    </row>
    <row r="13">
      <c r="A13" s="22" t="inlineStr">
        <is>
          <t>G0</t>
        </is>
      </c>
      <c r="B13" s="22" t="inlineStr">
        <is>
          <t>Feasibility &amp; eligibility</t>
        </is>
      </c>
      <c r="C13" s="22" t="inlineStr">
        <is>
          <t>Exit check</t>
        </is>
      </c>
      <c r="D13" s="23" t="inlineStr">
        <is>
          <t>No title or planning showstoppers</t>
        </is>
      </c>
      <c r="E13" s="22" t="n"/>
      <c r="F13" s="24" t="n"/>
      <c r="G13" s="22" t="n"/>
      <c r="H13" s="22" t="inlineStr"/>
      <c r="I13" s="7">
        <f>IF(H13="","",IF(IFERROR(INDEX('Google Drive Map'!$G$4:$G$33,MATCH(H13,'Google Drive Map'!$B$4:$B$33,0))&amp;"","")="","",HYPERLINK(INDEX('Google Drive Map'!$G$4:$G$33,MATCH(H13,'Google Drive Map'!$B$4:$B$33,0)),"Open")))</f>
        <v/>
      </c>
      <c r="J13" s="23" t="n"/>
    </row>
    <row r="14">
      <c r="A14" s="22" t="inlineStr">
        <is>
          <t>G0</t>
        </is>
      </c>
      <c r="B14" s="22" t="inlineStr">
        <is>
          <t>Feasibility &amp; eligibility</t>
        </is>
      </c>
      <c r="C14" s="22" t="inlineStr">
        <is>
          <t>Exit check</t>
        </is>
      </c>
      <c r="D14" s="23" t="inlineStr">
        <is>
          <t>Budget and finance roughly align</t>
        </is>
      </c>
      <c r="E14" s="22" t="n"/>
      <c r="F14" s="24" t="n"/>
      <c r="G14" s="22" t="n"/>
      <c r="H14" s="22" t="inlineStr"/>
      <c r="I14" s="7">
        <f>IF(H14="","",IF(IFERROR(INDEX('Google Drive Map'!$G$4:$G$33,MATCH(H14,'Google Drive Map'!$B$4:$B$33,0))&amp;"","")="","",HYPERLINK(INDEX('Google Drive Map'!$G$4:$G$33,MATCH(H14,'Google Drive Map'!$B$4:$B$33,0)),"Open")))</f>
        <v/>
      </c>
      <c r="J14" s="23" t="n"/>
    </row>
    <row r="15">
      <c r="A15" s="22" t="inlineStr">
        <is>
          <t>G0</t>
        </is>
      </c>
      <c r="B15" s="22" t="inlineStr">
        <is>
          <t>Feasibility &amp; eligibility</t>
        </is>
      </c>
      <c r="C15" s="22" t="inlineStr">
        <is>
          <t>Exit check</t>
        </is>
      </c>
      <c r="D15" s="23" t="inlineStr">
        <is>
          <t>Household agrees on time, stress and risk</t>
        </is>
      </c>
      <c r="E15" s="22" t="n"/>
      <c r="F15" s="24" t="n"/>
      <c r="G15" s="22" t="n"/>
      <c r="H15" s="22" t="inlineStr"/>
      <c r="I15" s="7">
        <f>IF(H15="","",IF(IFERROR(INDEX('Google Drive Map'!$G$4:$G$33,MATCH(H15,'Google Drive Map'!$B$4:$B$33,0))&amp;"","")="","",HYPERLINK(INDEX('Google Drive Map'!$G$4:$G$33,MATCH(H15,'Google Drive Map'!$B$4:$B$33,0)),"Open")))</f>
        <v/>
      </c>
      <c r="J15" s="23" t="n"/>
    </row>
    <row r="16">
      <c r="A16" s="22" t="inlineStr">
        <is>
          <t>G1</t>
        </is>
      </c>
      <c r="B16" s="22" t="inlineStr">
        <is>
          <t>Concept &amp; budget</t>
        </is>
      </c>
      <c r="C16" s="22" t="inlineStr">
        <is>
          <t>Entry criteria</t>
        </is>
      </c>
      <c r="D16" s="23" t="inlineStr">
        <is>
          <t>G0 passed</t>
        </is>
      </c>
      <c r="E16" s="22" t="n"/>
      <c r="F16" s="24" t="n"/>
      <c r="G16" s="22" t="n"/>
      <c r="H16" s="22" t="inlineStr"/>
      <c r="I16" s="7">
        <f>IF(H16="","",IF(IFERROR(INDEX('Google Drive Map'!$G$4:$G$33,MATCH(H16,'Google Drive Map'!$B$4:$B$33,0))&amp;"","")="","",HYPERLINK(INDEX('Google Drive Map'!$G$4:$G$33,MATCH(H16,'Google Drive Map'!$B$4:$B$33,0)),"Open")))</f>
        <v/>
      </c>
      <c r="J16" s="23" t="n"/>
    </row>
    <row r="17">
      <c r="A17" s="22" t="inlineStr">
        <is>
          <t>G1</t>
        </is>
      </c>
      <c r="B17" s="22" t="inlineStr">
        <is>
          <t>Concept &amp; budget</t>
        </is>
      </c>
      <c r="C17" s="22" t="inlineStr">
        <is>
          <t>Entry criteria</t>
        </is>
      </c>
      <c r="D17" s="23" t="inlineStr">
        <is>
          <t>Designer or architect engaged</t>
        </is>
      </c>
      <c r="E17" s="22" t="n"/>
      <c r="F17" s="24" t="n"/>
      <c r="G17" s="22" t="n"/>
      <c r="H17" s="22" t="inlineStr"/>
      <c r="I17" s="7">
        <f>IF(H17="","",IF(IFERROR(INDEX('Google Drive Map'!$G$4:$G$33,MATCH(H17,'Google Drive Map'!$B$4:$B$33,0))&amp;"","")="","",HYPERLINK(INDEX('Google Drive Map'!$G$4:$G$33,MATCH(H17,'Google Drive Map'!$B$4:$B$33,0)),"Open")))</f>
        <v/>
      </c>
      <c r="J17" s="23" t="n"/>
    </row>
    <row r="18">
      <c r="A18" s="22" t="inlineStr">
        <is>
          <t>G1</t>
        </is>
      </c>
      <c r="B18" s="22" t="inlineStr">
        <is>
          <t>Concept &amp; budget</t>
        </is>
      </c>
      <c r="C18" s="22" t="inlineStr">
        <is>
          <t>Entry criteria</t>
        </is>
      </c>
      <c r="D18" s="23" t="inlineStr">
        <is>
          <t>Feature &amp; level survey and soil test ordered</t>
        </is>
      </c>
      <c r="E18" s="22" t="n"/>
      <c r="F18" s="24" t="n"/>
      <c r="G18" s="22" t="n"/>
      <c r="H18" s="22" t="inlineStr"/>
      <c r="I18" s="7">
        <f>IF(H18="","",IF(IFERROR(INDEX('Google Drive Map'!$G$4:$G$33,MATCH(H18,'Google Drive Map'!$B$4:$B$33,0))&amp;"","")="","",HYPERLINK(INDEX('Google Drive Map'!$G$4:$G$33,MATCH(H18,'Google Drive Map'!$B$4:$B$33,0)),"Open")))</f>
        <v/>
      </c>
      <c r="J18" s="23" t="n"/>
    </row>
    <row r="19">
      <c r="A19" s="22" t="inlineStr">
        <is>
          <t>G1</t>
        </is>
      </c>
      <c r="B19" s="22" t="inlineStr">
        <is>
          <t>Concept &amp; budget</t>
        </is>
      </c>
      <c r="C19" s="22" t="inlineStr">
        <is>
          <t>Deliverable</t>
        </is>
      </c>
      <c r="D19" s="23" t="inlineStr">
        <is>
          <t>Written design brief (rooms, sizes, must-haves, nice-to-haves)</t>
        </is>
      </c>
      <c r="E19" s="22" t="n"/>
      <c r="F19" s="24" t="n"/>
      <c r="G19" s="22" t="n"/>
      <c r="H19" s="22" t="inlineStr">
        <is>
          <t>02 Design &amp; Engineering</t>
        </is>
      </c>
      <c r="I19" s="7">
        <f>IF(H19="","",IF(IFERROR(INDEX('Google Drive Map'!$G$4:$G$33,MATCH(H19,'Google Drive Map'!$B$4:$B$33,0))&amp;"","")="","",HYPERLINK(INDEX('Google Drive Map'!$G$4:$G$33,MATCH(H19,'Google Drive Map'!$B$4:$B$33,0)),"Open")))</f>
        <v/>
      </c>
      <c r="J19" s="23" t="n"/>
    </row>
    <row r="20">
      <c r="A20" s="22" t="inlineStr">
        <is>
          <t>G1</t>
        </is>
      </c>
      <c r="B20" s="22" t="inlineStr">
        <is>
          <t>Concept &amp; budget</t>
        </is>
      </c>
      <c r="C20" s="22" t="inlineStr">
        <is>
          <t>Deliverable</t>
        </is>
      </c>
      <c r="D20" s="23" t="inlineStr">
        <is>
          <t>Concept plans &amp; room schedule in My Build</t>
        </is>
      </c>
      <c r="E20" s="22" t="n"/>
      <c r="F20" s="24" t="n"/>
      <c r="G20" s="22" t="n"/>
      <c r="H20" s="22" t="inlineStr">
        <is>
          <t>02 Design &amp; Engineering</t>
        </is>
      </c>
      <c r="I20" s="7">
        <f>IF(H20="","",IF(IFERROR(INDEX('Google Drive Map'!$G$4:$G$33,MATCH(H20,'Google Drive Map'!$B$4:$B$33,0))&amp;"","")="","",HYPERLINK(INDEX('Google Drive Map'!$G$4:$G$33,MATCH(H20,'Google Drive Map'!$B$4:$B$33,0)),"Open")))</f>
        <v/>
      </c>
      <c r="J20" s="23" t="n"/>
    </row>
    <row r="21">
      <c r="A21" s="22" t="inlineStr">
        <is>
          <t>G1</t>
        </is>
      </c>
      <c r="B21" s="22" t="inlineStr">
        <is>
          <t>Concept &amp; budget</t>
        </is>
      </c>
      <c r="C21" s="22" t="inlineStr">
        <is>
          <t>Deliverable</t>
        </is>
      </c>
      <c r="D21" s="23" t="inlineStr">
        <is>
          <t>Elemental cost plan with 10–15% contingency</t>
        </is>
      </c>
      <c r="E21" s="22" t="n"/>
      <c r="F21" s="24" t="n"/>
      <c r="G21" s="22" t="n"/>
      <c r="H21" s="22" t="inlineStr">
        <is>
          <t>03 Permits, Insurance &amp; Finance</t>
        </is>
      </c>
      <c r="I21" s="7">
        <f>IF(H21="","",IF(IFERROR(INDEX('Google Drive Map'!$G$4:$G$33,MATCH(H21,'Google Drive Map'!$B$4:$B$33,0))&amp;"","")="","",HYPERLINK(INDEX('Google Drive Map'!$G$4:$G$33,MATCH(H21,'Google Drive Map'!$B$4:$B$33,0)),"Open")))</f>
        <v/>
      </c>
      <c r="J21" s="23" t="n"/>
    </row>
    <row r="22">
      <c r="A22" s="22" t="inlineStr">
        <is>
          <t>G1</t>
        </is>
      </c>
      <c r="B22" s="22" t="inlineStr">
        <is>
          <t>Concept &amp; budget</t>
        </is>
      </c>
      <c r="C22" s="22" t="inlineStr">
        <is>
          <t>Deliverable</t>
        </is>
      </c>
      <c r="D22" s="23" t="inlineStr">
        <is>
          <t>Finance pre-approval</t>
        </is>
      </c>
      <c r="E22" s="22" t="n"/>
      <c r="F22" s="24" t="n"/>
      <c r="G22" s="22" t="n"/>
      <c r="H22" s="22" t="inlineStr">
        <is>
          <t>03 Permits, Insurance &amp; Finance</t>
        </is>
      </c>
      <c r="I22" s="7">
        <f>IF(H22="","",IF(IFERROR(INDEX('Google Drive Map'!$G$4:$G$33,MATCH(H22,'Google Drive Map'!$B$4:$B$33,0))&amp;"","")="","",HYPERLINK(INDEX('Google Drive Map'!$G$4:$G$33,MATCH(H22,'Google Drive Map'!$B$4:$B$33,0)),"Open")))</f>
        <v/>
      </c>
      <c r="J22" s="23" t="n"/>
    </row>
    <row r="23">
      <c r="A23" s="22" t="inlineStr">
        <is>
          <t>G1</t>
        </is>
      </c>
      <c r="B23" s="22" t="inlineStr">
        <is>
          <t>Concept &amp; budget</t>
        </is>
      </c>
      <c r="C23" s="22" t="inlineStr">
        <is>
          <t>Deliverable</t>
        </is>
      </c>
      <c r="D23" s="23" t="inlineStr">
        <is>
          <t>Draft program (target start &amp; finish)</t>
        </is>
      </c>
      <c r="E23" s="22" t="n"/>
      <c r="F23" s="24" t="n"/>
      <c r="G23" s="22" t="n"/>
      <c r="H23" s="22" t="inlineStr">
        <is>
          <t>00 Project Register</t>
        </is>
      </c>
      <c r="I23" s="7">
        <f>IF(H23="","",IF(IFERROR(INDEX('Google Drive Map'!$G$4:$G$33,MATCH(H23,'Google Drive Map'!$B$4:$B$33,0))&amp;"","")="","",HYPERLINK(INDEX('Google Drive Map'!$G$4:$G$33,MATCH(H23,'Google Drive Map'!$B$4:$B$33,0)),"Open")))</f>
        <v/>
      </c>
      <c r="J23" s="23" t="n"/>
    </row>
    <row r="24">
      <c r="A24" s="22" t="inlineStr">
        <is>
          <t>G1</t>
        </is>
      </c>
      <c r="B24" s="22" t="inlineStr">
        <is>
          <t>Concept &amp; budget</t>
        </is>
      </c>
      <c r="C24" s="22" t="inlineStr">
        <is>
          <t>Deliverable</t>
        </is>
      </c>
      <c r="D24" s="23" t="inlineStr">
        <is>
          <t>First risk register</t>
        </is>
      </c>
      <c r="E24" s="22" t="n"/>
      <c r="F24" s="24" t="n"/>
      <c r="G24" s="22" t="n"/>
      <c r="H24" s="22" t="inlineStr">
        <is>
          <t>00 Project Register</t>
        </is>
      </c>
      <c r="I24" s="7">
        <f>IF(H24="","",IF(IFERROR(INDEX('Google Drive Map'!$G$4:$G$33,MATCH(H24,'Google Drive Map'!$B$4:$B$33,0))&amp;"","")="","",HYPERLINK(INDEX('Google Drive Map'!$G$4:$G$33,MATCH(H24,'Google Drive Map'!$B$4:$B$33,0)),"Open")))</f>
        <v/>
      </c>
      <c r="J24" s="23" t="n"/>
    </row>
    <row r="25">
      <c r="A25" s="22" t="inlineStr">
        <is>
          <t>G1</t>
        </is>
      </c>
      <c r="B25" s="22" t="inlineStr">
        <is>
          <t>Concept &amp; budget</t>
        </is>
      </c>
      <c r="C25" s="22" t="inlineStr">
        <is>
          <t>Exit check</t>
        </is>
      </c>
      <c r="D25" s="23" t="inlineStr">
        <is>
          <t>Concept fits the budget, including contingency</t>
        </is>
      </c>
      <c r="E25" s="22" t="n"/>
      <c r="F25" s="24" t="n"/>
      <c r="G25" s="22" t="n"/>
      <c r="H25" s="22" t="inlineStr"/>
      <c r="I25" s="7">
        <f>IF(H25="","",IF(IFERROR(INDEX('Google Drive Map'!$G$4:$G$33,MATCH(H25,'Google Drive Map'!$B$4:$B$33,0))&amp;"","")="","",HYPERLINK(INDEX('Google Drive Map'!$G$4:$G$33,MATCH(H25,'Google Drive Map'!$B$4:$B$33,0)),"Open")))</f>
        <v/>
      </c>
      <c r="J25" s="23" t="n"/>
    </row>
    <row r="26">
      <c r="A26" s="22" t="inlineStr">
        <is>
          <t>G1</t>
        </is>
      </c>
      <c r="B26" s="22" t="inlineStr">
        <is>
          <t>Concept &amp; budget</t>
        </is>
      </c>
      <c r="C26" s="22" t="inlineStr">
        <is>
          <t>Exit check</t>
        </is>
      </c>
      <c r="D26" s="23" t="inlineStr">
        <is>
          <t>Concept fits the site (setbacks, overlays, fall, BAL)</t>
        </is>
      </c>
      <c r="E26" s="22" t="n"/>
      <c r="F26" s="24" t="n"/>
      <c r="G26" s="22" t="n"/>
      <c r="H26" s="22" t="inlineStr"/>
      <c r="I26" s="7">
        <f>IF(H26="","",IF(IFERROR(INDEX('Google Drive Map'!$G$4:$G$33,MATCH(H26,'Google Drive Map'!$B$4:$B$33,0))&amp;"","")="","",HYPERLINK(INDEX('Google Drive Map'!$G$4:$G$33,MATCH(H26,'Google Drive Map'!$B$4:$B$33,0)),"Open")))</f>
        <v/>
      </c>
      <c r="J26" s="23" t="n"/>
    </row>
    <row r="27">
      <c r="A27" s="22" t="inlineStr">
        <is>
          <t>G1</t>
        </is>
      </c>
      <c r="B27" s="22" t="inlineStr">
        <is>
          <t>Concept &amp; budget</t>
        </is>
      </c>
      <c r="C27" s="22" t="inlineStr">
        <is>
          <t>Exit check</t>
        </is>
      </c>
      <c r="D27" s="23" t="inlineStr">
        <is>
          <t>Scope frozen: changes after this cost money</t>
        </is>
      </c>
      <c r="E27" s="22" t="n"/>
      <c r="F27" s="24" t="n"/>
      <c r="G27" s="22" t="n"/>
      <c r="H27" s="22" t="inlineStr"/>
      <c r="I27" s="7">
        <f>IF(H27="","",IF(IFERROR(INDEX('Google Drive Map'!$G$4:$G$33,MATCH(H27,'Google Drive Map'!$B$4:$B$33,0))&amp;"","")="","",HYPERLINK(INDEX('Google Drive Map'!$G$4:$G$33,MATCH(H27,'Google Drive Map'!$B$4:$B$33,0)),"Open")))</f>
        <v/>
      </c>
      <c r="J27" s="23" t="n"/>
    </row>
    <row r="28">
      <c r="A28" s="22" t="inlineStr">
        <is>
          <t>G2</t>
        </is>
      </c>
      <c r="B28" s="22" t="inlineStr">
        <is>
          <t>Design &amp; approvals</t>
        </is>
      </c>
      <c r="C28" s="22" t="inlineStr">
        <is>
          <t>Entry criteria</t>
        </is>
      </c>
      <c r="D28" s="23" t="inlineStr">
        <is>
          <t>G1 passed, scope frozen</t>
        </is>
      </c>
      <c r="E28" s="22" t="n"/>
      <c r="F28" s="24" t="n"/>
      <c r="G28" s="22" t="n"/>
      <c r="H28" s="22" t="inlineStr"/>
      <c r="I28" s="7">
        <f>IF(H28="","",IF(IFERROR(INDEX('Google Drive Map'!$G$4:$G$33,MATCH(H28,'Google Drive Map'!$B$4:$B$33,0))&amp;"","")="","",HYPERLINK(INDEX('Google Drive Map'!$G$4:$G$33,MATCH(H28,'Google Drive Map'!$B$4:$B$33,0)),"Open")))</f>
        <v/>
      </c>
      <c r="J28" s="23" t="n"/>
    </row>
    <row r="29">
      <c r="A29" s="22" t="inlineStr">
        <is>
          <t>G2</t>
        </is>
      </c>
      <c r="B29" s="22" t="inlineStr">
        <is>
          <t>Design &amp; approvals</t>
        </is>
      </c>
      <c r="C29" s="22" t="inlineStr">
        <is>
          <t>Entry criteria</t>
        </is>
      </c>
      <c r="D29" s="23" t="inlineStr">
        <is>
          <t>Owner-builder eLearning &amp; white card done</t>
        </is>
      </c>
      <c r="E29" s="22" t="n"/>
      <c r="F29" s="24" t="n"/>
      <c r="G29" s="22" t="n"/>
      <c r="H29" s="22" t="inlineStr"/>
      <c r="I29" s="7">
        <f>IF(H29="","",IF(IFERROR(INDEX('Google Drive Map'!$G$4:$G$33,MATCH(H29,'Google Drive Map'!$B$4:$B$33,0))&amp;"","")="","",HYPERLINK(INDEX('Google Drive Map'!$G$4:$G$33,MATCH(H29,'Google Drive Map'!$B$4:$B$33,0)),"Open")))</f>
        <v/>
      </c>
      <c r="J29" s="23" t="n"/>
    </row>
    <row r="30">
      <c r="A30" s="22" t="inlineStr">
        <is>
          <t>G2</t>
        </is>
      </c>
      <c r="B30" s="22" t="inlineStr">
        <is>
          <t>Design &amp; approvals</t>
        </is>
      </c>
      <c r="C30" s="22" t="inlineStr">
        <is>
          <t>Deliverable</t>
        </is>
      </c>
      <c r="D30" s="23" t="inlineStr">
        <is>
          <t>Working drawings &amp; specification</t>
        </is>
      </c>
      <c r="E30" s="22" t="n"/>
      <c r="F30" s="24" t="n"/>
      <c r="G30" s="22" t="n"/>
      <c r="H30" s="22" t="inlineStr">
        <is>
          <t>02 Design &amp; Engineering</t>
        </is>
      </c>
      <c r="I30" s="7">
        <f>IF(H30="","",IF(IFERROR(INDEX('Google Drive Map'!$G$4:$G$33,MATCH(H30,'Google Drive Map'!$B$4:$B$33,0))&amp;"","")="","",HYPERLINK(INDEX('Google Drive Map'!$G$4:$G$33,MATCH(H30,'Google Drive Map'!$B$4:$B$33,0)),"Open")))</f>
        <v/>
      </c>
      <c r="J30" s="23" t="n"/>
    </row>
    <row r="31">
      <c r="A31" s="22" t="inlineStr">
        <is>
          <t>G2</t>
        </is>
      </c>
      <c r="B31" s="22" t="inlineStr">
        <is>
          <t>Design &amp; approvals</t>
        </is>
      </c>
      <c r="C31" s="22" t="inlineStr">
        <is>
          <t>Deliverable</t>
        </is>
      </c>
      <c r="D31" s="23" t="inlineStr">
        <is>
          <t>Engineering: footings, slab, frame, drainage</t>
        </is>
      </c>
      <c r="E31" s="22" t="n"/>
      <c r="F31" s="24" t="n"/>
      <c r="G31" s="22" t="n"/>
      <c r="H31" s="22" t="inlineStr">
        <is>
          <t>02 Design &amp; Engineering</t>
        </is>
      </c>
      <c r="I31" s="7">
        <f>IF(H31="","",IF(IFERROR(INDEX('Google Drive Map'!$G$4:$G$33,MATCH(H31,'Google Drive Map'!$B$4:$B$33,0))&amp;"","")="","",HYPERLINK(INDEX('Google Drive Map'!$G$4:$G$33,MATCH(H31,'Google Drive Map'!$B$4:$B$33,0)),"Open")))</f>
        <v/>
      </c>
      <c r="J31" s="23" t="n"/>
    </row>
    <row r="32">
      <c r="A32" s="22" t="inlineStr">
        <is>
          <t>G2</t>
        </is>
      </c>
      <c r="B32" s="22" t="inlineStr">
        <is>
          <t>Design &amp; approvals</t>
        </is>
      </c>
      <c r="C32" s="22" t="inlineStr">
        <is>
          <t>Deliverable</t>
        </is>
      </c>
      <c r="D32" s="23" t="inlineStr">
        <is>
          <t>7-star energy report</t>
        </is>
      </c>
      <c r="E32" s="22" t="n"/>
      <c r="F32" s="24" t="n"/>
      <c r="G32" s="22" t="n"/>
      <c r="H32" s="22" t="inlineStr">
        <is>
          <t>02 Design &amp; Engineering</t>
        </is>
      </c>
      <c r="I32" s="7">
        <f>IF(H32="","",IF(IFERROR(INDEX('Google Drive Map'!$G$4:$G$33,MATCH(H32,'Google Drive Map'!$B$4:$B$33,0))&amp;"","")="","",HYPERLINK(INDEX('Google Drive Map'!$G$4:$G$33,MATCH(H32,'Google Drive Map'!$B$4:$B$33,0)),"Open")))</f>
        <v/>
      </c>
      <c r="J32" s="23" t="n"/>
    </row>
    <row r="33">
      <c r="A33" s="22" t="inlineStr">
        <is>
          <t>G2</t>
        </is>
      </c>
      <c r="B33" s="22" t="inlineStr">
        <is>
          <t>Design &amp; approvals</t>
        </is>
      </c>
      <c r="C33" s="22" t="inlineStr">
        <is>
          <t>Deliverable</t>
        </is>
      </c>
      <c r="D33" s="23" t="inlineStr">
        <is>
          <t>BAL assessment (if bushfire prone)</t>
        </is>
      </c>
      <c r="E33" s="22" t="n"/>
      <c r="F33" s="24" t="n"/>
      <c r="G33" s="22" t="n"/>
      <c r="H33" s="22" t="inlineStr">
        <is>
          <t>02 Design &amp; Engineering</t>
        </is>
      </c>
      <c r="I33" s="7">
        <f>IF(H33="","",IF(IFERROR(INDEX('Google Drive Map'!$G$4:$G$33,MATCH(H33,'Google Drive Map'!$B$4:$B$33,0))&amp;"","")="","",HYPERLINK(INDEX('Google Drive Map'!$G$4:$G$33,MATCH(H33,'Google Drive Map'!$B$4:$B$33,0)),"Open")))</f>
        <v/>
      </c>
      <c r="J33" s="23" t="n"/>
    </row>
    <row r="34">
      <c r="A34" s="22" t="inlineStr">
        <is>
          <t>G2</t>
        </is>
      </c>
      <c r="B34" s="22" t="inlineStr">
        <is>
          <t>Design &amp; approvals</t>
        </is>
      </c>
      <c r="C34" s="22" t="inlineStr">
        <is>
          <t>Deliverable</t>
        </is>
      </c>
      <c r="D34" s="23" t="inlineStr">
        <is>
          <t>Planning permit (if required)</t>
        </is>
      </c>
      <c r="E34" s="22" t="n"/>
      <c r="F34" s="24" t="n"/>
      <c r="G34" s="22" t="n"/>
      <c r="H34" s="22" t="inlineStr">
        <is>
          <t>01 Eligibility, Land &amp; Planning</t>
        </is>
      </c>
      <c r="I34" s="7">
        <f>IF(H34="","",IF(IFERROR(INDEX('Google Drive Map'!$G$4:$G$33,MATCH(H34,'Google Drive Map'!$B$4:$B$33,0))&amp;"","")="","",HYPERLINK(INDEX('Google Drive Map'!$G$4:$G$33,MATCH(H34,'Google Drive Map'!$B$4:$B$33,0)),"Open")))</f>
        <v/>
      </c>
      <c r="J34" s="23" t="n"/>
    </row>
    <row r="35">
      <c r="A35" s="22" t="inlineStr">
        <is>
          <t>G2</t>
        </is>
      </c>
      <c r="B35" s="22" t="inlineStr">
        <is>
          <t>Design &amp; approvals</t>
        </is>
      </c>
      <c r="C35" s="22" t="inlineStr">
        <is>
          <t>Deliverable</t>
        </is>
      </c>
      <c r="D35" s="23" t="inlineStr">
        <is>
          <t>Certificate of consent from the BPC</t>
        </is>
      </c>
      <c r="E35" s="22" t="n"/>
      <c r="F35" s="24" t="n"/>
      <c r="G35" s="22" t="n"/>
      <c r="H35" s="22" t="inlineStr">
        <is>
          <t>01 Eligibility, Land &amp; Planning</t>
        </is>
      </c>
      <c r="I35" s="7">
        <f>IF(H35="","",IF(IFERROR(INDEX('Google Drive Map'!$G$4:$G$33,MATCH(H35,'Google Drive Map'!$B$4:$B$33,0))&amp;"","")="","",HYPERLINK(INDEX('Google Drive Map'!$G$4:$G$33,MATCH(H35,'Google Drive Map'!$B$4:$B$33,0)),"Open")))</f>
        <v/>
      </c>
      <c r="J35" s="23" t="n"/>
    </row>
    <row r="36">
      <c r="A36" s="22" t="inlineStr">
        <is>
          <t>G2</t>
        </is>
      </c>
      <c r="B36" s="22" t="inlineStr">
        <is>
          <t>Design &amp; approvals</t>
        </is>
      </c>
      <c r="C36" s="22" t="inlineStr">
        <is>
          <t>Deliverable</t>
        </is>
      </c>
      <c r="D36" s="23" t="inlineStr">
        <is>
          <t>Legal point of discharge, easement consents</t>
        </is>
      </c>
      <c r="E36" s="22" t="n"/>
      <c r="F36" s="24" t="n"/>
      <c r="G36" s="22" t="n"/>
      <c r="H36" s="22" t="inlineStr">
        <is>
          <t>01 Eligibility, Land &amp; Planning</t>
        </is>
      </c>
      <c r="I36" s="7">
        <f>IF(H36="","",IF(IFERROR(INDEX('Google Drive Map'!$G$4:$G$33,MATCH(H36,'Google Drive Map'!$B$4:$B$33,0))&amp;"","")="","",HYPERLINK(INDEX('Google Drive Map'!$G$4:$G$33,MATCH(H36,'Google Drive Map'!$B$4:$B$33,0)),"Open")))</f>
        <v/>
      </c>
      <c r="J36" s="23" t="n"/>
    </row>
    <row r="37">
      <c r="A37" s="22" t="inlineStr">
        <is>
          <t>G2</t>
        </is>
      </c>
      <c r="B37" s="22" t="inlineStr">
        <is>
          <t>Design &amp; approvals</t>
        </is>
      </c>
      <c r="C37" s="22" t="inlineStr">
        <is>
          <t>Exit check</t>
        </is>
      </c>
      <c r="D37" s="23" t="inlineStr">
        <is>
          <t>All documents consistent (drawings = engineering = energy)</t>
        </is>
      </c>
      <c r="E37" s="22" t="n"/>
      <c r="F37" s="24" t="n"/>
      <c r="G37" s="22" t="n"/>
      <c r="H37" s="22" t="inlineStr"/>
      <c r="I37" s="7">
        <f>IF(H37="","",IF(IFERROR(INDEX('Google Drive Map'!$G$4:$G$33,MATCH(H37,'Google Drive Map'!$B$4:$B$33,0))&amp;"","")="","",HYPERLINK(INDEX('Google Drive Map'!$G$4:$G$33,MATCH(H37,'Google Drive Map'!$B$4:$B$33,0)),"Open")))</f>
        <v/>
      </c>
      <c r="J37" s="23" t="n"/>
    </row>
    <row r="38">
      <c r="A38" s="22" t="inlineStr">
        <is>
          <t>G2</t>
        </is>
      </c>
      <c r="B38" s="22" t="inlineStr">
        <is>
          <t>Design &amp; approvals</t>
        </is>
      </c>
      <c r="C38" s="22" t="inlineStr">
        <is>
          <t>Exit check</t>
        </is>
      </c>
      <c r="D38" s="23" t="inlineStr">
        <is>
          <t>Certificate of consent issued</t>
        </is>
      </c>
      <c r="E38" s="22" t="n"/>
      <c r="F38" s="24" t="n"/>
      <c r="G38" s="22" t="n"/>
      <c r="H38" s="22" t="inlineStr"/>
      <c r="I38" s="7">
        <f>IF(H38="","",IF(IFERROR(INDEX('Google Drive Map'!$G$4:$G$33,MATCH(H38,'Google Drive Map'!$B$4:$B$33,0))&amp;"","")="","",HYPERLINK(INDEX('Google Drive Map'!$G$4:$G$33,MATCH(H38,'Google Drive Map'!$B$4:$B$33,0)),"Open")))</f>
        <v/>
      </c>
      <c r="J38" s="23" t="n"/>
    </row>
    <row r="39">
      <c r="A39" s="22" t="inlineStr">
        <is>
          <t>G2</t>
        </is>
      </c>
      <c r="B39" s="22" t="inlineStr">
        <is>
          <t>Design &amp; approvals</t>
        </is>
      </c>
      <c r="C39" s="22" t="inlineStr">
        <is>
          <t>Exit check</t>
        </is>
      </c>
      <c r="D39" s="23" t="inlineStr">
        <is>
          <t>RBS appointed and fee agreed</t>
        </is>
      </c>
      <c r="E39" s="22" t="n"/>
      <c r="F39" s="24" t="n"/>
      <c r="G39" s="22" t="n"/>
      <c r="H39" s="22" t="inlineStr"/>
      <c r="I39" s="7">
        <f>IF(H39="","",IF(IFERROR(INDEX('Google Drive Map'!$G$4:$G$33,MATCH(H39,'Google Drive Map'!$B$4:$B$33,0))&amp;"","")="","",HYPERLINK(INDEX('Google Drive Map'!$G$4:$G$33,MATCH(H39,'Google Drive Map'!$B$4:$B$33,0)),"Open")))</f>
        <v/>
      </c>
      <c r="J39" s="23" t="n"/>
    </row>
    <row r="40">
      <c r="A40" s="22" t="inlineStr">
        <is>
          <t>G2</t>
        </is>
      </c>
      <c r="B40" s="22" t="inlineStr">
        <is>
          <t>Design &amp; approvals</t>
        </is>
      </c>
      <c r="C40" s="22" t="inlineStr">
        <is>
          <t>Exit check</t>
        </is>
      </c>
      <c r="D40" s="23" t="inlineStr">
        <is>
          <t>Cost plan updated to the detailed design</t>
        </is>
      </c>
      <c r="E40" s="22" t="n"/>
      <c r="F40" s="24" t="n"/>
      <c r="G40" s="22" t="n"/>
      <c r="H40" s="22" t="inlineStr"/>
      <c r="I40" s="7">
        <f>IF(H40="","",IF(IFERROR(INDEX('Google Drive Map'!$G$4:$G$33,MATCH(H40,'Google Drive Map'!$B$4:$B$33,0))&amp;"","")="","",HYPERLINK(INDEX('Google Drive Map'!$G$4:$G$33,MATCH(H40,'Google Drive Map'!$B$4:$B$33,0)),"Open")))</f>
        <v/>
      </c>
      <c r="J40" s="23" t="n"/>
    </row>
    <row r="41">
      <c r="A41" s="22" t="inlineStr">
        <is>
          <t>G3</t>
        </is>
      </c>
      <c r="B41" s="22" t="inlineStr">
        <is>
          <t>Procurement &amp; permit</t>
        </is>
      </c>
      <c r="C41" s="22" t="inlineStr">
        <is>
          <t>Entry criteria</t>
        </is>
      </c>
      <c r="D41" s="23" t="inlineStr">
        <is>
          <t>G2 passed</t>
        </is>
      </c>
      <c r="E41" s="22" t="n"/>
      <c r="F41" s="24" t="n"/>
      <c r="G41" s="22" t="n"/>
      <c r="H41" s="22" t="inlineStr"/>
      <c r="I41" s="7">
        <f>IF(H41="","",IF(IFERROR(INDEX('Google Drive Map'!$G$4:$G$33,MATCH(H41,'Google Drive Map'!$B$4:$B$33,0))&amp;"","")="","",HYPERLINK(INDEX('Google Drive Map'!$G$4:$G$33,MATCH(H41,'Google Drive Map'!$B$4:$B$33,0)),"Open")))</f>
        <v/>
      </c>
      <c r="J41" s="23" t="n"/>
    </row>
    <row r="42">
      <c r="A42" s="22" t="inlineStr">
        <is>
          <t>G3</t>
        </is>
      </c>
      <c r="B42" s="22" t="inlineStr">
        <is>
          <t>Procurement &amp; permit</t>
        </is>
      </c>
      <c r="C42" s="22" t="inlineStr">
        <is>
          <t>Entry criteria</t>
        </is>
      </c>
      <c r="D42" s="23" t="inlineStr">
        <is>
          <t>Trade packages defined with a scope for each</t>
        </is>
      </c>
      <c r="E42" s="22" t="n"/>
      <c r="F42" s="24" t="n"/>
      <c r="G42" s="22" t="n"/>
      <c r="H42" s="22" t="inlineStr"/>
      <c r="I42" s="7">
        <f>IF(H42="","",IF(IFERROR(INDEX('Google Drive Map'!$G$4:$G$33,MATCH(H42,'Google Drive Map'!$B$4:$B$33,0))&amp;"","")="","",HYPERLINK(INDEX('Google Drive Map'!$G$4:$G$33,MATCH(H42,'Google Drive Map'!$B$4:$B$33,0)),"Open")))</f>
        <v/>
      </c>
      <c r="J42" s="23" t="n"/>
    </row>
    <row r="43">
      <c r="A43" s="22" t="inlineStr">
        <is>
          <t>G3</t>
        </is>
      </c>
      <c r="B43" s="22" t="inlineStr">
        <is>
          <t>Procurement &amp; permit</t>
        </is>
      </c>
      <c r="C43" s="22" t="inlineStr">
        <is>
          <t>Deliverable</t>
        </is>
      </c>
      <c r="D43" s="23" t="inlineStr">
        <is>
          <t>RFQ packs issued (3 quotes per package)</t>
        </is>
      </c>
      <c r="E43" s="22" t="n"/>
      <c r="F43" s="24" t="n"/>
      <c r="G43" s="22" t="n"/>
      <c r="H43" s="22" t="inlineStr">
        <is>
          <t>04 Trades &amp; Tenders</t>
        </is>
      </c>
      <c r="I43" s="7">
        <f>IF(H43="","",IF(IFERROR(INDEX('Google Drive Map'!$G$4:$G$33,MATCH(H43,'Google Drive Map'!$B$4:$B$33,0))&amp;"","")="","",HYPERLINK(INDEX('Google Drive Map'!$G$4:$G$33,MATCH(H43,'Google Drive Map'!$B$4:$B$33,0)),"Open")))</f>
        <v/>
      </c>
      <c r="J43" s="23" t="n"/>
    </row>
    <row r="44">
      <c r="A44" s="22" t="inlineStr">
        <is>
          <t>G3</t>
        </is>
      </c>
      <c r="B44" s="22" t="inlineStr">
        <is>
          <t>Procurement &amp; permit</t>
        </is>
      </c>
      <c r="C44" s="22" t="inlineStr">
        <is>
          <t>Deliverable</t>
        </is>
      </c>
      <c r="D44" s="23" t="inlineStr">
        <is>
          <t>Tender comparison &amp; recommendation per package (tool)</t>
        </is>
      </c>
      <c r="E44" s="22" t="n"/>
      <c r="F44" s="24" t="n"/>
      <c r="G44" s="22" t="n"/>
      <c r="H44" s="22" t="inlineStr">
        <is>
          <t>04 Trades &amp; Tenders</t>
        </is>
      </c>
      <c r="I44" s="7">
        <f>IF(H44="","",IF(IFERROR(INDEX('Google Drive Map'!$G$4:$G$33,MATCH(H44,'Google Drive Map'!$B$4:$B$33,0))&amp;"","")="","",HYPERLINK(INDEX('Google Drive Map'!$G$4:$G$33,MATCH(H44,'Google Drive Map'!$B$4:$B$33,0)),"Open")))</f>
        <v/>
      </c>
      <c r="J44" s="23" t="n"/>
    </row>
    <row r="45">
      <c r="A45" s="22" t="inlineStr">
        <is>
          <t>G3</t>
        </is>
      </c>
      <c r="B45" s="22" t="inlineStr">
        <is>
          <t>Procurement &amp; permit</t>
        </is>
      </c>
      <c r="C45" s="22" t="inlineStr">
        <is>
          <t>Deliverable</t>
        </is>
      </c>
      <c r="D45" s="23" t="inlineStr">
        <is>
          <t>Signed trade contracts (guide)</t>
        </is>
      </c>
      <c r="E45" s="22" t="n"/>
      <c r="F45" s="24" t="n"/>
      <c r="G45" s="22" t="n"/>
      <c r="H45" s="22" t="inlineStr">
        <is>
          <t>04 Trades &amp; Tenders</t>
        </is>
      </c>
      <c r="I45" s="7">
        <f>IF(H45="","",IF(IFERROR(INDEX('Google Drive Map'!$G$4:$G$33,MATCH(H45,'Google Drive Map'!$B$4:$B$33,0))&amp;"","")="","",HYPERLINK(INDEX('Google Drive Map'!$G$4:$G$33,MATCH(H45,'Google Drive Map'!$B$4:$B$33,0)),"Open")))</f>
        <v/>
      </c>
      <c r="J45" s="23" t="n"/>
    </row>
    <row r="46">
      <c r="A46" s="22" t="inlineStr">
        <is>
          <t>G3</t>
        </is>
      </c>
      <c r="B46" s="22" t="inlineStr">
        <is>
          <t>Procurement &amp; permit</t>
        </is>
      </c>
      <c r="C46" s="22" t="inlineStr">
        <is>
          <t>Deliverable</t>
        </is>
      </c>
      <c r="D46" s="23" t="inlineStr">
        <is>
          <t>Trade register: licences, insurance, SWMS</t>
        </is>
      </c>
      <c r="E46" s="22" t="n"/>
      <c r="F46" s="24" t="n"/>
      <c r="G46" s="22" t="n"/>
      <c r="H46" s="22" t="inlineStr">
        <is>
          <t>04 Trades &amp; Tenders</t>
        </is>
      </c>
      <c r="I46" s="7">
        <f>IF(H46="","",IF(IFERROR(INDEX('Google Drive Map'!$G$4:$G$33,MATCH(H46,'Google Drive Map'!$B$4:$B$33,0))&amp;"","")="","",HYPERLINK(INDEX('Google Drive Map'!$G$4:$G$33,MATCH(H46,'Google Drive Map'!$B$4:$B$33,0)),"Open")))</f>
        <v/>
      </c>
      <c r="J46" s="23" t="n"/>
    </row>
    <row r="47">
      <c r="A47" s="22" t="inlineStr">
        <is>
          <t>G3</t>
        </is>
      </c>
      <c r="B47" s="22" t="inlineStr">
        <is>
          <t>Procurement &amp; permit</t>
        </is>
      </c>
      <c r="C47" s="22" t="inlineStr">
        <is>
          <t>Deliverable</t>
        </is>
      </c>
      <c r="D47" s="23" t="inlineStr">
        <is>
          <t>Building permit issued</t>
        </is>
      </c>
      <c r="E47" s="22" t="n"/>
      <c r="F47" s="24" t="n"/>
      <c r="G47" s="22" t="n"/>
      <c r="H47" s="22" t="inlineStr">
        <is>
          <t>03 Permits, Insurance &amp; Finance</t>
        </is>
      </c>
      <c r="I47" s="7">
        <f>IF(H47="","",IF(IFERROR(INDEX('Google Drive Map'!$G$4:$G$33,MATCH(H47,'Google Drive Map'!$B$4:$B$33,0))&amp;"","")="","",HYPERLINK(INDEX('Google Drive Map'!$G$4:$G$33,MATCH(H47,'Google Drive Map'!$B$4:$B$33,0)),"Open")))</f>
        <v/>
      </c>
      <c r="J47" s="23" t="n"/>
    </row>
    <row r="48">
      <c r="A48" s="22" t="inlineStr">
        <is>
          <t>G3</t>
        </is>
      </c>
      <c r="B48" s="22" t="inlineStr">
        <is>
          <t>Procurement &amp; permit</t>
        </is>
      </c>
      <c r="C48" s="22" t="inlineStr">
        <is>
          <t>Deliverable</t>
        </is>
      </c>
      <c r="D48" s="23" t="inlineStr">
        <is>
          <t>Asset protection permit, insurances, site set-up plan</t>
        </is>
      </c>
      <c r="E48" s="22" t="n"/>
      <c r="F48" s="24" t="n"/>
      <c r="G48" s="22" t="n"/>
      <c r="H48" s="22" t="inlineStr">
        <is>
          <t>03 Permits, Insurance &amp; Finance</t>
        </is>
      </c>
      <c r="I48" s="7">
        <f>IF(H48="","",IF(IFERROR(INDEX('Google Drive Map'!$G$4:$G$33,MATCH(H48,'Google Drive Map'!$B$4:$B$33,0))&amp;"","")="","",HYPERLINK(INDEX('Google Drive Map'!$G$4:$G$33,MATCH(H48,'Google Drive Map'!$B$4:$B$33,0)),"Open")))</f>
        <v/>
      </c>
      <c r="J48" s="23" t="n"/>
    </row>
    <row r="49">
      <c r="A49" s="22" t="inlineStr">
        <is>
          <t>G3</t>
        </is>
      </c>
      <c r="B49" s="22" t="inlineStr">
        <is>
          <t>Procurement &amp; permit</t>
        </is>
      </c>
      <c r="C49" s="22" t="inlineStr">
        <is>
          <t>Deliverable</t>
        </is>
      </c>
      <c r="D49" s="23" t="inlineStr">
        <is>
          <t>Baseline program &amp; budget</t>
        </is>
      </c>
      <c r="E49" s="22" t="n"/>
      <c r="F49" s="24" t="n"/>
      <c r="G49" s="22" t="n"/>
      <c r="H49" s="22" t="inlineStr">
        <is>
          <t>03 Permits, Insurance &amp; Finance</t>
        </is>
      </c>
      <c r="I49" s="7">
        <f>IF(H49="","",IF(IFERROR(INDEX('Google Drive Map'!$G$4:$G$33,MATCH(H49,'Google Drive Map'!$B$4:$B$33,0))&amp;"","")="","",HYPERLINK(INDEX('Google Drive Map'!$G$4:$G$33,MATCH(H49,'Google Drive Map'!$B$4:$B$33,0)),"Open")))</f>
        <v/>
      </c>
      <c r="J49" s="23" t="n"/>
    </row>
    <row r="50">
      <c r="A50" s="22" t="inlineStr">
        <is>
          <t>G3</t>
        </is>
      </c>
      <c r="B50" s="22" t="inlineStr">
        <is>
          <t>Procurement &amp; permit</t>
        </is>
      </c>
      <c r="C50" s="22" t="inlineStr">
        <is>
          <t>Exit check</t>
        </is>
      </c>
      <c r="D50" s="23" t="inlineStr">
        <is>
          <t>At least 80% of the budget is committed under contract or firm quote</t>
        </is>
      </c>
      <c r="E50" s="22" t="n"/>
      <c r="F50" s="24" t="n"/>
      <c r="G50" s="22" t="n"/>
      <c r="H50" s="22" t="inlineStr"/>
      <c r="I50" s="7">
        <f>IF(H50="","",IF(IFERROR(INDEX('Google Drive Map'!$G$4:$G$33,MATCH(H50,'Google Drive Map'!$B$4:$B$33,0))&amp;"","")="","",HYPERLINK(INDEX('Google Drive Map'!$G$4:$G$33,MATCH(H50,'Google Drive Map'!$B$4:$B$33,0)),"Open")))</f>
        <v/>
      </c>
      <c r="J50" s="23" t="n"/>
    </row>
    <row r="51">
      <c r="A51" s="22" t="inlineStr">
        <is>
          <t>G3</t>
        </is>
      </c>
      <c r="B51" s="22" t="inlineStr">
        <is>
          <t>Procurement &amp; permit</t>
        </is>
      </c>
      <c r="C51" s="22" t="inlineStr">
        <is>
          <t>Exit check</t>
        </is>
      </c>
      <c r="D51" s="23" t="inlineStr">
        <is>
          <t>Every early trade has compliant paperwork</t>
        </is>
      </c>
      <c r="E51" s="22" t="n"/>
      <c r="F51" s="24" t="n"/>
      <c r="G51" s="22" t="n"/>
      <c r="H51" s="22" t="inlineStr"/>
      <c r="I51" s="7">
        <f>IF(H51="","",IF(IFERROR(INDEX('Google Drive Map'!$G$4:$G$33,MATCH(H51,'Google Drive Map'!$B$4:$B$33,0))&amp;"","")="","",HYPERLINK(INDEX('Google Drive Map'!$G$4:$G$33,MATCH(H51,'Google Drive Map'!$B$4:$B$33,0)),"Open")))</f>
        <v/>
      </c>
      <c r="J51" s="23" t="n"/>
    </row>
    <row r="52">
      <c r="A52" s="22" t="inlineStr">
        <is>
          <t>G3</t>
        </is>
      </c>
      <c r="B52" s="22" t="inlineStr">
        <is>
          <t>Procurement &amp; permit</t>
        </is>
      </c>
      <c r="C52" s="22" t="inlineStr">
        <is>
          <t>Exit check</t>
        </is>
      </c>
      <c r="D52" s="23" t="inlineStr">
        <is>
          <t>Permit, consent &amp; insurances in place</t>
        </is>
      </c>
      <c r="E52" s="22" t="n"/>
      <c r="F52" s="24" t="n"/>
      <c r="G52" s="22" t="n"/>
      <c r="H52" s="22" t="inlineStr"/>
      <c r="I52" s="7">
        <f>IF(H52="","",IF(IFERROR(INDEX('Google Drive Map'!$G$4:$G$33,MATCH(H52,'Google Drive Map'!$B$4:$B$33,0))&amp;"","")="","",HYPERLINK(INDEX('Google Drive Map'!$G$4:$G$33,MATCH(H52,'Google Drive Map'!$B$4:$B$33,0)),"Open")))</f>
        <v/>
      </c>
      <c r="J52" s="23" t="n"/>
    </row>
    <row r="53">
      <c r="A53" s="22" t="inlineStr">
        <is>
          <t>G3</t>
        </is>
      </c>
      <c r="B53" s="22" t="inlineStr">
        <is>
          <t>Procurement &amp; permit</t>
        </is>
      </c>
      <c r="C53" s="22" t="inlineStr">
        <is>
          <t>Exit check</t>
        </is>
      </c>
      <c r="D53" s="23" t="inlineStr">
        <is>
          <t>Finance drawdown schedule agreed with the lender</t>
        </is>
      </c>
      <c r="E53" s="22" t="n"/>
      <c r="F53" s="24" t="n"/>
      <c r="G53" s="22" t="n"/>
      <c r="H53" s="22" t="inlineStr"/>
      <c r="I53" s="7">
        <f>IF(H53="","",IF(IFERROR(INDEX('Google Drive Map'!$G$4:$G$33,MATCH(H53,'Google Drive Map'!$B$4:$B$33,0))&amp;"","")="","",HYPERLINK(INDEX('Google Drive Map'!$G$4:$G$33,MATCH(H53,'Google Drive Map'!$B$4:$B$33,0)),"Open")))</f>
        <v/>
      </c>
      <c r="J53" s="23" t="n"/>
    </row>
    <row r="54">
      <c r="A54" s="22" t="inlineStr">
        <is>
          <t>G4</t>
        </is>
      </c>
      <c r="B54" s="22" t="inlineStr">
        <is>
          <t>Site works &amp; base</t>
        </is>
      </c>
      <c r="C54" s="22" t="inlineStr">
        <is>
          <t>Entry criteria</t>
        </is>
      </c>
      <c r="D54" s="23" t="inlineStr">
        <is>
          <t>G3 passed</t>
        </is>
      </c>
      <c r="E54" s="22" t="n"/>
      <c r="F54" s="24" t="n"/>
      <c r="G54" s="22" t="n"/>
      <c r="H54" s="22" t="inlineStr"/>
      <c r="I54" s="7">
        <f>IF(H54="","",IF(IFERROR(INDEX('Google Drive Map'!$G$4:$G$33,MATCH(H54,'Google Drive Map'!$B$4:$B$33,0))&amp;"","")="","",HYPERLINK(INDEX('Google Drive Map'!$G$4:$G$33,MATCH(H54,'Google Drive Map'!$B$4:$B$33,0)),"Open")))</f>
        <v/>
      </c>
      <c r="J54" s="23" t="n"/>
    </row>
    <row r="55">
      <c r="A55" s="22" t="inlineStr">
        <is>
          <t>G4</t>
        </is>
      </c>
      <c r="B55" s="22" t="inlineStr">
        <is>
          <t>Site works &amp; base</t>
        </is>
      </c>
      <c r="C55" s="22" t="inlineStr">
        <is>
          <t>Entry criteria</t>
        </is>
      </c>
      <c r="D55" s="23" t="inlineStr">
        <is>
          <t>Before You Dig done, site fenced, sign up, toilet on site</t>
        </is>
      </c>
      <c r="E55" s="22" t="n"/>
      <c r="F55" s="24" t="n"/>
      <c r="G55" s="22" t="n"/>
      <c r="H55" s="22" t="inlineStr"/>
      <c r="I55" s="7">
        <f>IF(H55="","",IF(IFERROR(INDEX('Google Drive Map'!$G$4:$G$33,MATCH(H55,'Google Drive Map'!$B$4:$B$33,0))&amp;"","")="","",HYPERLINK(INDEX('Google Drive Map'!$G$4:$G$33,MATCH(H55,'Google Drive Map'!$B$4:$B$33,0)),"Open")))</f>
        <v/>
      </c>
      <c r="J55" s="23" t="n"/>
    </row>
    <row r="56">
      <c r="A56" s="22" t="inlineStr">
        <is>
          <t>G4</t>
        </is>
      </c>
      <c r="B56" s="22" t="inlineStr">
        <is>
          <t>Site works &amp; base</t>
        </is>
      </c>
      <c r="C56" s="22" t="inlineStr">
        <is>
          <t>Deliverable</t>
        </is>
      </c>
      <c r="D56" s="23" t="inlineStr">
        <is>
          <t>Surveyor set-out</t>
        </is>
      </c>
      <c r="E56" s="22" t="n"/>
      <c r="F56" s="24" t="n"/>
      <c r="G56" s="22" t="n"/>
      <c r="H56" s="22" t="inlineStr">
        <is>
          <t>02 Design &amp; Engineering</t>
        </is>
      </c>
      <c r="I56" s="7">
        <f>IF(H56="","",IF(IFERROR(INDEX('Google Drive Map'!$G$4:$G$33,MATCH(H56,'Google Drive Map'!$B$4:$B$33,0))&amp;"","")="","",HYPERLINK(INDEX('Google Drive Map'!$G$4:$G$33,MATCH(H56,'Google Drive Map'!$B$4:$B$33,0)),"Open")))</f>
        <v/>
      </c>
      <c r="J56" s="23" t="n"/>
    </row>
    <row r="57">
      <c r="A57" s="22" t="inlineStr">
        <is>
          <t>G4</t>
        </is>
      </c>
      <c r="B57" s="22" t="inlineStr">
        <is>
          <t>Site works &amp; base</t>
        </is>
      </c>
      <c r="C57" s="22" t="inlineStr">
        <is>
          <t>Deliverable</t>
        </is>
      </c>
      <c r="D57" s="23" t="inlineStr">
        <is>
          <t>Site cut, drainage &amp; underslab plumbing (PCC)</t>
        </is>
      </c>
      <c r="E57" s="22" t="n"/>
      <c r="F57" s="24" t="n"/>
      <c r="G57" s="22" t="n"/>
      <c r="H57" s="22" t="inlineStr">
        <is>
          <t>07 Inspections &amp; Certificates</t>
        </is>
      </c>
      <c r="I57" s="7">
        <f>IF(H57="","",IF(IFERROR(INDEX('Google Drive Map'!$G$4:$G$33,MATCH(H57,'Google Drive Map'!$B$4:$B$33,0))&amp;"","")="","",HYPERLINK(INDEX('Google Drive Map'!$G$4:$G$33,MATCH(H57,'Google Drive Map'!$B$4:$B$33,0)),"Open")))</f>
        <v/>
      </c>
      <c r="J57" s="23" t="n"/>
    </row>
    <row r="58">
      <c r="A58" s="22" t="inlineStr">
        <is>
          <t>G4</t>
        </is>
      </c>
      <c r="B58" s="22" t="inlineStr">
        <is>
          <t>Site works &amp; base</t>
        </is>
      </c>
      <c r="C58" s="22" t="inlineStr">
        <is>
          <t>Deliverable</t>
        </is>
      </c>
      <c r="D58" s="23" t="inlineStr">
        <is>
          <t>Hold point: footing / pre-slab inspection</t>
        </is>
      </c>
      <c r="E58" s="22" t="n"/>
      <c r="F58" s="24" t="n"/>
      <c r="G58" s="22" t="n"/>
      <c r="H58" s="22" t="inlineStr">
        <is>
          <t>07 Inspections &amp; Certificates</t>
        </is>
      </c>
      <c r="I58" s="7">
        <f>IF(H58="","",IF(IFERROR(INDEX('Google Drive Map'!$G$4:$G$33,MATCH(H58,'Google Drive Map'!$B$4:$B$33,0))&amp;"","")="","",HYPERLINK(INDEX('Google Drive Map'!$G$4:$G$33,MATCH(H58,'Google Drive Map'!$B$4:$B$33,0)),"Open")))</f>
        <v/>
      </c>
      <c r="J58" s="23" t="n"/>
    </row>
    <row r="59">
      <c r="A59" s="22" t="inlineStr">
        <is>
          <t>G4</t>
        </is>
      </c>
      <c r="B59" s="22" t="inlineStr">
        <is>
          <t>Site works &amp; base</t>
        </is>
      </c>
      <c r="C59" s="22" t="inlineStr">
        <is>
          <t>Deliverable</t>
        </is>
      </c>
      <c r="D59" s="23" t="inlineStr">
        <is>
          <t>Slab poured, termite management installed</t>
        </is>
      </c>
      <c r="E59" s="22" t="n"/>
      <c r="F59" s="24" t="n"/>
      <c r="G59" s="22" t="n"/>
      <c r="H59" s="22" t="inlineStr">
        <is>
          <t>00 Project Register</t>
        </is>
      </c>
      <c r="I59" s="7">
        <f>IF(H59="","",IF(IFERROR(INDEX('Google Drive Map'!$G$4:$G$33,MATCH(H59,'Google Drive Map'!$B$4:$B$33,0))&amp;"","")="","",HYPERLINK(INDEX('Google Drive Map'!$G$4:$G$33,MATCH(H59,'Google Drive Map'!$B$4:$B$33,0)),"Open")))</f>
        <v/>
      </c>
      <c r="J59" s="23" t="n"/>
    </row>
    <row r="60">
      <c r="A60" s="22" t="inlineStr">
        <is>
          <t>G4</t>
        </is>
      </c>
      <c r="B60" s="22" t="inlineStr">
        <is>
          <t>Site works &amp; base</t>
        </is>
      </c>
      <c r="C60" s="22" t="inlineStr">
        <is>
          <t>Deliverable</t>
        </is>
      </c>
      <c r="D60" s="23" t="inlineStr">
        <is>
          <t>Site diary &amp; photos of everything before it's covered</t>
        </is>
      </c>
      <c r="E60" s="22" t="n"/>
      <c r="F60" s="24" t="n"/>
      <c r="G60" s="22" t="n"/>
      <c r="H60" s="22" t="inlineStr">
        <is>
          <t>06 Site Diary &amp; Photos</t>
        </is>
      </c>
      <c r="I60" s="7">
        <f>IF(H60="","",IF(IFERROR(INDEX('Google Drive Map'!$G$4:$G$33,MATCH(H60,'Google Drive Map'!$B$4:$B$33,0))&amp;"","")="","",HYPERLINK(INDEX('Google Drive Map'!$G$4:$G$33,MATCH(H60,'Google Drive Map'!$B$4:$B$33,0)),"Open")))</f>
        <v/>
      </c>
      <c r="J60" s="23" t="n"/>
    </row>
    <row r="61">
      <c r="A61" s="22" t="inlineStr">
        <is>
          <t>G4</t>
        </is>
      </c>
      <c r="B61" s="22" t="inlineStr">
        <is>
          <t>Site works &amp; base</t>
        </is>
      </c>
      <c r="C61" s="22" t="inlineStr">
        <is>
          <t>Exit check</t>
        </is>
      </c>
      <c r="D61" s="23" t="inlineStr">
        <is>
          <t>RBS inspections passed and certificates filed</t>
        </is>
      </c>
      <c r="E61" s="22" t="n"/>
      <c r="F61" s="24" t="n"/>
      <c r="G61" s="22" t="n"/>
      <c r="H61" s="22" t="inlineStr"/>
      <c r="I61" s="7">
        <f>IF(H61="","",IF(IFERROR(INDEX('Google Drive Map'!$G$4:$G$33,MATCH(H61,'Google Drive Map'!$B$4:$B$33,0))&amp;"","")="","",HYPERLINK(INDEX('Google Drive Map'!$G$4:$G$33,MATCH(H61,'Google Drive Map'!$B$4:$B$33,0)),"Open")))</f>
        <v/>
      </c>
      <c r="J61" s="23" t="n"/>
    </row>
    <row r="62">
      <c r="A62" s="22" t="inlineStr">
        <is>
          <t>G4</t>
        </is>
      </c>
      <c r="B62" s="22" t="inlineStr">
        <is>
          <t>Site works &amp; base</t>
        </is>
      </c>
      <c r="C62" s="22" t="inlineStr">
        <is>
          <t>Exit check</t>
        </is>
      </c>
      <c r="D62" s="23" t="inlineStr">
        <is>
          <t>Engineer's sign-off (if required)</t>
        </is>
      </c>
      <c r="E62" s="22" t="n"/>
      <c r="F62" s="24" t="n"/>
      <c r="G62" s="22" t="n"/>
      <c r="H62" s="22" t="inlineStr"/>
      <c r="I62" s="7">
        <f>IF(H62="","",IF(IFERROR(INDEX('Google Drive Map'!$G$4:$G$33,MATCH(H62,'Google Drive Map'!$B$4:$B$33,0))&amp;"","")="","",HYPERLINK(INDEX('Google Drive Map'!$G$4:$G$33,MATCH(H62,'Google Drive Map'!$B$4:$B$33,0)),"Open")))</f>
        <v/>
      </c>
      <c r="J62" s="23" t="n"/>
    </row>
    <row r="63">
      <c r="A63" s="22" t="inlineStr">
        <is>
          <t>G4</t>
        </is>
      </c>
      <c r="B63" s="22" t="inlineStr">
        <is>
          <t>Site works &amp; base</t>
        </is>
      </c>
      <c r="C63" s="22" t="inlineStr">
        <is>
          <t>Exit check</t>
        </is>
      </c>
      <c r="D63" s="23" t="inlineStr">
        <is>
          <t>Cost to date within ±5% of the baseline</t>
        </is>
      </c>
      <c r="E63" s="22" t="n"/>
      <c r="F63" s="24" t="n"/>
      <c r="G63" s="22" t="n"/>
      <c r="H63" s="22" t="inlineStr"/>
      <c r="I63" s="7">
        <f>IF(H63="","",IF(IFERROR(INDEX('Google Drive Map'!$G$4:$G$33,MATCH(H63,'Google Drive Map'!$B$4:$B$33,0))&amp;"","")="","",HYPERLINK(INDEX('Google Drive Map'!$G$4:$G$33,MATCH(H63,'Google Drive Map'!$B$4:$B$33,0)),"Open")))</f>
        <v/>
      </c>
      <c r="J63" s="23" t="n"/>
    </row>
    <row r="64">
      <c r="A64" s="22" t="inlineStr">
        <is>
          <t>G5</t>
        </is>
      </c>
      <c r="B64" s="22" t="inlineStr">
        <is>
          <t>Frame &amp; lock-up</t>
        </is>
      </c>
      <c r="C64" s="22" t="inlineStr">
        <is>
          <t>Entry criteria</t>
        </is>
      </c>
      <c r="D64" s="23" t="inlineStr">
        <is>
          <t>G4 passed</t>
        </is>
      </c>
      <c r="E64" s="22" t="n"/>
      <c r="F64" s="24" t="n"/>
      <c r="G64" s="22" t="n"/>
      <c r="H64" s="22" t="inlineStr"/>
      <c r="I64" s="7">
        <f>IF(H64="","",IF(IFERROR(INDEX('Google Drive Map'!$G$4:$G$33,MATCH(H64,'Google Drive Map'!$B$4:$B$33,0))&amp;"","")="","",HYPERLINK(INDEX('Google Drive Map'!$G$4:$G$33,MATCH(H64,'Google Drive Map'!$B$4:$B$33,0)),"Open")))</f>
        <v/>
      </c>
      <c r="J64" s="23" t="n"/>
    </row>
    <row r="65">
      <c r="A65" s="22" t="inlineStr">
        <is>
          <t>G5</t>
        </is>
      </c>
      <c r="B65" s="22" t="inlineStr">
        <is>
          <t>Frame &amp; lock-up</t>
        </is>
      </c>
      <c r="C65" s="22" t="inlineStr">
        <is>
          <t>Entry criteria</t>
        </is>
      </c>
      <c r="D65" s="23" t="inlineStr">
        <is>
          <t>Frame, truss &amp; window orders confirmed against the plans</t>
        </is>
      </c>
      <c r="E65" s="22" t="n"/>
      <c r="F65" s="24" t="n"/>
      <c r="G65" s="22" t="n"/>
      <c r="H65" s="22" t="inlineStr"/>
      <c r="I65" s="7">
        <f>IF(H65="","",IF(IFERROR(INDEX('Google Drive Map'!$G$4:$G$33,MATCH(H65,'Google Drive Map'!$B$4:$B$33,0))&amp;"","")="","",HYPERLINK(INDEX('Google Drive Map'!$G$4:$G$33,MATCH(H65,'Google Drive Map'!$B$4:$B$33,0)),"Open")))</f>
        <v/>
      </c>
      <c r="J65" s="23" t="n"/>
    </row>
    <row r="66">
      <c r="A66" s="22" t="inlineStr">
        <is>
          <t>G5</t>
        </is>
      </c>
      <c r="B66" s="22" t="inlineStr">
        <is>
          <t>Frame &amp; lock-up</t>
        </is>
      </c>
      <c r="C66" s="22" t="inlineStr">
        <is>
          <t>Deliverable</t>
        </is>
      </c>
      <c r="D66" s="23" t="inlineStr">
        <is>
          <t>Wall frames, trusses, bracing, tie-downs</t>
        </is>
      </c>
      <c r="E66" s="22" t="n"/>
      <c r="F66" s="24" t="n"/>
      <c r="G66" s="22" t="n"/>
      <c r="H66" s="22" t="inlineStr">
        <is>
          <t>02 Design &amp; Engineering</t>
        </is>
      </c>
      <c r="I66" s="7">
        <f>IF(H66="","",IF(IFERROR(INDEX('Google Drive Map'!$G$4:$G$33,MATCH(H66,'Google Drive Map'!$B$4:$B$33,0))&amp;"","")="","",HYPERLINK(INDEX('Google Drive Map'!$G$4:$G$33,MATCH(H66,'Google Drive Map'!$B$4:$B$33,0)),"Open")))</f>
        <v/>
      </c>
      <c r="J66" s="23" t="n"/>
    </row>
    <row r="67">
      <c r="A67" s="22" t="inlineStr">
        <is>
          <t>G5</t>
        </is>
      </c>
      <c r="B67" s="22" t="inlineStr">
        <is>
          <t>Frame &amp; lock-up</t>
        </is>
      </c>
      <c r="C67" s="22" t="inlineStr">
        <is>
          <t>Deliverable</t>
        </is>
      </c>
      <c r="D67" s="23" t="inlineStr">
        <is>
          <t>Hold point: frame inspection (plus engineer if required)</t>
        </is>
      </c>
      <c r="E67" s="22" t="n"/>
      <c r="F67" s="24" t="n"/>
      <c r="G67" s="22" t="n"/>
      <c r="H67" s="22" t="inlineStr">
        <is>
          <t>07 Inspections &amp; Certificates</t>
        </is>
      </c>
      <c r="I67" s="7">
        <f>IF(H67="","",IF(IFERROR(INDEX('Google Drive Map'!$G$4:$G$33,MATCH(H67,'Google Drive Map'!$B$4:$B$33,0))&amp;"","")="","",HYPERLINK(INDEX('Google Drive Map'!$G$4:$G$33,MATCH(H67,'Google Drive Map'!$B$4:$B$33,0)),"Open")))</f>
        <v/>
      </c>
      <c r="J67" s="23" t="n"/>
    </row>
    <row r="68">
      <c r="A68" s="22" t="inlineStr">
        <is>
          <t>G5</t>
        </is>
      </c>
      <c r="B68" s="22" t="inlineStr">
        <is>
          <t>Frame &amp; lock-up</t>
        </is>
      </c>
      <c r="C68" s="22" t="inlineStr">
        <is>
          <t>Deliverable</t>
        </is>
      </c>
      <c r="D68" s="23" t="inlineStr">
        <is>
          <t>Roof, gutters, fascia, sarking</t>
        </is>
      </c>
      <c r="E68" s="22" t="n"/>
      <c r="F68" s="24" t="n"/>
      <c r="G68" s="22" t="n"/>
      <c r="H68" s="22" t="inlineStr">
        <is>
          <t>00 Project Register</t>
        </is>
      </c>
      <c r="I68" s="7">
        <f>IF(H68="","",IF(IFERROR(INDEX('Google Drive Map'!$G$4:$G$33,MATCH(H68,'Google Drive Map'!$B$4:$B$33,0))&amp;"","")="","",HYPERLINK(INDEX('Google Drive Map'!$G$4:$G$33,MATCH(H68,'Google Drive Map'!$B$4:$B$33,0)),"Open")))</f>
        <v/>
      </c>
      <c r="J68" s="23" t="n"/>
    </row>
    <row r="69">
      <c r="A69" s="22" t="inlineStr">
        <is>
          <t>G5</t>
        </is>
      </c>
      <c r="B69" s="22" t="inlineStr">
        <is>
          <t>Frame &amp; lock-up</t>
        </is>
      </c>
      <c r="C69" s="22" t="inlineStr">
        <is>
          <t>Deliverable</t>
        </is>
      </c>
      <c r="D69" s="23" t="inlineStr">
        <is>
          <t>Windows &amp; external doors, wrap, cladding</t>
        </is>
      </c>
      <c r="E69" s="22" t="n"/>
      <c r="F69" s="24" t="n"/>
      <c r="G69" s="22" t="n"/>
      <c r="H69" s="22" t="inlineStr">
        <is>
          <t>02 Design &amp; Engineering</t>
        </is>
      </c>
      <c r="I69" s="7">
        <f>IF(H69="","",IF(IFERROR(INDEX('Google Drive Map'!$G$4:$G$33,MATCH(H69,'Google Drive Map'!$B$4:$B$33,0))&amp;"","")="","",HYPERLINK(INDEX('Google Drive Map'!$G$4:$G$33,MATCH(H69,'Google Drive Map'!$B$4:$B$33,0)),"Open")))</f>
        <v/>
      </c>
      <c r="J69" s="23" t="n"/>
    </row>
    <row r="70">
      <c r="A70" s="22" t="inlineStr">
        <is>
          <t>G5</t>
        </is>
      </c>
      <c r="B70" s="22" t="inlineStr">
        <is>
          <t>Frame &amp; lock-up</t>
        </is>
      </c>
      <c r="C70" s="22" t="inlineStr">
        <is>
          <t>Deliverable</t>
        </is>
      </c>
      <c r="D70" s="23" t="inlineStr">
        <is>
          <t>Services rough-in: plumbing, electrical, data, HVAC</t>
        </is>
      </c>
      <c r="E70" s="22" t="n"/>
      <c r="F70" s="24" t="n"/>
      <c r="G70" s="22" t="n"/>
      <c r="H70" s="22" t="inlineStr">
        <is>
          <t>00 Project Register</t>
        </is>
      </c>
      <c r="I70" s="7">
        <f>IF(H70="","",IF(IFERROR(INDEX('Google Drive Map'!$G$4:$G$33,MATCH(H70,'Google Drive Map'!$B$4:$B$33,0))&amp;"","")="","",HYPERLINK(INDEX('Google Drive Map'!$G$4:$G$33,MATCH(H70,'Google Drive Map'!$B$4:$B$33,0)),"Open")))</f>
        <v/>
      </c>
      <c r="J70" s="23" t="n"/>
    </row>
    <row r="71">
      <c r="A71" s="22" t="inlineStr">
        <is>
          <t>G5</t>
        </is>
      </c>
      <c r="B71" s="22" t="inlineStr">
        <is>
          <t>Frame &amp; lock-up</t>
        </is>
      </c>
      <c r="C71" s="22" t="inlineStr">
        <is>
          <t>Exit check</t>
        </is>
      </c>
      <c r="D71" s="23" t="inlineStr">
        <is>
          <t>Frame inspection passed</t>
        </is>
      </c>
      <c r="E71" s="22" t="n"/>
      <c r="F71" s="24" t="n"/>
      <c r="G71" s="22" t="n"/>
      <c r="H71" s="22" t="inlineStr"/>
      <c r="I71" s="7">
        <f>IF(H71="","",IF(IFERROR(INDEX('Google Drive Map'!$G$4:$G$33,MATCH(H71,'Google Drive Map'!$B$4:$B$33,0))&amp;"","")="","",HYPERLINK(INDEX('Google Drive Map'!$G$4:$G$33,MATCH(H71,'Google Drive Map'!$B$4:$B$33,0)),"Open")))</f>
        <v/>
      </c>
      <c r="J71" s="23" t="n"/>
    </row>
    <row r="72">
      <c r="A72" s="22" t="inlineStr">
        <is>
          <t>G5</t>
        </is>
      </c>
      <c r="B72" s="22" t="inlineStr">
        <is>
          <t>Frame &amp; lock-up</t>
        </is>
      </c>
      <c r="C72" s="22" t="inlineStr">
        <is>
          <t>Exit check</t>
        </is>
      </c>
      <c r="D72" s="23" t="inlineStr">
        <is>
          <t>Lock-up reached (lender progress draw)</t>
        </is>
      </c>
      <c r="E72" s="22" t="n"/>
      <c r="F72" s="24" t="n"/>
      <c r="G72" s="22" t="n"/>
      <c r="H72" s="22" t="inlineStr"/>
      <c r="I72" s="7">
        <f>IF(H72="","",IF(IFERROR(INDEX('Google Drive Map'!$G$4:$G$33,MATCH(H72,'Google Drive Map'!$B$4:$B$33,0))&amp;"","")="","",HYPERLINK(INDEX('Google Drive Map'!$G$4:$G$33,MATCH(H72,'Google Drive Map'!$B$4:$B$33,0)),"Open")))</f>
        <v/>
      </c>
      <c r="J72" s="23" t="n"/>
    </row>
    <row r="73">
      <c r="A73" s="22" t="inlineStr">
        <is>
          <t>G5</t>
        </is>
      </c>
      <c r="B73" s="22" t="inlineStr">
        <is>
          <t>Frame &amp; lock-up</t>
        </is>
      </c>
      <c r="C73" s="22" t="inlineStr">
        <is>
          <t>Exit check</t>
        </is>
      </c>
      <c r="D73" s="23" t="inlineStr">
        <is>
          <t>Rough-in certificates, insulation installed &amp; photographed</t>
        </is>
      </c>
      <c r="E73" s="22" t="n"/>
      <c r="F73" s="24" t="n"/>
      <c r="G73" s="22" t="n"/>
      <c r="H73" s="22" t="inlineStr"/>
      <c r="I73" s="7">
        <f>IF(H73="","",IF(IFERROR(INDEX('Google Drive Map'!$G$4:$G$33,MATCH(H73,'Google Drive Map'!$B$4:$B$33,0))&amp;"","")="","",HYPERLINK(INDEX('Google Drive Map'!$G$4:$G$33,MATCH(H73,'Google Drive Map'!$B$4:$B$33,0)),"Open")))</f>
        <v/>
      </c>
      <c r="J73" s="23" t="n"/>
    </row>
    <row r="74">
      <c r="A74" s="22" t="inlineStr">
        <is>
          <t>G6</t>
        </is>
      </c>
      <c r="B74" s="22" t="inlineStr">
        <is>
          <t>Fit-out &amp; fixing</t>
        </is>
      </c>
      <c r="C74" s="22" t="inlineStr">
        <is>
          <t>Entry criteria</t>
        </is>
      </c>
      <c r="D74" s="23" t="inlineStr">
        <is>
          <t>G5 passed</t>
        </is>
      </c>
      <c r="E74" s="22" t="n"/>
      <c r="F74" s="24" t="n"/>
      <c r="G74" s="22" t="n"/>
      <c r="H74" s="22" t="inlineStr"/>
      <c r="I74" s="7">
        <f>IF(H74="","",IF(IFERROR(INDEX('Google Drive Map'!$G$4:$G$33,MATCH(H74,'Google Drive Map'!$B$4:$B$33,0))&amp;"","")="","",HYPERLINK(INDEX('Google Drive Map'!$G$4:$G$33,MATCH(H74,'Google Drive Map'!$B$4:$B$33,0)),"Open")))</f>
        <v/>
      </c>
      <c r="J74" s="23" t="n"/>
    </row>
    <row r="75">
      <c r="A75" s="22" t="inlineStr">
        <is>
          <t>G6</t>
        </is>
      </c>
      <c r="B75" s="22" t="inlineStr">
        <is>
          <t>Fit-out &amp; fixing</t>
        </is>
      </c>
      <c r="C75" s="22" t="inlineStr">
        <is>
          <t>Entry criteria</t>
        </is>
      </c>
      <c r="D75" s="23" t="inlineStr">
        <is>
          <t>All selections locked in My Build (tiles, taps, appliances, paint)</t>
        </is>
      </c>
      <c r="E75" s="22" t="n"/>
      <c r="F75" s="24" t="n"/>
      <c r="G75" s="22" t="n"/>
      <c r="H75" s="22" t="inlineStr"/>
      <c r="I75" s="7">
        <f>IF(H75="","",IF(IFERROR(INDEX('Google Drive Map'!$G$4:$G$33,MATCH(H75,'Google Drive Map'!$B$4:$B$33,0))&amp;"","")="","",HYPERLINK(INDEX('Google Drive Map'!$G$4:$G$33,MATCH(H75,'Google Drive Map'!$B$4:$B$33,0)),"Open")))</f>
        <v/>
      </c>
      <c r="J75" s="23" t="n"/>
    </row>
    <row r="76">
      <c r="A76" s="22" t="inlineStr">
        <is>
          <t>G6</t>
        </is>
      </c>
      <c r="B76" s="22" t="inlineStr">
        <is>
          <t>Fit-out &amp; fixing</t>
        </is>
      </c>
      <c r="C76" s="22" t="inlineStr">
        <is>
          <t>Deliverable</t>
        </is>
      </c>
      <c r="D76" s="23" t="inlineStr">
        <is>
          <t>Plaster, cornice, internal doors, architraves</t>
        </is>
      </c>
      <c r="E76" s="22" t="n"/>
      <c r="F76" s="24" t="n"/>
      <c r="G76" s="22" t="n"/>
      <c r="H76" s="22" t="inlineStr">
        <is>
          <t>00 Project Register</t>
        </is>
      </c>
      <c r="I76" s="7">
        <f>IF(H76="","",IF(IFERROR(INDEX('Google Drive Map'!$G$4:$G$33,MATCH(H76,'Google Drive Map'!$B$4:$B$33,0))&amp;"","")="","",HYPERLINK(INDEX('Google Drive Map'!$G$4:$G$33,MATCH(H76,'Google Drive Map'!$B$4:$B$33,0)),"Open")))</f>
        <v/>
      </c>
      <c r="J76" s="23" t="n"/>
    </row>
    <row r="77">
      <c r="A77" s="22" t="inlineStr">
        <is>
          <t>G6</t>
        </is>
      </c>
      <c r="B77" s="22" t="inlineStr">
        <is>
          <t>Fit-out &amp; fixing</t>
        </is>
      </c>
      <c r="C77" s="22" t="inlineStr">
        <is>
          <t>Deliverable</t>
        </is>
      </c>
      <c r="D77" s="23" t="inlineStr">
        <is>
          <t>Waterproofing (certificate) &amp; tiling</t>
        </is>
      </c>
      <c r="E77" s="22" t="n"/>
      <c r="F77" s="24" t="n"/>
      <c r="G77" s="22" t="n"/>
      <c r="H77" s="22" t="inlineStr">
        <is>
          <t>07 Inspections &amp; Certificates</t>
        </is>
      </c>
      <c r="I77" s="7">
        <f>IF(H77="","",IF(IFERROR(INDEX('Google Drive Map'!$G$4:$G$33,MATCH(H77,'Google Drive Map'!$B$4:$B$33,0))&amp;"","")="","",HYPERLINK(INDEX('Google Drive Map'!$G$4:$G$33,MATCH(H77,'Google Drive Map'!$B$4:$B$33,0)),"Open")))</f>
        <v/>
      </c>
      <c r="J77" s="23" t="n"/>
    </row>
    <row r="78">
      <c r="A78" s="22" t="inlineStr">
        <is>
          <t>G6</t>
        </is>
      </c>
      <c r="B78" s="22" t="inlineStr">
        <is>
          <t>Fit-out &amp; fixing</t>
        </is>
      </c>
      <c r="C78" s="22" t="inlineStr">
        <is>
          <t>Deliverable</t>
        </is>
      </c>
      <c r="D78" s="23" t="inlineStr">
        <is>
          <t>Cabinetry, benchtops, joinery</t>
        </is>
      </c>
      <c r="E78" s="22" t="n"/>
      <c r="F78" s="24" t="n"/>
      <c r="G78" s="22" t="n"/>
      <c r="H78" s="22" t="inlineStr">
        <is>
          <t>00 Project Register</t>
        </is>
      </c>
      <c r="I78" s="7">
        <f>IF(H78="","",IF(IFERROR(INDEX('Google Drive Map'!$G$4:$G$33,MATCH(H78,'Google Drive Map'!$B$4:$B$33,0))&amp;"","")="","",HYPERLINK(INDEX('Google Drive Map'!$G$4:$G$33,MATCH(H78,'Google Drive Map'!$B$4:$B$33,0)),"Open")))</f>
        <v/>
      </c>
      <c r="J78" s="23" t="n"/>
    </row>
    <row r="79">
      <c r="A79" s="22" t="inlineStr">
        <is>
          <t>G6</t>
        </is>
      </c>
      <c r="B79" s="22" t="inlineStr">
        <is>
          <t>Fit-out &amp; fixing</t>
        </is>
      </c>
      <c r="C79" s="22" t="inlineStr">
        <is>
          <t>Deliverable</t>
        </is>
      </c>
      <c r="D79" s="23" t="inlineStr">
        <is>
          <t>Painting</t>
        </is>
      </c>
      <c r="E79" s="22" t="n"/>
      <c r="F79" s="24" t="n"/>
      <c r="G79" s="22" t="n"/>
      <c r="H79" s="22" t="inlineStr">
        <is>
          <t>00 Project Register</t>
        </is>
      </c>
      <c r="I79" s="7">
        <f>IF(H79="","",IF(IFERROR(INDEX('Google Drive Map'!$G$4:$G$33,MATCH(H79,'Google Drive Map'!$B$4:$B$33,0))&amp;"","")="","",HYPERLINK(INDEX('Google Drive Map'!$G$4:$G$33,MATCH(H79,'Google Drive Map'!$B$4:$B$33,0)),"Open")))</f>
        <v/>
      </c>
      <c r="J79" s="23" t="n"/>
    </row>
    <row r="80">
      <c r="A80" s="22" t="inlineStr">
        <is>
          <t>G6</t>
        </is>
      </c>
      <c r="B80" s="22" t="inlineStr">
        <is>
          <t>Fit-out &amp; fixing</t>
        </is>
      </c>
      <c r="C80" s="22" t="inlineStr">
        <is>
          <t>Deliverable</t>
        </is>
      </c>
      <c r="D80" s="23" t="inlineStr">
        <is>
          <t>Plumbing &amp; electrical fit-off (PCC &amp; Certificate of Electrical Safety)</t>
        </is>
      </c>
      <c r="E80" s="22" t="n"/>
      <c r="F80" s="24" t="n"/>
      <c r="G80" s="22" t="n"/>
      <c r="H80" s="22" t="inlineStr">
        <is>
          <t>07 Inspections &amp; Certificates</t>
        </is>
      </c>
      <c r="I80" s="7">
        <f>IF(H80="","",IF(IFERROR(INDEX('Google Drive Map'!$G$4:$G$33,MATCH(H80,'Google Drive Map'!$B$4:$B$33,0))&amp;"","")="","",HYPERLINK(INDEX('Google Drive Map'!$G$4:$G$33,MATCH(H80,'Google Drive Map'!$B$4:$B$33,0)),"Open")))</f>
        <v/>
      </c>
      <c r="J80" s="23" t="n"/>
    </row>
    <row r="81">
      <c r="A81" s="22" t="inlineStr">
        <is>
          <t>G6</t>
        </is>
      </c>
      <c r="B81" s="22" t="inlineStr">
        <is>
          <t>Fit-out &amp; fixing</t>
        </is>
      </c>
      <c r="C81" s="22" t="inlineStr">
        <is>
          <t>Deliverable</t>
        </is>
      </c>
      <c r="D81" s="23" t="inlineStr">
        <is>
          <t>Floor coverings</t>
        </is>
      </c>
      <c r="E81" s="22" t="n"/>
      <c r="F81" s="24" t="n"/>
      <c r="G81" s="22" t="n"/>
      <c r="H81" s="22" t="inlineStr">
        <is>
          <t>00 Project Register</t>
        </is>
      </c>
      <c r="I81" s="7">
        <f>IF(H81="","",IF(IFERROR(INDEX('Google Drive Map'!$G$4:$G$33,MATCH(H81,'Google Drive Map'!$B$4:$B$33,0))&amp;"","")="","",HYPERLINK(INDEX('Google Drive Map'!$G$4:$G$33,MATCH(H81,'Google Drive Map'!$B$4:$B$33,0)),"Open")))</f>
        <v/>
      </c>
      <c r="J81" s="23" t="n"/>
    </row>
    <row r="82">
      <c r="A82" s="22" t="inlineStr">
        <is>
          <t>G6</t>
        </is>
      </c>
      <c r="B82" s="22" t="inlineStr">
        <is>
          <t>Fit-out &amp; fixing</t>
        </is>
      </c>
      <c r="C82" s="22" t="inlineStr">
        <is>
          <t>Exit check</t>
        </is>
      </c>
      <c r="D82" s="23" t="inlineStr">
        <is>
          <t>All compliance certificates collected</t>
        </is>
      </c>
      <c r="E82" s="22" t="n"/>
      <c r="F82" s="24" t="n"/>
      <c r="G82" s="22" t="n"/>
      <c r="H82" s="22" t="inlineStr"/>
      <c r="I82" s="7">
        <f>IF(H82="","",IF(IFERROR(INDEX('Google Drive Map'!$G$4:$G$33,MATCH(H82,'Google Drive Map'!$B$4:$B$33,0))&amp;"","")="","",HYPERLINK(INDEX('Google Drive Map'!$G$4:$G$33,MATCH(H82,'Google Drive Map'!$B$4:$B$33,0)),"Open")))</f>
        <v/>
      </c>
      <c r="J82" s="23" t="n"/>
    </row>
    <row r="83">
      <c r="A83" s="22" t="inlineStr">
        <is>
          <t>G6</t>
        </is>
      </c>
      <c r="B83" s="22" t="inlineStr">
        <is>
          <t>Fit-out &amp; fixing</t>
        </is>
      </c>
      <c r="C83" s="22" t="inlineStr">
        <is>
          <t>Exit check</t>
        </is>
      </c>
      <c r="D83" s="23" t="inlineStr">
        <is>
          <t>Own defects walk-through done, list issued to trades</t>
        </is>
      </c>
      <c r="E83" s="22" t="n"/>
      <c r="F83" s="24" t="n"/>
      <c r="G83" s="22" t="n"/>
      <c r="H83" s="22" t="inlineStr"/>
      <c r="I83" s="7">
        <f>IF(H83="","",IF(IFERROR(INDEX('Google Drive Map'!$G$4:$G$33,MATCH(H83,'Google Drive Map'!$B$4:$B$33,0))&amp;"","")="","",HYPERLINK(INDEX('Google Drive Map'!$G$4:$G$33,MATCH(H83,'Google Drive Map'!$B$4:$B$33,0)),"Open")))</f>
        <v/>
      </c>
      <c r="J83" s="23" t="n"/>
    </row>
    <row r="84">
      <c r="A84" s="22" t="inlineStr">
        <is>
          <t>G6</t>
        </is>
      </c>
      <c r="B84" s="22" t="inlineStr">
        <is>
          <t>Fit-out &amp; fixing</t>
        </is>
      </c>
      <c r="C84" s="22" t="inlineStr">
        <is>
          <t>Exit check</t>
        </is>
      </c>
      <c r="D84" s="23" t="inlineStr">
        <is>
          <t>Budget forecast to complete is confirmed</t>
        </is>
      </c>
      <c r="E84" s="22" t="n"/>
      <c r="F84" s="24" t="n"/>
      <c r="G84" s="22" t="n"/>
      <c r="H84" s="22" t="inlineStr"/>
      <c r="I84" s="7">
        <f>IF(H84="","",IF(IFERROR(INDEX('Google Drive Map'!$G$4:$G$33,MATCH(H84,'Google Drive Map'!$B$4:$B$33,0))&amp;"","")="","",HYPERLINK(INDEX('Google Drive Map'!$G$4:$G$33,MATCH(H84,'Google Drive Map'!$B$4:$B$33,0)),"Open")))</f>
        <v/>
      </c>
      <c r="J84" s="23" t="n"/>
    </row>
    <row r="85">
      <c r="A85" s="22" t="inlineStr">
        <is>
          <t>G7</t>
        </is>
      </c>
      <c r="B85" s="22" t="inlineStr">
        <is>
          <t>Completion &amp; handover</t>
        </is>
      </c>
      <c r="C85" s="22" t="inlineStr">
        <is>
          <t>Entry criteria</t>
        </is>
      </c>
      <c r="D85" s="23" t="inlineStr">
        <is>
          <t>G6 passed</t>
        </is>
      </c>
      <c r="E85" s="22" t="n"/>
      <c r="F85" s="24" t="n"/>
      <c r="G85" s="22" t="n"/>
      <c r="H85" s="22" t="inlineStr"/>
      <c r="I85" s="7">
        <f>IF(H85="","",IF(IFERROR(INDEX('Google Drive Map'!$G$4:$G$33,MATCH(H85,'Google Drive Map'!$B$4:$B$33,0))&amp;"","")="","",HYPERLINK(INDEX('Google Drive Map'!$G$4:$G$33,MATCH(H85,'Google Drive Map'!$B$4:$B$33,0)),"Open")))</f>
        <v/>
      </c>
      <c r="J85" s="23" t="n"/>
    </row>
    <row r="86">
      <c r="A86" s="22" t="inlineStr">
        <is>
          <t>G7</t>
        </is>
      </c>
      <c r="B86" s="22" t="inlineStr">
        <is>
          <t>Completion &amp; handover</t>
        </is>
      </c>
      <c r="C86" s="22" t="inlineStr">
        <is>
          <t>Entry criteria</t>
        </is>
      </c>
      <c r="D86" s="23" t="inlineStr">
        <is>
          <t>Defects closed out, site cleaned</t>
        </is>
      </c>
      <c r="E86" s="22" t="n"/>
      <c r="F86" s="24" t="n"/>
      <c r="G86" s="22" t="n"/>
      <c r="H86" s="22" t="inlineStr"/>
      <c r="I86" s="7">
        <f>IF(H86="","",IF(IFERROR(INDEX('Google Drive Map'!$G$4:$G$33,MATCH(H86,'Google Drive Map'!$B$4:$B$33,0))&amp;"","")="","",HYPERLINK(INDEX('Google Drive Map'!$G$4:$G$33,MATCH(H86,'Google Drive Map'!$B$4:$B$33,0)),"Open")))</f>
        <v/>
      </c>
      <c r="J86" s="23" t="n"/>
    </row>
    <row r="87">
      <c r="A87" s="22" t="inlineStr">
        <is>
          <t>G7</t>
        </is>
      </c>
      <c r="B87" s="22" t="inlineStr">
        <is>
          <t>Completion &amp; handover</t>
        </is>
      </c>
      <c r="C87" s="22" t="inlineStr">
        <is>
          <t>Deliverable</t>
        </is>
      </c>
      <c r="D87" s="23" t="inlineStr">
        <is>
          <t>Hold point: final inspection</t>
        </is>
      </c>
      <c r="E87" s="22" t="n"/>
      <c r="F87" s="24" t="n"/>
      <c r="G87" s="22" t="n"/>
      <c r="H87" s="22" t="inlineStr">
        <is>
          <t>07 Inspections &amp; Certificates</t>
        </is>
      </c>
      <c r="I87" s="7">
        <f>IF(H87="","",IF(IFERROR(INDEX('Google Drive Map'!$G$4:$G$33,MATCH(H87,'Google Drive Map'!$B$4:$B$33,0))&amp;"","")="","",HYPERLINK(INDEX('Google Drive Map'!$G$4:$G$33,MATCH(H87,'Google Drive Map'!$B$4:$B$33,0)),"Open")))</f>
        <v/>
      </c>
      <c r="J87" s="23" t="n"/>
    </row>
    <row r="88">
      <c r="A88" s="22" t="inlineStr">
        <is>
          <t>G7</t>
        </is>
      </c>
      <c r="B88" s="22" t="inlineStr">
        <is>
          <t>Completion &amp; handover</t>
        </is>
      </c>
      <c r="C88" s="22" t="inlineStr">
        <is>
          <t>Deliverable</t>
        </is>
      </c>
      <c r="D88" s="23" t="inlineStr">
        <is>
          <t>Occupancy permit / certificate of final inspection</t>
        </is>
      </c>
      <c r="E88" s="22" t="n"/>
      <c r="F88" s="24" t="n"/>
      <c r="G88" s="22" t="n"/>
      <c r="H88" s="22" t="inlineStr">
        <is>
          <t>08 Handover, Records &amp; Sale</t>
        </is>
      </c>
      <c r="I88" s="7">
        <f>IF(H88="","",IF(IFERROR(INDEX('Google Drive Map'!$G$4:$G$33,MATCH(H88,'Google Drive Map'!$B$4:$B$33,0))&amp;"","")="","",HYPERLINK(INDEX('Google Drive Map'!$G$4:$G$33,MATCH(H88,'Google Drive Map'!$B$4:$B$33,0)),"Open")))</f>
        <v/>
      </c>
      <c r="J88" s="23" t="n"/>
    </row>
    <row r="89">
      <c r="A89" s="22" t="inlineStr">
        <is>
          <t>G7</t>
        </is>
      </c>
      <c r="B89" s="22" t="inlineStr">
        <is>
          <t>Completion &amp; handover</t>
        </is>
      </c>
      <c r="C89" s="22" t="inlineStr">
        <is>
          <t>Deliverable</t>
        </is>
      </c>
      <c r="D89" s="23" t="inlineStr">
        <is>
          <t>Utilities, driveway, landscaping, asset bond refund</t>
        </is>
      </c>
      <c r="E89" s="22" t="n"/>
      <c r="F89" s="24" t="n"/>
      <c r="G89" s="22" t="n"/>
      <c r="H89" s="22" t="inlineStr">
        <is>
          <t>03 Permits, Insurance &amp; Finance</t>
        </is>
      </c>
      <c r="I89" s="7">
        <f>IF(H89="","",IF(IFERROR(INDEX('Google Drive Map'!$G$4:$G$33,MATCH(H89,'Google Drive Map'!$B$4:$B$33,0))&amp;"","")="","",HYPERLINK(INDEX('Google Drive Map'!$G$4:$G$33,MATCH(H89,'Google Drive Map'!$B$4:$B$33,0)),"Open")))</f>
        <v/>
      </c>
      <c r="J89" s="23" t="n"/>
    </row>
    <row r="90">
      <c r="A90" s="22" t="inlineStr">
        <is>
          <t>G7</t>
        </is>
      </c>
      <c r="B90" s="22" t="inlineStr">
        <is>
          <t>Completion &amp; handover</t>
        </is>
      </c>
      <c r="C90" s="22" t="inlineStr">
        <is>
          <t>Deliverable</t>
        </is>
      </c>
      <c r="D90" s="23" t="inlineStr">
        <is>
          <t>Handover file: permits, certificates, warranties, as-builts</t>
        </is>
      </c>
      <c r="E90" s="22" t="n"/>
      <c r="F90" s="24" t="n"/>
      <c r="G90" s="22" t="n"/>
      <c r="H90" s="22" t="inlineStr">
        <is>
          <t>08 Handover, Records &amp; Sale</t>
        </is>
      </c>
      <c r="I90" s="7">
        <f>IF(H90="","",IF(IFERROR(INDEX('Google Drive Map'!$G$4:$G$33,MATCH(H90,'Google Drive Map'!$B$4:$B$33,0))&amp;"","")="","",HYPERLINK(INDEX('Google Drive Map'!$G$4:$G$33,MATCH(H90,'Google Drive Map'!$B$4:$B$33,0)),"Open")))</f>
        <v/>
      </c>
      <c r="J90" s="23" t="n"/>
    </row>
    <row r="91">
      <c r="A91" s="22" t="inlineStr">
        <is>
          <t>G7</t>
        </is>
      </c>
      <c r="B91" s="22" t="inlineStr">
        <is>
          <t>Completion &amp; handover</t>
        </is>
      </c>
      <c r="C91" s="22" t="inlineStr">
        <is>
          <t>Deliverable</t>
        </is>
      </c>
      <c r="D91" s="23" t="inlineStr">
        <is>
          <t>Final cost report &amp; lessons learned</t>
        </is>
      </c>
      <c r="E91" s="22" t="n"/>
      <c r="F91" s="24" t="n"/>
      <c r="G91" s="22" t="n"/>
      <c r="H91" s="22" t="inlineStr">
        <is>
          <t>08 Handover, Records &amp; Sale</t>
        </is>
      </c>
      <c r="I91" s="7">
        <f>IF(H91="","",IF(IFERROR(INDEX('Google Drive Map'!$G$4:$G$33,MATCH(H91,'Google Drive Map'!$B$4:$B$33,0))&amp;"","")="","",HYPERLINK(INDEX('Google Drive Map'!$G$4:$G$33,MATCH(H91,'Google Drive Map'!$B$4:$B$33,0)),"Open")))</f>
        <v/>
      </c>
      <c r="J91" s="23" t="n"/>
    </row>
    <row r="92">
      <c r="A92" s="22" t="inlineStr">
        <is>
          <t>G7</t>
        </is>
      </c>
      <c r="B92" s="22" t="inlineStr">
        <is>
          <t>Completion &amp; handover</t>
        </is>
      </c>
      <c r="C92" s="22" t="inlineStr">
        <is>
          <t>Exit check</t>
        </is>
      </c>
      <c r="D92" s="23" t="inlineStr">
        <is>
          <t>Occupancy permit issued before move-in</t>
        </is>
      </c>
      <c r="E92" s="22" t="n"/>
      <c r="F92" s="24" t="n"/>
      <c r="G92" s="22" t="n"/>
      <c r="H92" s="22" t="inlineStr"/>
      <c r="I92" s="7">
        <f>IF(H92="","",IF(IFERROR(INDEX('Google Drive Map'!$G$4:$G$33,MATCH(H92,'Google Drive Map'!$B$4:$B$33,0))&amp;"","")="","",HYPERLINK(INDEX('Google Drive Map'!$G$4:$G$33,MATCH(H92,'Google Drive Map'!$B$4:$B$33,0)),"Open")))</f>
        <v/>
      </c>
      <c r="J92" s="23" t="n"/>
    </row>
    <row r="93">
      <c r="A93" s="22" t="inlineStr">
        <is>
          <t>G7</t>
        </is>
      </c>
      <c r="B93" s="22" t="inlineStr">
        <is>
          <t>Completion &amp; handover</t>
        </is>
      </c>
      <c r="C93" s="22" t="inlineStr">
        <is>
          <t>Exit check</t>
        </is>
      </c>
      <c r="D93" s="23" t="inlineStr">
        <is>
          <t>All trades paid, retentions released per contract</t>
        </is>
      </c>
      <c r="E93" s="22" t="n"/>
      <c r="F93" s="24" t="n"/>
      <c r="G93" s="22" t="n"/>
      <c r="H93" s="22" t="inlineStr"/>
      <c r="I93" s="7">
        <f>IF(H93="","",IF(IFERROR(INDEX('Google Drive Map'!$G$4:$G$33,MATCH(H93,'Google Drive Map'!$B$4:$B$33,0))&amp;"","")="","",HYPERLINK(INDEX('Google Drive Map'!$G$4:$G$33,MATCH(H93,'Google Drive Map'!$B$4:$B$33,0)),"Open")))</f>
        <v/>
      </c>
      <c r="J93" s="23" t="n"/>
    </row>
    <row r="94">
      <c r="A94" s="22" t="inlineStr">
        <is>
          <t>G7</t>
        </is>
      </c>
      <c r="B94" s="22" t="inlineStr">
        <is>
          <t>Completion &amp; handover</t>
        </is>
      </c>
      <c r="C94" s="22" t="inlineStr">
        <is>
          <t>Exit check</t>
        </is>
      </c>
      <c r="D94" s="23" t="inlineStr">
        <is>
          <t>Warranty &amp; defects-period reminders set</t>
        </is>
      </c>
      <c r="E94" s="22" t="n"/>
      <c r="F94" s="24" t="n"/>
      <c r="G94" s="22" t="n"/>
      <c r="H94" s="22" t="inlineStr"/>
      <c r="I94" s="7">
        <f>IF(H94="","",IF(IFERROR(INDEX('Google Drive Map'!$G$4:$G$33,MATCH(H94,'Google Drive Map'!$B$4:$B$33,0))&amp;"","")="","",HYPERLINK(INDEX('Google Drive Map'!$G$4:$G$33,MATCH(H94,'Google Drive Map'!$B$4:$B$33,0)),"Open")))</f>
        <v/>
      </c>
      <c r="J94" s="23" t="n"/>
    </row>
    <row r="95">
      <c r="A95" s="22" t="n"/>
      <c r="B95" s="22" t="n"/>
      <c r="C95" s="22" t="n"/>
      <c r="D95" s="23" t="n"/>
      <c r="E95" s="22" t="n"/>
      <c r="F95" s="24" t="n"/>
      <c r="G95" s="22" t="n"/>
      <c r="H95" s="22" t="n"/>
      <c r="I95" s="7">
        <f>IF(H95="","",IF(IFERROR(INDEX('Google Drive Map'!$G$4:$G$33,MATCH(H95,'Google Drive Map'!$B$4:$B$33,0))&amp;"","")="","",HYPERLINK(INDEX('Google Drive Map'!$G$4:$G$33,MATCH(H95,'Google Drive Map'!$B$4:$B$33,0)),"Open")))</f>
        <v/>
      </c>
      <c r="J95" s="23" t="n"/>
    </row>
    <row r="96">
      <c r="A96" s="22" t="n"/>
      <c r="B96" s="22" t="n"/>
      <c r="C96" s="22" t="n"/>
      <c r="D96" s="23" t="n"/>
      <c r="E96" s="22" t="n"/>
      <c r="F96" s="24" t="n"/>
      <c r="G96" s="22" t="n"/>
      <c r="H96" s="22" t="n"/>
      <c r="I96" s="7">
        <f>IF(H96="","",IF(IFERROR(INDEX('Google Drive Map'!$G$4:$G$33,MATCH(H96,'Google Drive Map'!$B$4:$B$33,0))&amp;"","")="","",HYPERLINK(INDEX('Google Drive Map'!$G$4:$G$33,MATCH(H96,'Google Drive Map'!$B$4:$B$33,0)),"Open")))</f>
        <v/>
      </c>
      <c r="J96" s="23" t="n"/>
    </row>
    <row r="97">
      <c r="A97" s="22" t="n"/>
      <c r="B97" s="22" t="n"/>
      <c r="C97" s="22" t="n"/>
      <c r="D97" s="23" t="n"/>
      <c r="E97" s="22" t="n"/>
      <c r="F97" s="24" t="n"/>
      <c r="G97" s="22" t="n"/>
      <c r="H97" s="22" t="n"/>
      <c r="I97" s="7">
        <f>IF(H97="","",IF(IFERROR(INDEX('Google Drive Map'!$G$4:$G$33,MATCH(H97,'Google Drive Map'!$B$4:$B$33,0))&amp;"","")="","",HYPERLINK(INDEX('Google Drive Map'!$G$4:$G$33,MATCH(H97,'Google Drive Map'!$B$4:$B$33,0)),"Open")))</f>
        <v/>
      </c>
      <c r="J97" s="23" t="n"/>
    </row>
    <row r="98">
      <c r="A98" s="22" t="n"/>
      <c r="B98" s="22" t="n"/>
      <c r="C98" s="22" t="n"/>
      <c r="D98" s="23" t="n"/>
      <c r="E98" s="22" t="n"/>
      <c r="F98" s="24" t="n"/>
      <c r="G98" s="22" t="n"/>
      <c r="H98" s="22" t="n"/>
      <c r="I98" s="7">
        <f>IF(H98="","",IF(IFERROR(INDEX('Google Drive Map'!$G$4:$G$33,MATCH(H98,'Google Drive Map'!$B$4:$B$33,0))&amp;"","")="","",HYPERLINK(INDEX('Google Drive Map'!$G$4:$G$33,MATCH(H98,'Google Drive Map'!$B$4:$B$33,0)),"Open")))</f>
        <v/>
      </c>
      <c r="J98" s="23" t="n"/>
    </row>
    <row r="99">
      <c r="A99" s="22" t="n"/>
      <c r="B99" s="22" t="n"/>
      <c r="C99" s="22" t="n"/>
      <c r="D99" s="23" t="n"/>
      <c r="E99" s="22" t="n"/>
      <c r="F99" s="24" t="n"/>
      <c r="G99" s="22" t="n"/>
      <c r="H99" s="22" t="n"/>
      <c r="I99" s="7">
        <f>IF(H99="","",IF(IFERROR(INDEX('Google Drive Map'!$G$4:$G$33,MATCH(H99,'Google Drive Map'!$B$4:$B$33,0))&amp;"","")="","",HYPERLINK(INDEX('Google Drive Map'!$G$4:$G$33,MATCH(H99,'Google Drive Map'!$B$4:$B$33,0)),"Open")))</f>
        <v/>
      </c>
      <c r="J99" s="23" t="n"/>
    </row>
    <row r="100">
      <c r="A100" s="22" t="n"/>
      <c r="B100" s="22" t="n"/>
      <c r="C100" s="22" t="n"/>
      <c r="D100" s="23" t="n"/>
      <c r="E100" s="22" t="n"/>
      <c r="F100" s="24" t="n"/>
      <c r="G100" s="22" t="n"/>
      <c r="H100" s="22" t="n"/>
      <c r="I100" s="7">
        <f>IF(H100="","",IF(IFERROR(INDEX('Google Drive Map'!$G$4:$G$33,MATCH(H100,'Google Drive Map'!$B$4:$B$33,0))&amp;"","")="","",HYPERLINK(INDEX('Google Drive Map'!$G$4:$G$33,MATCH(H100,'Google Drive Map'!$B$4:$B$33,0)),"Open")))</f>
        <v/>
      </c>
      <c r="J100" s="23" t="n"/>
    </row>
    <row r="101">
      <c r="A101" s="22" t="n"/>
      <c r="B101" s="22" t="n"/>
      <c r="C101" s="22" t="n"/>
      <c r="D101" s="23" t="n"/>
      <c r="E101" s="22" t="n"/>
      <c r="F101" s="24" t="n"/>
      <c r="G101" s="22" t="n"/>
      <c r="H101" s="22" t="n"/>
      <c r="I101" s="7">
        <f>IF(H101="","",IF(IFERROR(INDEX('Google Drive Map'!$G$4:$G$33,MATCH(H101,'Google Drive Map'!$B$4:$B$33,0))&amp;"","")="","",HYPERLINK(INDEX('Google Drive Map'!$G$4:$G$33,MATCH(H101,'Google Drive Map'!$B$4:$B$33,0)),"Open")))</f>
        <v/>
      </c>
      <c r="J101" s="23" t="n"/>
    </row>
    <row r="102">
      <c r="A102" s="22" t="n"/>
      <c r="B102" s="22" t="n"/>
      <c r="C102" s="22" t="n"/>
      <c r="D102" s="23" t="n"/>
      <c r="E102" s="22" t="n"/>
      <c r="F102" s="24" t="n"/>
      <c r="G102" s="22" t="n"/>
      <c r="H102" s="22" t="n"/>
      <c r="I102" s="7">
        <f>IF(H102="","",IF(IFERROR(INDEX('Google Drive Map'!$G$4:$G$33,MATCH(H102,'Google Drive Map'!$B$4:$B$33,0))&amp;"","")="","",HYPERLINK(INDEX('Google Drive Map'!$G$4:$G$33,MATCH(H102,'Google Drive Map'!$B$4:$B$33,0)),"Open")))</f>
        <v/>
      </c>
      <c r="J102" s="23" t="n"/>
    </row>
    <row r="103">
      <c r="A103" s="22" t="n"/>
      <c r="B103" s="22" t="n"/>
      <c r="C103" s="22" t="n"/>
      <c r="D103" s="23" t="n"/>
      <c r="E103" s="22" t="n"/>
      <c r="F103" s="24" t="n"/>
      <c r="G103" s="22" t="n"/>
      <c r="H103" s="22" t="n"/>
      <c r="I103" s="7">
        <f>IF(H103="","",IF(IFERROR(INDEX('Google Drive Map'!$G$4:$G$33,MATCH(H103,'Google Drive Map'!$B$4:$B$33,0))&amp;"","")="","",HYPERLINK(INDEX('Google Drive Map'!$G$4:$G$33,MATCH(H103,'Google Drive Map'!$B$4:$B$33,0)),"Open")))</f>
        <v/>
      </c>
      <c r="J103" s="23" t="n"/>
    </row>
    <row r="104">
      <c r="A104" s="22" t="n"/>
      <c r="B104" s="22" t="n"/>
      <c r="C104" s="22" t="n"/>
      <c r="D104" s="23" t="n"/>
      <c r="E104" s="22" t="n"/>
      <c r="F104" s="24" t="n"/>
      <c r="G104" s="22" t="n"/>
      <c r="H104" s="22" t="n"/>
      <c r="I104" s="7">
        <f>IF(H104="","",IF(IFERROR(INDEX('Google Drive Map'!$G$4:$G$33,MATCH(H104,'Google Drive Map'!$B$4:$B$33,0))&amp;"","")="","",HYPERLINK(INDEX('Google Drive Map'!$G$4:$G$33,MATCH(H104,'Google Drive Map'!$B$4:$B$33,0)),"Open")))</f>
        <v/>
      </c>
      <c r="J104" s="23" t="n"/>
    </row>
    <row r="105">
      <c r="A105" s="22" t="n"/>
      <c r="B105" s="22" t="n"/>
      <c r="C105" s="22" t="n"/>
      <c r="D105" s="23" t="n"/>
      <c r="E105" s="22" t="n"/>
      <c r="F105" s="24" t="n"/>
      <c r="G105" s="22" t="n"/>
      <c r="H105" s="22" t="n"/>
      <c r="I105" s="7">
        <f>IF(H105="","",IF(IFERROR(INDEX('Google Drive Map'!$G$4:$G$33,MATCH(H105,'Google Drive Map'!$B$4:$B$33,0))&amp;"","")="","",HYPERLINK(INDEX('Google Drive Map'!$G$4:$G$33,MATCH(H105,'Google Drive Map'!$B$4:$B$33,0)),"Open")))</f>
        <v/>
      </c>
      <c r="J105" s="23" t="n"/>
    </row>
    <row r="106">
      <c r="A106" s="22" t="n"/>
      <c r="B106" s="22" t="n"/>
      <c r="C106" s="22" t="n"/>
      <c r="D106" s="23" t="n"/>
      <c r="E106" s="22" t="n"/>
      <c r="F106" s="24" t="n"/>
      <c r="G106" s="22" t="n"/>
      <c r="H106" s="22" t="n"/>
      <c r="I106" s="7">
        <f>IF(H106="","",IF(IFERROR(INDEX('Google Drive Map'!$G$4:$G$33,MATCH(H106,'Google Drive Map'!$B$4:$B$33,0))&amp;"","")="","",HYPERLINK(INDEX('Google Drive Map'!$G$4:$G$33,MATCH(H106,'Google Drive Map'!$B$4:$B$33,0)),"Open")))</f>
        <v/>
      </c>
      <c r="J106" s="23" t="n"/>
    </row>
    <row r="107">
      <c r="A107" s="22" t="n"/>
      <c r="B107" s="22" t="n"/>
      <c r="C107" s="22" t="n"/>
      <c r="D107" s="23" t="n"/>
      <c r="E107" s="22" t="n"/>
      <c r="F107" s="24" t="n"/>
      <c r="G107" s="22" t="n"/>
      <c r="H107" s="22" t="n"/>
      <c r="I107" s="7">
        <f>IF(H107="","",IF(IFERROR(INDEX('Google Drive Map'!$G$4:$G$33,MATCH(H107,'Google Drive Map'!$B$4:$B$33,0))&amp;"","")="","",HYPERLINK(INDEX('Google Drive Map'!$G$4:$G$33,MATCH(H107,'Google Drive Map'!$B$4:$B$33,0)),"Open")))</f>
        <v/>
      </c>
      <c r="J107" s="23" t="n"/>
    </row>
    <row r="108">
      <c r="A108" s="22" t="n"/>
      <c r="B108" s="22" t="n"/>
      <c r="C108" s="22" t="n"/>
      <c r="D108" s="23" t="n"/>
      <c r="E108" s="22" t="n"/>
      <c r="F108" s="24" t="n"/>
      <c r="G108" s="22" t="n"/>
      <c r="H108" s="22" t="n"/>
      <c r="I108" s="7">
        <f>IF(H108="","",IF(IFERROR(INDEX('Google Drive Map'!$G$4:$G$33,MATCH(H108,'Google Drive Map'!$B$4:$B$33,0))&amp;"","")="","",HYPERLINK(INDEX('Google Drive Map'!$G$4:$G$33,MATCH(H108,'Google Drive Map'!$B$4:$B$33,0)),"Open")))</f>
        <v/>
      </c>
      <c r="J108" s="23" t="n"/>
    </row>
    <row r="109">
      <c r="A109" s="22" t="n"/>
      <c r="B109" s="22" t="n"/>
      <c r="C109" s="22" t="n"/>
      <c r="D109" s="23" t="n"/>
      <c r="E109" s="22" t="n"/>
      <c r="F109" s="24" t="n"/>
      <c r="G109" s="22" t="n"/>
      <c r="H109" s="22" t="n"/>
      <c r="I109" s="7">
        <f>IF(H109="","",IF(IFERROR(INDEX('Google Drive Map'!$G$4:$G$33,MATCH(H109,'Google Drive Map'!$B$4:$B$33,0))&amp;"","")="","",HYPERLINK(INDEX('Google Drive Map'!$G$4:$G$33,MATCH(H109,'Google Drive Map'!$B$4:$B$33,0)),"Open")))</f>
        <v/>
      </c>
      <c r="J109" s="23" t="n"/>
    </row>
    <row r="110">
      <c r="A110" s="22" t="n"/>
      <c r="B110" s="22" t="n"/>
      <c r="C110" s="22" t="n"/>
      <c r="D110" s="23" t="n"/>
      <c r="E110" s="22" t="n"/>
      <c r="F110" s="24" t="n"/>
      <c r="G110" s="22" t="n"/>
      <c r="H110" s="22" t="n"/>
      <c r="I110" s="7">
        <f>IF(H110="","",IF(IFERROR(INDEX('Google Drive Map'!$G$4:$G$33,MATCH(H110,'Google Drive Map'!$B$4:$B$33,0))&amp;"","")="","",HYPERLINK(INDEX('Google Drive Map'!$G$4:$G$33,MATCH(H110,'Google Drive Map'!$B$4:$B$33,0)),"Open")))</f>
        <v/>
      </c>
      <c r="J110" s="23" t="n"/>
    </row>
    <row r="111">
      <c r="A111" s="22" t="n"/>
      <c r="B111" s="22" t="n"/>
      <c r="C111" s="22" t="n"/>
      <c r="D111" s="23" t="n"/>
      <c r="E111" s="22" t="n"/>
      <c r="F111" s="24" t="n"/>
      <c r="G111" s="22" t="n"/>
      <c r="H111" s="22" t="n"/>
      <c r="I111" s="7">
        <f>IF(H111="","",IF(IFERROR(INDEX('Google Drive Map'!$G$4:$G$33,MATCH(H111,'Google Drive Map'!$B$4:$B$33,0))&amp;"","")="","",HYPERLINK(INDEX('Google Drive Map'!$G$4:$G$33,MATCH(H111,'Google Drive Map'!$B$4:$B$33,0)),"Open")))</f>
        <v/>
      </c>
      <c r="J111" s="23" t="n"/>
    </row>
    <row r="112">
      <c r="A112" s="22" t="n"/>
      <c r="B112" s="22" t="n"/>
      <c r="C112" s="22" t="n"/>
      <c r="D112" s="23" t="n"/>
      <c r="E112" s="22" t="n"/>
      <c r="F112" s="24" t="n"/>
      <c r="G112" s="22" t="n"/>
      <c r="H112" s="22" t="n"/>
      <c r="I112" s="7">
        <f>IF(H112="","",IF(IFERROR(INDEX('Google Drive Map'!$G$4:$G$33,MATCH(H112,'Google Drive Map'!$B$4:$B$33,0))&amp;"","")="","",HYPERLINK(INDEX('Google Drive Map'!$G$4:$G$33,MATCH(H112,'Google Drive Map'!$B$4:$B$33,0)),"Open")))</f>
        <v/>
      </c>
      <c r="J112" s="23" t="n"/>
    </row>
    <row r="113">
      <c r="A113" s="22" t="n"/>
      <c r="B113" s="22" t="n"/>
      <c r="C113" s="22" t="n"/>
      <c r="D113" s="23" t="n"/>
      <c r="E113" s="22" t="n"/>
      <c r="F113" s="24" t="n"/>
      <c r="G113" s="22" t="n"/>
      <c r="H113" s="22" t="n"/>
      <c r="I113" s="7">
        <f>IF(H113="","",IF(IFERROR(INDEX('Google Drive Map'!$G$4:$G$33,MATCH(H113,'Google Drive Map'!$B$4:$B$33,0))&amp;"","")="","",HYPERLINK(INDEX('Google Drive Map'!$G$4:$G$33,MATCH(H113,'Google Drive Map'!$B$4:$B$33,0)),"Open")))</f>
        <v/>
      </c>
      <c r="J113" s="23" t="n"/>
    </row>
    <row r="114">
      <c r="A114" s="22" t="n"/>
      <c r="B114" s="22" t="n"/>
      <c r="C114" s="22" t="n"/>
      <c r="D114" s="23" t="n"/>
      <c r="E114" s="22" t="n"/>
      <c r="F114" s="24" t="n"/>
      <c r="G114" s="22" t="n"/>
      <c r="H114" s="22" t="n"/>
      <c r="I114" s="7">
        <f>IF(H114="","",IF(IFERROR(INDEX('Google Drive Map'!$G$4:$G$33,MATCH(H114,'Google Drive Map'!$B$4:$B$33,0))&amp;"","")="","",HYPERLINK(INDEX('Google Drive Map'!$G$4:$G$33,MATCH(H114,'Google Drive Map'!$B$4:$B$33,0)),"Open")))</f>
        <v/>
      </c>
      <c r="J114" s="23" t="n"/>
    </row>
  </sheetData>
  <sheetProtection selectLockedCells="0" selectUnlockedCells="0" sheet="1" objects="0" insertRows="0" insertHyperlinks="0" autoFilter="0" scenarios="0" formatColumns="0" deleteColumns="1" insertColumns="1" pivotTables="1" deleteRows="0" formatCells="0" formatRows="0" sort="0"/>
  <autoFilter ref="A3:J114"/>
  <conditionalFormatting sqref="E4:E114">
    <cfRule type="cellIs" priority="1" operator="equal" dxfId="0">
      <formula>"Yes"</formula>
    </cfRule>
  </conditionalFormatting>
  <dataValidations count="3">
    <dataValidation sqref="A4:A114" showDropDown="0" showInputMessage="0" showErrorMessage="0" allowBlank="1" error="Pick a value from the list." type="list" errorStyle="warning">
      <formula1>=Lists!$A$2:$A$9</formula1>
    </dataValidation>
    <dataValidation sqref="C4:C114" showDropDown="0" showInputMessage="0" showErrorMessage="0" allowBlank="1" error="Pick a value from the list." type="list" errorStyle="warning">
      <formula1>=Lists!$F$2:$F$4</formula1>
    </dataValidation>
    <dataValidation sqref="E4:E114" showDropDown="0" showInputMessage="0" showErrorMessage="0" allowBlank="1" error="Pick a value from the list." type="list" errorStyle="warning">
      <formula1>=Lists!$B$2:$B$3</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79"/>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44" customWidth="1" min="3" max="3"/>
    <col width="13" customWidth="1" min="4" max="4"/>
    <col width="60" customWidth="1" min="5" max="5"/>
    <col width="9" customWidth="1" min="6" max="6"/>
    <col width="13" customWidth="1" min="7" max="7"/>
    <col width="12" customWidth="1" min="8" max="8"/>
    <col width="18" customWidth="1" min="9" max="9"/>
    <col width="16" customWidth="1" min="10" max="10"/>
    <col width="30" customWidth="1" min="11" max="11"/>
    <col width="8" customWidth="1" min="12" max="12"/>
    <col width="36" customWidth="1" min="13" max="13"/>
  </cols>
  <sheetData>
    <row r="1" ht="24" customHeight="1">
      <c r="A1" s="1" t="inlineStr">
        <is>
          <t>Victorian owner-builder compliance</t>
        </is>
      </c>
    </row>
    <row r="2">
      <c r="A2" s="2" t="inlineStr">
        <is>
          <t>Every item from the 11-stage checklist. Set Status as you go; use N/A only where the item genuinely doesn't apply to your build.</t>
        </is>
      </c>
    </row>
    <row r="3" ht="32" customHeight="1">
      <c r="A3" s="20" t="inlineStr">
        <is>
          <t>ID</t>
        </is>
      </c>
      <c r="B3" s="20" t="inlineStr">
        <is>
          <t>Stage</t>
        </is>
      </c>
      <c r="C3" s="20" t="inlineStr">
        <is>
          <t>Item</t>
        </is>
      </c>
      <c r="D3" s="20" t="inlineStr">
        <is>
          <t>Requirement</t>
        </is>
      </c>
      <c r="E3" s="20" t="inlineStr">
        <is>
          <t>What it means</t>
        </is>
      </c>
      <c r="F3" s="20" t="inlineStr">
        <is>
          <t>Gateway</t>
        </is>
      </c>
      <c r="G3" s="20" t="inlineStr">
        <is>
          <t>Status</t>
        </is>
      </c>
      <c r="H3" s="20" t="inlineStr">
        <is>
          <t>Date done</t>
        </is>
      </c>
      <c r="I3" s="20" t="inlineStr">
        <is>
          <t>Reference / permit no.</t>
        </is>
      </c>
      <c r="J3" s="20" t="inlineStr">
        <is>
          <t>Evidence Doc ID</t>
        </is>
      </c>
      <c r="K3" s="20" t="inlineStr">
        <is>
          <t>Drive folder</t>
        </is>
      </c>
      <c r="L3" s="21" t="inlineStr">
        <is>
          <t>Folder</t>
        </is>
      </c>
      <c r="M3" s="20" t="inlineStr">
        <is>
          <t>Notes</t>
        </is>
      </c>
    </row>
    <row r="4">
      <c r="A4" s="22" t="inlineStr">
        <is>
          <t>el-own</t>
        </is>
      </c>
      <c r="B4" s="22" t="inlineStr">
        <is>
          <t>1. Eligibility</t>
        </is>
      </c>
      <c r="C4" s="23" t="inlineStr">
        <is>
          <t>You own the land</t>
        </is>
      </c>
      <c r="D4" s="22" t="inlineStr">
        <is>
          <t>Must</t>
        </is>
      </c>
      <c r="E4" s="23" t="inlineStr">
        <is>
          <t>Or you're a director of the company, or a beneficiary of the trust, that owns it. Your name must match the title.</t>
        </is>
      </c>
      <c r="F4" s="22" t="inlineStr">
        <is>
          <t>G0</t>
        </is>
      </c>
      <c r="G4" s="22" t="inlineStr">
        <is>
          <t>Not started</t>
        </is>
      </c>
      <c r="H4" s="24" t="n"/>
      <c r="I4" s="22" t="n"/>
      <c r="J4" s="22" t="n"/>
      <c r="K4" s="22" t="inlineStr">
        <is>
          <t>01 Eligibility, Land &amp; Planning</t>
        </is>
      </c>
      <c r="L4" s="7">
        <f>IF(K4="","",IF(IFERROR(INDEX('Google Drive Map'!$G$4:$G$33,MATCH(K4,'Google Drive Map'!$B$4:$B$33,0))&amp;"","")="","",HYPERLINK(INDEX('Google Drive Map'!$G$4:$G$33,MATCH(K4,'Google Drive Map'!$B$4:$B$33,0)),"Open")))</f>
        <v/>
      </c>
      <c r="M4" s="23" t="n"/>
    </row>
    <row r="5">
      <c r="A5" s="22" t="inlineStr">
        <is>
          <t>el-single</t>
        </is>
      </c>
      <c r="B5" s="22" t="inlineStr">
        <is>
          <t>1. Eligibility</t>
        </is>
      </c>
      <c r="C5" s="23" t="inlineStr">
        <is>
          <t>The work relates to a single domestic dwelling</t>
        </is>
      </c>
      <c r="D5" s="22" t="inlineStr">
        <is>
          <t>Must</t>
        </is>
      </c>
      <c r="E5" s="23" t="inlineStr">
        <is>
          <t>This includes work ancillary to it, such as a garage, shed, pool or deck. Multi-unit developments are out.</t>
        </is>
      </c>
      <c r="F5" s="22" t="inlineStr">
        <is>
          <t>G0</t>
        </is>
      </c>
      <c r="G5" s="22" t="inlineStr">
        <is>
          <t>Not started</t>
        </is>
      </c>
      <c r="H5" s="24" t="n"/>
      <c r="I5" s="22" t="n"/>
      <c r="J5" s="22" t="n"/>
      <c r="K5" s="22" t="inlineStr">
        <is>
          <t>01 Eligibility, Land &amp; Planning</t>
        </is>
      </c>
      <c r="L5" s="7">
        <f>IF(K5="","",IF(IFERROR(INDEX('Google Drive Map'!$G$4:$G$33,MATCH(K5,'Google Drive Map'!$B$4:$B$33,0))&amp;"","")="","",HYPERLINK(INDEX('Google Drive Map'!$G$4:$G$33,MATCH(K5,'Google Drive Map'!$B$4:$B$33,0)),"Open")))</f>
        <v/>
      </c>
      <c r="M5" s="23" t="n"/>
    </row>
    <row r="6">
      <c r="A6" s="22" t="inlineStr">
        <is>
          <t>el-reside</t>
        </is>
      </c>
      <c r="B6" s="22" t="inlineStr">
        <is>
          <t>1. Eligibility</t>
        </is>
      </c>
      <c r="C6" s="23" t="inlineStr">
        <is>
          <t>You live in it, or intend to live in it</t>
        </is>
      </c>
      <c r="D6" s="22" t="inlineStr">
        <is>
          <t>Must</t>
        </is>
      </c>
      <c r="E6" s="23" t="inlineStr">
        <is>
          <t>A small second dwelling on the same lot is exempt from this rule.</t>
        </is>
      </c>
      <c r="F6" s="22" t="inlineStr">
        <is>
          <t>G0</t>
        </is>
      </c>
      <c r="G6" s="22" t="inlineStr">
        <is>
          <t>Not started</t>
        </is>
      </c>
      <c r="H6" s="24" t="n"/>
      <c r="I6" s="22" t="n"/>
      <c r="J6" s="22" t="n"/>
      <c r="K6" s="22" t="inlineStr">
        <is>
          <t>01 Eligibility, Land &amp; Planning</t>
        </is>
      </c>
      <c r="L6" s="7">
        <f>IF(K6="","",IF(IFERROR(INDEX('Google Drive Map'!$G$4:$G$33,MATCH(K6,'Google Drive Map'!$B$4:$B$33,0))&amp;"","")="","",HYPERLINK(INDEX('Google Drive Map'!$G$4:$G$33,MATCH(K6,'Google Drive Map'!$B$4:$B$33,0)),"Open")))</f>
        <v/>
      </c>
      <c r="M6" s="23" t="n"/>
    </row>
    <row r="7">
      <c r="A7" s="22" t="inlineStr">
        <is>
          <t>el-business</t>
        </is>
      </c>
      <c r="B7" s="22" t="inlineStr">
        <is>
          <t>1. Eligibility</t>
        </is>
      </c>
      <c r="C7" s="23" t="inlineStr">
        <is>
          <t>You're not in the "business of building"</t>
        </is>
      </c>
      <c r="D7" s="22" t="inlineStr">
        <is>
          <t>Must</t>
        </is>
      </c>
      <c r="E7" s="23" t="inlineStr">
        <is>
          <t>Owner-building repeatedly for profit is treated as running a building business and needs registration.</t>
        </is>
      </c>
      <c r="F7" s="22" t="inlineStr">
        <is>
          <t>G0</t>
        </is>
      </c>
      <c r="G7" s="22" t="inlineStr">
        <is>
          <t>Not started</t>
        </is>
      </c>
      <c r="H7" s="24" t="n"/>
      <c r="I7" s="22" t="n"/>
      <c r="J7" s="22" t="n"/>
      <c r="K7" s="22" t="inlineStr">
        <is>
          <t>01 Eligibility, Land &amp; Planning</t>
        </is>
      </c>
      <c r="L7" s="7">
        <f>IF(K7="","",IF(IFERROR(INDEX('Google Drive Map'!$G$4:$G$33,MATCH(K7,'Google Drive Map'!$B$4:$B$33,0))&amp;"","")="","",HYPERLINK(INDEX('Google Drive Map'!$G$4:$G$33,MATCH(K7,'Google Drive Map'!$B$4:$B$33,0)),"Open")))</f>
        <v/>
      </c>
      <c r="M7" s="23" t="n"/>
    </row>
    <row r="8">
      <c r="A8" s="22" t="inlineStr">
        <is>
          <t>el-5yr</t>
        </is>
      </c>
      <c r="B8" s="22" t="inlineStr">
        <is>
          <t>1. Eligibility</t>
        </is>
      </c>
      <c r="C8" s="23" t="inlineStr">
        <is>
          <t>No owner-builder permit in the last 5 years</t>
        </is>
      </c>
      <c r="D8" s="22" t="inlineStr">
        <is>
          <t>Must</t>
        </is>
      </c>
      <c r="E8" s="23" t="inlineStr">
        <is>
          <t>This applies to you and to anyone you co-own, or have co-owned, property with. Small second dwellings and further work on the same home are exceptions. The BPC can grant exemptions for special circumstances such as hardship.</t>
        </is>
      </c>
      <c r="F8" s="22" t="inlineStr">
        <is>
          <t>G0</t>
        </is>
      </c>
      <c r="G8" s="22" t="inlineStr">
        <is>
          <t>Not started</t>
        </is>
      </c>
      <c r="H8" s="24" t="n"/>
      <c r="I8" s="22" t="n"/>
      <c r="J8" s="22" t="n"/>
      <c r="K8" s="22" t="inlineStr">
        <is>
          <t>01 Eligibility, Land &amp; Planning</t>
        </is>
      </c>
      <c r="L8" s="7">
        <f>IF(K8="","",IF(IFERROR(INDEX('Google Drive Map'!$G$4:$G$33,MATCH(K8,'Google Drive Map'!$B$4:$B$33,0))&amp;"","")="","",HYPERLINK(INDEX('Google Drive Map'!$G$4:$G$33,MATCH(K8,'Google Drive Map'!$B$4:$B$33,0)),"Open")))</f>
        <v/>
      </c>
      <c r="M8" s="23" t="n"/>
    </row>
    <row r="9">
      <c r="A9" s="22" t="inlineStr">
        <is>
          <t>el-elearn</t>
        </is>
      </c>
      <c r="B9" s="22" t="inlineStr">
        <is>
          <t>1. Eligibility</t>
        </is>
      </c>
      <c r="C9" s="23" t="inlineStr">
        <is>
          <t>Pass the BPC owner-builder eLearning assessment</t>
        </is>
      </c>
      <c r="D9" s="22" t="inlineStr">
        <is>
          <t>Must</t>
        </is>
      </c>
      <c r="E9" s="23" t="inlineStr">
        <is>
          <t>Free and online, about 2–3 hours. Download and keep your pass certificate.</t>
        </is>
      </c>
      <c r="F9" s="22" t="inlineStr">
        <is>
          <t>G2</t>
        </is>
      </c>
      <c r="G9" s="22" t="inlineStr">
        <is>
          <t>Not started</t>
        </is>
      </c>
      <c r="H9" s="24" t="n"/>
      <c r="I9" s="22" t="n"/>
      <c r="J9" s="22" t="n"/>
      <c r="K9" s="22" t="inlineStr">
        <is>
          <t>01 Eligibility, Land &amp; Planning</t>
        </is>
      </c>
      <c r="L9" s="7">
        <f>IF(K9="","",IF(IFERROR(INDEX('Google Drive Map'!$G$4:$G$33,MATCH(K9,'Google Drive Map'!$B$4:$B$33,0))&amp;"","")="","",HYPERLINK(INDEX('Google Drive Map'!$G$4:$G$33,MATCH(K9,'Google Drive Map'!$B$4:$B$33,0)),"Open")))</f>
        <v/>
      </c>
      <c r="M9" s="23" t="n"/>
    </row>
    <row r="10">
      <c r="A10" s="22" t="inlineStr">
        <is>
          <t>el-white</t>
        </is>
      </c>
      <c r="B10" s="22" t="inlineStr">
        <is>
          <t>1. Eligibility</t>
        </is>
      </c>
      <c r="C10" s="23" t="inlineStr">
        <is>
          <t>Complete construction induction training (white card)</t>
        </is>
      </c>
      <c r="D10" s="22" t="inlineStr">
        <is>
          <t>Must</t>
        </is>
      </c>
      <c r="E10" s="23" t="inlineStr">
        <is>
          <t>It's part of the eligibility criteria. Anyone else working on your site needs one too.</t>
        </is>
      </c>
      <c r="F10" s="22" t="inlineStr">
        <is>
          <t>G2</t>
        </is>
      </c>
      <c r="G10" s="22" t="inlineStr">
        <is>
          <t>Not started</t>
        </is>
      </c>
      <c r="H10" s="24" t="n"/>
      <c r="I10" s="22" t="n"/>
      <c r="J10" s="22" t="n"/>
      <c r="K10" s="22" t="inlineStr">
        <is>
          <t>01 Eligibility, Land &amp; Planning</t>
        </is>
      </c>
      <c r="L10" s="7">
        <f>IF(K10="","",IF(IFERROR(INDEX('Google Drive Map'!$G$4:$G$33,MATCH(K10,'Google Drive Map'!$B$4:$B$33,0))&amp;"","")="","",HYPERLINK(INDEX('Google Drive Map'!$G$4:$G$33,MATCH(K10,'Google Drive Map'!$B$4:$B$33,0)),"Open")))</f>
        <v/>
      </c>
      <c r="M10" s="23" t="n"/>
    </row>
    <row r="11">
      <c r="A11" s="22" t="inlineStr">
        <is>
          <t>co-value</t>
        </is>
      </c>
      <c r="B11" s="22" t="inlineStr">
        <is>
          <t>2. Certificate of consent</t>
        </is>
      </c>
      <c r="C11" s="23" t="inlineStr">
        <is>
          <t>Estimate the full value of the work</t>
        </is>
      </c>
      <c r="D11" s="22" t="inlineStr">
        <is>
          <t>Must</t>
        </is>
      </c>
      <c r="E11" s="23" t="inlineStr">
        <is>
          <t>Use market rates for your own labour. Keep the working. The building surveyor and BPC may ask for it.</t>
        </is>
      </c>
      <c r="F11" s="22" t="inlineStr">
        <is>
          <t>G2</t>
        </is>
      </c>
      <c r="G11" s="22" t="inlineStr">
        <is>
          <t>Not started</t>
        </is>
      </c>
      <c r="H11" s="24" t="n"/>
      <c r="I11" s="22" t="n"/>
      <c r="J11" s="22" t="n"/>
      <c r="K11" s="22" t="inlineStr">
        <is>
          <t>01 Eligibility, Land &amp; Planning</t>
        </is>
      </c>
      <c r="L11" s="7">
        <f>IF(K11="","",IF(IFERROR(INDEX('Google Drive Map'!$G$4:$G$33,MATCH(K11,'Google Drive Map'!$B$4:$B$33,0))&amp;"","")="","",HYPERLINK(INDEX('Google Drive Map'!$G$4:$G$33,MATCH(K11,'Google Drive Map'!$B$4:$B$33,0)),"Open")))</f>
        <v/>
      </c>
      <c r="M11" s="23" t="n"/>
    </row>
    <row r="12">
      <c r="A12" s="22" t="inlineStr">
        <is>
          <t>co-apply</t>
        </is>
      </c>
      <c r="B12" s="22" t="inlineStr">
        <is>
          <t>2. Certificate of consent</t>
        </is>
      </c>
      <c r="C12" s="23" t="inlineStr">
        <is>
          <t>Apply to the BPC with proof of ownership and ID</t>
        </is>
      </c>
      <c r="D12" s="22" t="inlineStr">
        <is>
          <t>Must</t>
        </is>
      </c>
      <c r="E12" s="23" t="inlineStr">
        <is>
          <t>Include your eLearning pass, construction induction card, title search and project description. There's a non-refundable application fee, so check the BPC fee schedule.</t>
        </is>
      </c>
      <c r="F12" s="22" t="inlineStr">
        <is>
          <t>G2</t>
        </is>
      </c>
      <c r="G12" s="22" t="inlineStr">
        <is>
          <t>Not started</t>
        </is>
      </c>
      <c r="H12" s="24" t="n"/>
      <c r="I12" s="22" t="n"/>
      <c r="J12" s="22" t="n"/>
      <c r="K12" s="22" t="inlineStr">
        <is>
          <t>01 Eligibility, Land &amp; Planning</t>
        </is>
      </c>
      <c r="L12" s="7">
        <f>IF(K12="","",IF(IFERROR(INDEX('Google Drive Map'!$G$4:$G$33,MATCH(K12,'Google Drive Map'!$B$4:$B$33,0))&amp;"","")="","",HYPERLINK(INDEX('Google Drive Map'!$G$4:$G$33,MATCH(K12,'Google Drive Map'!$B$4:$B$33,0)),"Open")))</f>
        <v/>
      </c>
      <c r="M12" s="23" t="n"/>
    </row>
    <row r="13">
      <c r="A13" s="22" t="inlineStr">
        <is>
          <t>co-receive</t>
        </is>
      </c>
      <c r="B13" s="22" t="inlineStr">
        <is>
          <t>2. Certificate of consent</t>
        </is>
      </c>
      <c r="C13" s="23" t="inlineStr">
        <is>
          <t>Receive your certificate of consent</t>
        </is>
      </c>
      <c r="D13" s="22" t="inlineStr">
        <is>
          <t>Must</t>
        </is>
      </c>
      <c r="E13" s="23" t="inlineStr">
        <is>
          <t>Give a copy to your relevant building surveyor. It's specific to you, this land and this work.</t>
        </is>
      </c>
      <c r="F13" s="22" t="inlineStr">
        <is>
          <t>G2</t>
        </is>
      </c>
      <c r="G13" s="22" t="inlineStr">
        <is>
          <t>Not started</t>
        </is>
      </c>
      <c r="H13" s="24" t="n"/>
      <c r="I13" s="22" t="n"/>
      <c r="J13" s="22" t="n"/>
      <c r="K13" s="22" t="inlineStr">
        <is>
          <t>01 Eligibility, Land &amp; Planning</t>
        </is>
      </c>
      <c r="L13" s="7">
        <f>IF(K13="","",IF(IFERROR(INDEX('Google Drive Map'!$G$4:$G$33,MATCH(K13,'Google Drive Map'!$B$4:$B$33,0))&amp;"","")="","",HYPERLINK(INDEX('Google Drive Map'!$G$4:$G$33,MATCH(K13,'Google Drive Map'!$B$4:$B$33,0)),"Open")))</f>
        <v/>
      </c>
      <c r="M13" s="23" t="n"/>
    </row>
    <row r="14">
      <c r="A14" s="22" t="inlineStr">
        <is>
          <t>de-title</t>
        </is>
      </c>
      <c r="B14" s="22" t="inlineStr">
        <is>
          <t>3. Site, planning &amp; design</t>
        </is>
      </c>
      <c r="C14" s="23" t="inlineStr">
        <is>
          <t>Title search: covenants, easements, section 173 agreements</t>
        </is>
      </c>
      <c r="D14" s="22" t="inlineStr">
        <is>
          <t>Must</t>
        </is>
      </c>
      <c r="E14" s="23" t="inlineStr">
        <is>
          <t>These can limit what, where and how you build. Get the plan of subdivision too.</t>
        </is>
      </c>
      <c r="F14" s="22" t="inlineStr">
        <is>
          <t>G0</t>
        </is>
      </c>
      <c r="G14" s="22" t="inlineStr">
        <is>
          <t>Not started</t>
        </is>
      </c>
      <c r="H14" s="24" t="n"/>
      <c r="I14" s="22" t="n"/>
      <c r="J14" s="22" t="n"/>
      <c r="K14" s="22" t="inlineStr">
        <is>
          <t>01 Eligibility, Land &amp; Planning</t>
        </is>
      </c>
      <c r="L14" s="7">
        <f>IF(K14="","",IF(IFERROR(INDEX('Google Drive Map'!$G$4:$G$33,MATCH(K14,'Google Drive Map'!$B$4:$B$33,0))&amp;"","")="","",HYPERLINK(INDEX('Google Drive Map'!$G$4:$G$33,MATCH(K14,'Google Drive Map'!$B$4:$B$33,0)),"Open")))</f>
        <v/>
      </c>
      <c r="M14" s="23" t="n"/>
    </row>
    <row r="15">
      <c r="A15" s="22" t="inlineStr">
        <is>
          <t>de-planning</t>
        </is>
      </c>
      <c r="B15" s="22" t="inlineStr">
        <is>
          <t>3. Site, planning &amp; design</t>
        </is>
      </c>
      <c r="C15" s="23" t="inlineStr">
        <is>
          <t>Check zoning &amp; overlays and get a planning permit</t>
        </is>
      </c>
      <c r="D15" s="22" t="inlineStr">
        <is>
          <t>If applies</t>
        </is>
      </c>
      <c r="E15" s="23" t="inlineStr">
        <is>
          <t>Use VicPlan / Planning Property Report. Heritage, bushfire (BMO), flood, vegetation and neighbourhood character overlays often need a permit from council.</t>
        </is>
      </c>
      <c r="F15" s="22" t="inlineStr">
        <is>
          <t>G2</t>
        </is>
      </c>
      <c r="G15" s="22" t="inlineStr">
        <is>
          <t>Not started</t>
        </is>
      </c>
      <c r="H15" s="24" t="n"/>
      <c r="I15" s="22" t="n"/>
      <c r="J15" s="22" t="n"/>
      <c r="K15" s="22" t="inlineStr">
        <is>
          <t>01 Eligibility, Land &amp; Planning</t>
        </is>
      </c>
      <c r="L15" s="7">
        <f>IF(K15="","",IF(IFERROR(INDEX('Google Drive Map'!$G$4:$G$33,MATCH(K15,'Google Drive Map'!$B$4:$B$33,0))&amp;"","")="","",HYPERLINK(INDEX('Google Drive Map'!$G$4:$G$33,MATCH(K15,'Google Drive Map'!$B$4:$B$33,0)),"Open")))</f>
        <v/>
      </c>
      <c r="M15" s="23" t="n"/>
    </row>
    <row r="16">
      <c r="A16" s="22" t="inlineStr">
        <is>
          <t>de-survey</t>
        </is>
      </c>
      <c r="B16" s="22" t="inlineStr">
        <is>
          <t>3. Site, planning &amp; design</t>
        </is>
      </c>
      <c r="C16" s="23" t="inlineStr">
        <is>
          <t>Feature &amp; level survey, plus a soil test (site classification)</t>
        </is>
      </c>
      <c r="D16" s="22" t="inlineStr">
        <is>
          <t>Must</t>
        </is>
      </c>
      <c r="E16" s="23" t="inlineStr">
        <is>
          <t>Soil classification to AS 2870 drives footing and slab design. A licensed surveyor sets out the boundaries.</t>
        </is>
      </c>
      <c r="F16" s="22" t="inlineStr">
        <is>
          <t>G1</t>
        </is>
      </c>
      <c r="G16" s="22" t="inlineStr">
        <is>
          <t>Not started</t>
        </is>
      </c>
      <c r="H16" s="24" t="n"/>
      <c r="I16" s="22" t="n"/>
      <c r="J16" s="22" t="n"/>
      <c r="K16" s="22" t="inlineStr">
        <is>
          <t>02 Design &amp; Engineering</t>
        </is>
      </c>
      <c r="L16" s="7">
        <f>IF(K16="","",IF(IFERROR(INDEX('Google Drive Map'!$G$4:$G$33,MATCH(K16,'Google Drive Map'!$B$4:$B$33,0))&amp;"","")="","",HYPERLINK(INDEX('Google Drive Map'!$G$4:$G$33,MATCH(K16,'Google Drive Map'!$B$4:$B$33,0)),"Open")))</f>
        <v/>
      </c>
      <c r="M16" s="23" t="n"/>
    </row>
    <row r="17">
      <c r="A17" s="22" t="inlineStr">
        <is>
          <t>de-drawings</t>
        </is>
      </c>
      <c r="B17" s="22" t="inlineStr">
        <is>
          <t>3. Site, planning &amp; design</t>
        </is>
      </c>
      <c r="C17" s="23" t="inlineStr">
        <is>
          <t>Working drawings by a registered draftsperson or architect</t>
        </is>
      </c>
      <c r="D17" s="22" t="inlineStr">
        <is>
          <t>Must</t>
        </is>
      </c>
      <c r="E17" s="23" t="inlineStr">
        <is>
          <t>Include site plan, floor plans, elevations, sections, window schedule and specification.</t>
        </is>
      </c>
      <c r="F17" s="22" t="inlineStr">
        <is>
          <t>G2</t>
        </is>
      </c>
      <c r="G17" s="22" t="inlineStr">
        <is>
          <t>Not started</t>
        </is>
      </c>
      <c r="H17" s="24" t="n"/>
      <c r="I17" s="22" t="n"/>
      <c r="J17" s="22" t="n"/>
      <c r="K17" s="22" t="inlineStr">
        <is>
          <t>02 Design &amp; Engineering</t>
        </is>
      </c>
      <c r="L17" s="7">
        <f>IF(K17="","",IF(IFERROR(INDEX('Google Drive Map'!$G$4:$G$33,MATCH(K17,'Google Drive Map'!$B$4:$B$33,0))&amp;"","")="","",HYPERLINK(INDEX('Google Drive Map'!$G$4:$G$33,MATCH(K17,'Google Drive Map'!$B$4:$B$33,0)),"Open")))</f>
        <v/>
      </c>
      <c r="M17" s="23" t="n"/>
    </row>
    <row r="18">
      <c r="A18" s="22" t="inlineStr">
        <is>
          <t>de-eng</t>
        </is>
      </c>
      <c r="B18" s="22" t="inlineStr">
        <is>
          <t>3. Site, planning &amp; design</t>
        </is>
      </c>
      <c r="C18" s="23" t="inlineStr">
        <is>
          <t>Structural &amp; civil engineering by a registered engineer</t>
        </is>
      </c>
      <c r="D18" s="22" t="inlineStr">
        <is>
          <t>Must</t>
        </is>
      </c>
      <c r="E18" s="23" t="inlineStr">
        <is>
          <t>Covers footings and slab, framing and bracing, tie-downs, retaining walls and stormwater drainage. You need computations and certificates of compliance (design).</t>
        </is>
      </c>
      <c r="F18" s="22" t="inlineStr">
        <is>
          <t>G2</t>
        </is>
      </c>
      <c r="G18" s="22" t="inlineStr">
        <is>
          <t>Not started</t>
        </is>
      </c>
      <c r="H18" s="24" t="n"/>
      <c r="I18" s="22" t="n"/>
      <c r="J18" s="22" t="n"/>
      <c r="K18" s="22" t="inlineStr">
        <is>
          <t>02 Design &amp; Engineering</t>
        </is>
      </c>
      <c r="L18" s="7">
        <f>IF(K18="","",IF(IFERROR(INDEX('Google Drive Map'!$G$4:$G$33,MATCH(K18,'Google Drive Map'!$B$4:$B$33,0))&amp;"","")="","",HYPERLINK(INDEX('Google Drive Map'!$G$4:$G$33,MATCH(K18,'Google Drive Map'!$B$4:$B$33,0)),"Open")))</f>
        <v/>
      </c>
      <c r="M18" s="23" t="n"/>
    </row>
    <row r="19">
      <c r="A19" s="22" t="inlineStr">
        <is>
          <t>de-energy</t>
        </is>
      </c>
      <c r="B19" s="22" t="inlineStr">
        <is>
          <t>3. Site, planning &amp; design</t>
        </is>
      </c>
      <c r="C19" s="23" t="inlineStr">
        <is>
          <t>Energy rating: 7-star NatHERS plus whole-of-home</t>
        </is>
      </c>
      <c r="D19" s="22" t="inlineStr">
        <is>
          <t>Must</t>
        </is>
      </c>
      <c r="E19" s="23" t="inlineStr">
        <is>
          <t>New Victorian homes must meet NCC 2022 energy efficiency, in force since 1 May 2024. You'll need a stamped energy report.</t>
        </is>
      </c>
      <c r="F19" s="22" t="inlineStr">
        <is>
          <t>G2</t>
        </is>
      </c>
      <c r="G19" s="22" t="inlineStr">
        <is>
          <t>Not started</t>
        </is>
      </c>
      <c r="H19" s="24" t="n"/>
      <c r="I19" s="22" t="n"/>
      <c r="J19" s="22" t="n"/>
      <c r="K19" s="22" t="inlineStr">
        <is>
          <t>02 Design &amp; Engineering</t>
        </is>
      </c>
      <c r="L19" s="7">
        <f>IF(K19="","",IF(IFERROR(INDEX('Google Drive Map'!$G$4:$G$33,MATCH(K19,'Google Drive Map'!$B$4:$B$33,0))&amp;"","")="","",HYPERLINK(INDEX('Google Drive Map'!$G$4:$G$33,MATCH(K19,'Google Drive Map'!$B$4:$B$33,0)),"Open")))</f>
        <v/>
      </c>
      <c r="M19" s="23" t="n"/>
    </row>
    <row r="20">
      <c r="A20" s="22" t="inlineStr">
        <is>
          <t>de-bal</t>
        </is>
      </c>
      <c r="B20" s="22" t="inlineStr">
        <is>
          <t>3. Site, planning &amp; design</t>
        </is>
      </c>
      <c r="C20" s="23" t="inlineStr">
        <is>
          <t>Bushfire Attack Level (BAL) assessment</t>
        </is>
      </c>
      <c r="D20" s="22" t="inlineStr">
        <is>
          <t>If applies</t>
        </is>
      </c>
      <c r="E20" s="23" t="inlineStr">
        <is>
          <t>Required in designated bushfire prone areas. The BAL rating sets construction to AS 3959 (glazing, cladding, screens, decks).</t>
        </is>
      </c>
      <c r="F20" s="22" t="inlineStr">
        <is>
          <t>G2</t>
        </is>
      </c>
      <c r="G20" s="22" t="inlineStr">
        <is>
          <t>Not started</t>
        </is>
      </c>
      <c r="H20" s="24" t="n"/>
      <c r="I20" s="22" t="n"/>
      <c r="J20" s="22" t="n"/>
      <c r="K20" s="22" t="inlineStr">
        <is>
          <t>02 Design &amp; Engineering</t>
        </is>
      </c>
      <c r="L20" s="7">
        <f>IF(K20="","",IF(IFERROR(INDEX('Google Drive Map'!$G$4:$G$33,MATCH(K20,'Google Drive Map'!$B$4:$B$33,0))&amp;"","")="","",HYPERLINK(INDEX('Google Drive Map'!$G$4:$G$33,MATCH(K20,'Google Drive Map'!$B$4:$B$33,0)),"Open")))</f>
        <v/>
      </c>
      <c r="M20" s="23" t="n"/>
    </row>
    <row r="21">
      <c r="A21" s="22" t="inlineStr">
        <is>
          <t>de-lpod</t>
        </is>
      </c>
      <c r="B21" s="22" t="inlineStr">
        <is>
          <t>3. Site, planning &amp; design</t>
        </is>
      </c>
      <c r="C21" s="23" t="inlineStr">
        <is>
          <t>Legal point of stormwater discharge from council</t>
        </is>
      </c>
      <c r="D21" s="22" t="inlineStr">
        <is>
          <t>Must</t>
        </is>
      </c>
      <c r="E21" s="23" t="inlineStr">
        <is>
          <t>Request it early. It can dictate drainage design and cost.</t>
        </is>
      </c>
      <c r="F21" s="22" t="inlineStr">
        <is>
          <t>G2</t>
        </is>
      </c>
      <c r="G21" s="22" t="inlineStr">
        <is>
          <t>Not started</t>
        </is>
      </c>
      <c r="H21" s="24" t="n"/>
      <c r="I21" s="22" t="n"/>
      <c r="J21" s="22" t="n"/>
      <c r="K21" s="22" t="inlineStr">
        <is>
          <t>01 Eligibility, Land &amp; Planning</t>
        </is>
      </c>
      <c r="L21" s="7">
        <f>IF(K21="","",IF(IFERROR(INDEX('Google Drive Map'!$G$4:$G$33,MATCH(K21,'Google Drive Map'!$B$4:$B$33,0))&amp;"","")="","",HYPERLINK(INDEX('Google Drive Map'!$G$4:$G$33,MATCH(K21,'Google Drive Map'!$B$4:$B$33,0)),"Open")))</f>
        <v/>
      </c>
      <c r="M21" s="23" t="n"/>
    </row>
    <row r="22">
      <c r="A22" s="22" t="inlineStr">
        <is>
          <t>de-easement</t>
        </is>
      </c>
      <c r="B22" s="22" t="inlineStr">
        <is>
          <t>3. Site, planning &amp; design</t>
        </is>
      </c>
      <c r="C22" s="23" t="inlineStr">
        <is>
          <t>Build-over-easement consent from the water authority</t>
        </is>
      </c>
      <c r="D22" s="22" t="inlineStr">
        <is>
          <t>If applies</t>
        </is>
      </c>
      <c r="E22" s="23" t="inlineStr">
        <is>
          <t>Needed if any structure sits over or near a sewer or drainage easement.</t>
        </is>
      </c>
      <c r="F22" s="22" t="inlineStr">
        <is>
          <t>G2</t>
        </is>
      </c>
      <c r="G22" s="22" t="inlineStr">
        <is>
          <t>Not started</t>
        </is>
      </c>
      <c r="H22" s="24" t="n"/>
      <c r="I22" s="22" t="n"/>
      <c r="J22" s="22" t="n"/>
      <c r="K22" s="22" t="inlineStr">
        <is>
          <t>01 Eligibility, Land &amp; Planning</t>
        </is>
      </c>
      <c r="L22" s="7">
        <f>IF(K22="","",IF(IFERROR(INDEX('Google Drive Map'!$G$4:$G$33,MATCH(K22,'Google Drive Map'!$B$4:$B$33,0))&amp;"","")="","",HYPERLINK(INDEX('Google Drive Map'!$G$4:$G$33,MATCH(K22,'Google Drive Map'!$B$4:$B$33,0)),"Open")))</f>
        <v/>
      </c>
      <c r="M22" s="23" t="n"/>
    </row>
    <row r="23">
      <c r="A23" s="22" t="inlineStr">
        <is>
          <t>de-siting</t>
        </is>
      </c>
      <c r="B23" s="22" t="inlineStr">
        <is>
          <t>3. Site, planning &amp; design</t>
        </is>
      </c>
      <c r="C23" s="23" t="inlineStr">
        <is>
          <t>Council report &amp; consent for siting variations</t>
        </is>
      </c>
      <c r="D23" s="22" t="inlineStr">
        <is>
          <t>If applies</t>
        </is>
      </c>
      <c r="E23" s="23" t="inlineStr">
        <is>
          <t>Needed when you vary the Building Regulations siting rules (setbacks, site cover, overshadowing, fences), or for works over council assets.</t>
        </is>
      </c>
      <c r="F23" s="22" t="inlineStr">
        <is>
          <t>G2</t>
        </is>
      </c>
      <c r="G23" s="22" t="inlineStr">
        <is>
          <t>Not started</t>
        </is>
      </c>
      <c r="H23" s="24" t="n"/>
      <c r="I23" s="22" t="n"/>
      <c r="J23" s="22" t="n"/>
      <c r="K23" s="22" t="inlineStr">
        <is>
          <t>01 Eligibility, Land &amp; Planning</t>
        </is>
      </c>
      <c r="L23" s="7">
        <f>IF(K23="","",IF(IFERROR(INDEX('Google Drive Map'!$G$4:$G$33,MATCH(K23,'Google Drive Map'!$B$4:$B$33,0))&amp;"","")="","",HYPERLINK(INDEX('Google Drive Map'!$G$4:$G$33,MATCH(K23,'Google Drive Map'!$B$4:$B$33,0)),"Open")))</f>
        <v/>
      </c>
      <c r="M23" s="23" t="n"/>
    </row>
    <row r="24">
      <c r="A24" s="22" t="inlineStr">
        <is>
          <t>bp-rbs</t>
        </is>
      </c>
      <c r="B24" s="22" t="inlineStr">
        <is>
          <t>4. Building permit &amp; pre-start</t>
        </is>
      </c>
      <c r="C24" s="23" t="inlineStr">
        <is>
          <t>Appoint a relevant building surveyor</t>
        </is>
      </c>
      <c r="D24" s="22" t="inlineStr">
        <is>
          <t>Must</t>
        </is>
      </c>
      <c r="E24" s="23" t="inlineStr">
        <is>
          <t>Get a written fee proposal. Confirm the inspection stages and what they need from you at each one.</t>
        </is>
      </c>
      <c r="F24" s="22" t="inlineStr">
        <is>
          <t>G3</t>
        </is>
      </c>
      <c r="G24" s="22" t="inlineStr">
        <is>
          <t>Not started</t>
        </is>
      </c>
      <c r="H24" s="24" t="n"/>
      <c r="I24" s="22" t="n"/>
      <c r="J24" s="22" t="n"/>
      <c r="K24" s="22" t="inlineStr">
        <is>
          <t>03 Permits, Insurance &amp; Finance</t>
        </is>
      </c>
      <c r="L24" s="7">
        <f>IF(K24="","",IF(IFERROR(INDEX('Google Drive Map'!$G$4:$G$33,MATCH(K24,'Google Drive Map'!$B$4:$B$33,0))&amp;"","")="","",HYPERLINK(INDEX('Google Drive Map'!$G$4:$G$33,MATCH(K24,'Google Drive Map'!$B$4:$B$33,0)),"Open")))</f>
        <v/>
      </c>
      <c r="M24" s="23" t="n"/>
    </row>
    <row r="25">
      <c r="A25" s="22" t="inlineStr">
        <is>
          <t>bp-permit</t>
        </is>
      </c>
      <c r="B25" s="22" t="inlineStr">
        <is>
          <t>4. Building permit &amp; pre-start</t>
        </is>
      </c>
      <c r="C25" s="23" t="inlineStr">
        <is>
          <t>Obtain the building permit, naming you as owner-builder</t>
        </is>
      </c>
      <c r="D25" s="22" t="inlineStr">
        <is>
          <t>Must</t>
        </is>
      </c>
      <c r="E25" s="23" t="inlineStr">
        <is>
          <t>Include your certificate of consent number. The state building permit levy applies to work over $10,000.</t>
        </is>
      </c>
      <c r="F25" s="22" t="inlineStr">
        <is>
          <t>G3</t>
        </is>
      </c>
      <c r="G25" s="22" t="inlineStr">
        <is>
          <t>Not started</t>
        </is>
      </c>
      <c r="H25" s="24" t="n"/>
      <c r="I25" s="22" t="n"/>
      <c r="J25" s="22" t="n"/>
      <c r="K25" s="22" t="inlineStr">
        <is>
          <t>03 Permits, Insurance &amp; Finance</t>
        </is>
      </c>
      <c r="L25" s="7">
        <f>IF(K25="","",IF(IFERROR(INDEX('Google Drive Map'!$G$4:$G$33,MATCH(K25,'Google Drive Map'!$B$4:$B$33,0))&amp;"","")="","",HYPERLINK(INDEX('Google Drive Map'!$G$4:$G$33,MATCH(K25,'Google Drive Map'!$B$4:$B$33,0)),"Open")))</f>
        <v/>
      </c>
      <c r="M25" s="23" t="n"/>
    </row>
    <row r="26">
      <c r="A26" s="22" t="inlineStr">
        <is>
          <t>bp-asset</t>
        </is>
      </c>
      <c r="B26" s="22" t="inlineStr">
        <is>
          <t>4. Building permit &amp; pre-start</t>
        </is>
      </c>
      <c r="C26" s="23" t="inlineStr">
        <is>
          <t>Council asset protection permit (and bond)</t>
        </is>
      </c>
      <c r="D26" s="22" t="inlineStr">
        <is>
          <t>Must</t>
        </is>
      </c>
      <c r="E26" s="23" t="inlineStr">
        <is>
          <t>Needed before any work or deliveries. Photograph the footpath, kerb, nature strip and crossover before you start.</t>
        </is>
      </c>
      <c r="F26" s="22" t="inlineStr">
        <is>
          <t>G3</t>
        </is>
      </c>
      <c r="G26" s="22" t="inlineStr">
        <is>
          <t>Not started</t>
        </is>
      </c>
      <c r="H26" s="24" t="n"/>
      <c r="I26" s="22" t="n"/>
      <c r="J26" s="22" t="n"/>
      <c r="K26" s="22" t="inlineStr">
        <is>
          <t>03 Permits, Insurance &amp; Finance</t>
        </is>
      </c>
      <c r="L26" s="7">
        <f>IF(K26="","",IF(IFERROR(INDEX('Google Drive Map'!$G$4:$G$33,MATCH(K26,'Google Drive Map'!$B$4:$B$33,0))&amp;"","")="","",HYPERLINK(INDEX('Google Drive Map'!$G$4:$G$33,MATCH(K26,'Google Drive Map'!$B$4:$B$33,0)),"Open")))</f>
        <v/>
      </c>
      <c r="M26" s="23" t="n"/>
    </row>
    <row r="27">
      <c r="A27" s="22" t="inlineStr">
        <is>
          <t>bp-protect</t>
        </is>
      </c>
      <c r="B27" s="22" t="inlineStr">
        <is>
          <t>4. Building permit &amp; pre-start</t>
        </is>
      </c>
      <c r="C27" s="23" t="inlineStr">
        <is>
          <t>Protection work notices to neighbours</t>
        </is>
      </c>
      <c r="D27" s="22" t="inlineStr">
        <is>
          <t>If applies</t>
        </is>
      </c>
      <c r="E27" s="23" t="inlineStr">
        <is>
          <t>Needed when work could affect adjoining property, for example excavation near a boundary.</t>
        </is>
      </c>
      <c r="F27" s="22" t="inlineStr">
        <is>
          <t>G3</t>
        </is>
      </c>
      <c r="G27" s="22" t="inlineStr">
        <is>
          <t>Not started</t>
        </is>
      </c>
      <c r="H27" s="24" t="n"/>
      <c r="I27" s="22" t="n"/>
      <c r="J27" s="22" t="n"/>
      <c r="K27" s="22" t="inlineStr">
        <is>
          <t>03 Permits, Insurance &amp; Finance</t>
        </is>
      </c>
      <c r="L27" s="7">
        <f>IF(K27="","",IF(IFERROR(INDEX('Google Drive Map'!$G$4:$G$33,MATCH(K27,'Google Drive Map'!$B$4:$B$33,0))&amp;"","")="","",HYPERLINK(INDEX('Google Drive Map'!$G$4:$G$33,MATCH(K27,'Google Drive Map'!$B$4:$B$33,0)),"Open")))</f>
        <v/>
      </c>
      <c r="M27" s="23" t="n"/>
    </row>
    <row r="28">
      <c r="A28" s="22" t="inlineStr">
        <is>
          <t>bp-byda</t>
        </is>
      </c>
      <c r="B28" s="22" t="inlineStr">
        <is>
          <t>4. Building permit &amp; pre-start</t>
        </is>
      </c>
      <c r="C28" s="23" t="inlineStr">
        <is>
          <t>Before You Dig Australia enquiry</t>
        </is>
      </c>
      <c r="D28" s="22" t="inlineStr">
        <is>
          <t>Must</t>
        </is>
      </c>
      <c r="E28" s="23" t="inlineStr">
        <is>
          <t>Locate underground services before any excavation.</t>
        </is>
      </c>
      <c r="F28" s="22" t="inlineStr">
        <is>
          <t>G3</t>
        </is>
      </c>
      <c r="G28" s="22" t="inlineStr">
        <is>
          <t>Not started</t>
        </is>
      </c>
      <c r="H28" s="24" t="n"/>
      <c r="I28" s="22" t="n"/>
      <c r="J28" s="22" t="n"/>
      <c r="K28" s="22" t="inlineStr">
        <is>
          <t>03 Permits, Insurance &amp; Finance</t>
        </is>
      </c>
      <c r="L28" s="7">
        <f>IF(K28="","",IF(IFERROR(INDEX('Google Drive Map'!$G$4:$G$33,MATCH(K28,'Google Drive Map'!$B$4:$B$33,0))&amp;"","")="","",HYPERLINK(INDEX('Google Drive Map'!$G$4:$G$33,MATCH(K28,'Google Drive Map'!$B$4:$B$33,0)),"Open")))</f>
        <v/>
      </c>
      <c r="M28" s="23" t="n"/>
    </row>
    <row r="29">
      <c r="A29" s="22" t="inlineStr">
        <is>
          <t>bp-site</t>
        </is>
      </c>
      <c r="B29" s="22" t="inlineStr">
        <is>
          <t>4. Building permit &amp; pre-start</t>
        </is>
      </c>
      <c r="C29" s="23" t="inlineStr">
        <is>
          <t>Site set-up: fencing, signage, toilet, waste</t>
        </is>
      </c>
      <c r="D29" s="22" t="inlineStr">
        <is>
          <t>Must</t>
        </is>
      </c>
      <c r="E29" s="23" t="inlineStr">
        <is>
          <t>Display a sign with the permit number and owner-builder contact details. Secure the site against the public.</t>
        </is>
      </c>
      <c r="F29" s="22" t="inlineStr">
        <is>
          <t>G3</t>
        </is>
      </c>
      <c r="G29" s="22" t="inlineStr">
        <is>
          <t>Not started</t>
        </is>
      </c>
      <c r="H29" s="24" t="n"/>
      <c r="I29" s="22" t="n"/>
      <c r="J29" s="22" t="n"/>
      <c r="K29" s="22" t="inlineStr">
        <is>
          <t>03 Permits, Insurance &amp; Finance</t>
        </is>
      </c>
      <c r="L29" s="7">
        <f>IF(K29="","",IF(IFERROR(INDEX('Google Drive Map'!$G$4:$G$33,MATCH(K29,'Google Drive Map'!$B$4:$B$33,0))&amp;"","")="","",HYPERLINK(INDEX('Google Drive Map'!$G$4:$G$33,MATCH(K29,'Google Drive Map'!$B$4:$B$33,0)),"Open")))</f>
        <v/>
      </c>
      <c r="M29" s="23" t="n"/>
    </row>
    <row r="30">
      <c r="A30" s="22" t="inlineStr">
        <is>
          <t>bp-utilities</t>
        </is>
      </c>
      <c r="B30" s="22" t="inlineStr">
        <is>
          <t>4. Building permit &amp; pre-start</t>
        </is>
      </c>
      <c r="C30" s="23" t="inlineStr">
        <is>
          <t>Temporary power &amp; water, and utility applications</t>
        </is>
      </c>
      <c r="D30" s="22" t="inlineStr">
        <is>
          <t>Best practice</t>
        </is>
      </c>
      <c r="E30" s="23" t="inlineStr">
        <is>
          <t>Power, water, sewer, gas and NBN connections can take months. Lodge them at permit stage.</t>
        </is>
      </c>
      <c r="F30" s="22" t="inlineStr">
        <is>
          <t>G3</t>
        </is>
      </c>
      <c r="G30" s="22" t="inlineStr">
        <is>
          <t>Not started</t>
        </is>
      </c>
      <c r="H30" s="24" t="n"/>
      <c r="I30" s="22" t="n"/>
      <c r="J30" s="22" t="n"/>
      <c r="K30" s="22" t="inlineStr">
        <is>
          <t>03 Permits, Insurance &amp; Finance</t>
        </is>
      </c>
      <c r="L30" s="7">
        <f>IF(K30="","",IF(IFERROR(INDEX('Google Drive Map'!$G$4:$G$33,MATCH(K30,'Google Drive Map'!$B$4:$B$33,0))&amp;"","")="","",HYPERLINK(INDEX('Google Drive Map'!$G$4:$G$33,MATCH(K30,'Google Drive Map'!$B$4:$B$33,0)),"Open")))</f>
        <v/>
      </c>
      <c r="M30" s="23" t="n"/>
    </row>
    <row r="31">
      <c r="A31" s="22" t="inlineStr">
        <is>
          <t>oh-duty</t>
        </is>
      </c>
      <c r="B31" s="22" t="inlineStr">
        <is>
          <t>5. Health &amp; safety (WorkSafe Victoria)</t>
        </is>
      </c>
      <c r="C31" s="23" t="inlineStr">
        <is>
          <t>Understand your duties as the person managing the site</t>
        </is>
      </c>
      <c r="D31" s="22" t="inlineStr">
        <is>
          <t>Must</t>
        </is>
      </c>
      <c r="E31" s="23" t="inlineStr">
        <is>
          <t>Provide a safe site, safe access, amenities and first aid. Consult and coordinate with every trade.</t>
        </is>
      </c>
      <c r="F31" s="22" t="inlineStr">
        <is>
          <t>G3</t>
        </is>
      </c>
      <c r="G31" s="22" t="inlineStr">
        <is>
          <t>Not started</t>
        </is>
      </c>
      <c r="H31" s="24" t="n"/>
      <c r="I31" s="22" t="n"/>
      <c r="J31" s="22" t="n"/>
      <c r="K31" s="22" t="inlineStr">
        <is>
          <t>03 Permits, Insurance &amp; Finance</t>
        </is>
      </c>
      <c r="L31" s="7">
        <f>IF(K31="","",IF(IFERROR(INDEX('Google Drive Map'!$G$4:$G$33,MATCH(K31,'Google Drive Map'!$B$4:$B$33,0))&amp;"","")="","",HYPERLINK(INDEX('Google Drive Map'!$G$4:$G$33,MATCH(K31,'Google Drive Map'!$B$4:$B$33,0)),"Open")))</f>
        <v/>
      </c>
      <c r="M31" s="23" t="n"/>
    </row>
    <row r="32">
      <c r="A32" s="22" t="inlineStr">
        <is>
          <t>oh-pc</t>
        </is>
      </c>
      <c r="B32" s="22" t="inlineStr">
        <is>
          <t>5. Health &amp; safety (WorkSafe Victoria)</t>
        </is>
      </c>
      <c r="C32" s="23" t="inlineStr">
        <is>
          <t>Principal contractor for projects of $350,000 or more</t>
        </is>
      </c>
      <c r="D32" s="22" t="inlineStr">
        <is>
          <t>If applies</t>
        </is>
      </c>
      <c r="E32" s="23" t="inlineStr">
        <is>
          <t>Appoint in writing. Duties include a health &amp; safety coordination plan, site induction, HRCW oversight and signage.</t>
        </is>
      </c>
      <c r="F32" s="22" t="inlineStr">
        <is>
          <t>G3</t>
        </is>
      </c>
      <c r="G32" s="22" t="inlineStr">
        <is>
          <t>Not started</t>
        </is>
      </c>
      <c r="H32" s="24" t="n"/>
      <c r="I32" s="22" t="n"/>
      <c r="J32" s="22" t="n"/>
      <c r="K32" s="22" t="inlineStr">
        <is>
          <t>03 Permits, Insurance &amp; Finance</t>
        </is>
      </c>
      <c r="L32" s="7">
        <f>IF(K32="","",IF(IFERROR(INDEX('Google Drive Map'!$G$4:$G$33,MATCH(K32,'Google Drive Map'!$B$4:$B$33,0))&amp;"","")="","",HYPERLINK(INDEX('Google Drive Map'!$G$4:$G$33,MATCH(K32,'Google Drive Map'!$B$4:$B$33,0)),"Open")))</f>
        <v/>
      </c>
      <c r="M32" s="23" t="n"/>
    </row>
    <row r="33">
      <c r="A33" s="22" t="inlineStr">
        <is>
          <t>oh-swms</t>
        </is>
      </c>
      <c r="B33" s="22" t="inlineStr">
        <is>
          <t>5. Health &amp; safety (WorkSafe Victoria)</t>
        </is>
      </c>
      <c r="C33" s="23" t="inlineStr">
        <is>
          <t>SWMS for all high risk construction work</t>
        </is>
      </c>
      <c r="D33" s="22" t="inlineStr">
        <is>
          <t>Must</t>
        </is>
      </c>
      <c r="E33" s="23" t="inlineStr">
        <is>
          <t>Covers work at heights over 2 m, trenches over 1.5 m, structural alterations, work near powerlines, and more. Collect and check a SWMS before the work starts.</t>
        </is>
      </c>
      <c r="F33" s="22" t="inlineStr">
        <is>
          <t>G3</t>
        </is>
      </c>
      <c r="G33" s="22" t="inlineStr">
        <is>
          <t>Not started</t>
        </is>
      </c>
      <c r="H33" s="24" t="n"/>
      <c r="I33" s="22" t="n"/>
      <c r="J33" s="22" t="n"/>
      <c r="K33" s="22" t="inlineStr">
        <is>
          <t>04 Trades &amp; Tenders</t>
        </is>
      </c>
      <c r="L33" s="7">
        <f>IF(K33="","",IF(IFERROR(INDEX('Google Drive Map'!$G$4:$G$33,MATCH(K33,'Google Drive Map'!$B$4:$B$33,0))&amp;"","")="","",HYPERLINK(INDEX('Google Drive Map'!$G$4:$G$33,MATCH(K33,'Google Drive Map'!$B$4:$B$33,0)),"Open")))</f>
        <v/>
      </c>
      <c r="M33" s="23" t="n"/>
    </row>
    <row r="34">
      <c r="A34" s="22" t="inlineStr">
        <is>
          <t>oh-cards</t>
        </is>
      </c>
      <c r="B34" s="22" t="inlineStr">
        <is>
          <t>5. Health &amp; safety (WorkSafe Victoria)</t>
        </is>
      </c>
      <c r="C34" s="23" t="inlineStr">
        <is>
          <t>Check white cards &amp; high-risk licences</t>
        </is>
      </c>
      <c r="D34" s="22" t="inlineStr">
        <is>
          <t>Must</t>
        </is>
      </c>
      <c r="E34" s="23" t="inlineStr">
        <is>
          <t>Everyone on site needs a construction induction card. Crane, forklift and scaffold work need HRW licences.</t>
        </is>
      </c>
      <c r="F34" s="22" t="inlineStr">
        <is>
          <t>G3</t>
        </is>
      </c>
      <c r="G34" s="22" t="inlineStr">
        <is>
          <t>Not started</t>
        </is>
      </c>
      <c r="H34" s="24" t="n"/>
      <c r="I34" s="22" t="n"/>
      <c r="J34" s="22" t="n"/>
      <c r="K34" s="22" t="inlineStr">
        <is>
          <t>04 Trades &amp; Tenders</t>
        </is>
      </c>
      <c r="L34" s="7">
        <f>IF(K34="","",IF(IFERROR(INDEX('Google Drive Map'!$G$4:$G$33,MATCH(K34,'Google Drive Map'!$B$4:$B$33,0))&amp;"","")="","",HYPERLINK(INDEX('Google Drive Map'!$G$4:$G$33,MATCH(K34,'Google Drive Map'!$B$4:$B$33,0)),"Open")))</f>
        <v/>
      </c>
      <c r="M34" s="23" t="n"/>
    </row>
    <row r="35">
      <c r="A35" s="22" t="inlineStr">
        <is>
          <t>oh-induct</t>
        </is>
      </c>
      <c r="B35" s="22" t="inlineStr">
        <is>
          <t>5. Health &amp; safety (WorkSafe Victoria)</t>
        </is>
      </c>
      <c r="C35" s="23" t="inlineStr">
        <is>
          <t>Site induction &amp; sign-in register</t>
        </is>
      </c>
      <c r="D35" s="22" t="inlineStr">
        <is>
          <t>Best practice</t>
        </is>
      </c>
      <c r="E35" s="23" t="inlineStr">
        <is>
          <t>Give a 10-minute induction to every new person: hazards, amenities, emergency points and first aid.</t>
        </is>
      </c>
      <c r="F35" s="22" t="inlineStr">
        <is>
          <t>G4</t>
        </is>
      </c>
      <c r="G35" s="22" t="inlineStr">
        <is>
          <t>Not started</t>
        </is>
      </c>
      <c r="H35" s="24" t="n"/>
      <c r="I35" s="22" t="n"/>
      <c r="J35" s="22" t="n"/>
      <c r="K35" s="22" t="inlineStr">
        <is>
          <t>06 Site Diary &amp; Photos</t>
        </is>
      </c>
      <c r="L35" s="7">
        <f>IF(K35="","",IF(IFERROR(INDEX('Google Drive Map'!$G$4:$G$33,MATCH(K35,'Google Drive Map'!$B$4:$B$33,0))&amp;"","")="","",HYPERLINK(INDEX('Google Drive Map'!$G$4:$G$33,MATCH(K35,'Google Drive Map'!$B$4:$B$33,0)),"Open")))</f>
        <v/>
      </c>
      <c r="M35" s="23" t="n"/>
    </row>
    <row r="36">
      <c r="A36" s="22" t="inlineStr">
        <is>
          <t>oh-asbestos</t>
        </is>
      </c>
      <c r="B36" s="22" t="inlineStr">
        <is>
          <t>5. Health &amp; safety (WorkSafe Victoria)</t>
        </is>
      </c>
      <c r="C36" s="23" t="inlineStr">
        <is>
          <t>Asbestos check before renovating or demolishing</t>
        </is>
      </c>
      <c r="D36" s="22" t="inlineStr">
        <is>
          <t>If applies</t>
        </is>
      </c>
      <c r="E36" s="23" t="inlineStr">
        <is>
          <t>Homes built before 1990 may contain asbestos. A licensed removalist is required above the prescribed limits.</t>
        </is>
      </c>
      <c r="F36" s="22" t="inlineStr">
        <is>
          <t>G1</t>
        </is>
      </c>
      <c r="G36" s="22" t="inlineStr">
        <is>
          <t>Not started</t>
        </is>
      </c>
      <c r="H36" s="24" t="n"/>
      <c r="I36" s="22" t="n"/>
      <c r="J36" s="22" t="n"/>
      <c r="K36" s="22" t="inlineStr">
        <is>
          <t>02 Design &amp; Engineering</t>
        </is>
      </c>
      <c r="L36" s="7">
        <f>IF(K36="","",IF(IFERROR(INDEX('Google Drive Map'!$G$4:$G$33,MATCH(K36,'Google Drive Map'!$B$4:$B$33,0))&amp;"","")="","",HYPERLINK(INDEX('Google Drive Map'!$G$4:$G$33,MATCH(K36,'Google Drive Map'!$B$4:$B$33,0)),"Open")))</f>
        <v/>
      </c>
      <c r="M36" s="23" t="n"/>
    </row>
    <row r="37">
      <c r="A37" s="22" t="inlineStr">
        <is>
          <t>oh-workcover</t>
        </is>
      </c>
      <c r="B37" s="22" t="inlineStr">
        <is>
          <t>5. Health &amp; safety (WorkSafe Victoria)</t>
        </is>
      </c>
      <c r="C37" s="23" t="inlineStr">
        <is>
          <t>Register for WorkCover if you employ workers</t>
        </is>
      </c>
      <c r="D37" s="22" t="inlineStr">
        <is>
          <t>If applies</t>
        </is>
      </c>
      <c r="E37" s="23" t="inlineStr">
        <is>
          <t>Paying wages (not contractor invoices) can make you an employer. Contractors must carry their own cover.</t>
        </is>
      </c>
      <c r="F37" s="22" t="inlineStr">
        <is>
          <t>G3</t>
        </is>
      </c>
      <c r="G37" s="22" t="inlineStr">
        <is>
          <t>Not started</t>
        </is>
      </c>
      <c r="H37" s="24" t="n"/>
      <c r="I37" s="22" t="n"/>
      <c r="J37" s="22" t="n"/>
      <c r="K37" s="22" t="inlineStr">
        <is>
          <t>03 Permits, Insurance &amp; Finance</t>
        </is>
      </c>
      <c r="L37" s="7">
        <f>IF(K37="","",IF(IFERROR(INDEX('Google Drive Map'!$G$4:$G$33,MATCH(K37,'Google Drive Map'!$B$4:$B$33,0))&amp;"","")="","",HYPERLINK(INDEX('Google Drive Map'!$G$4:$G$33,MATCH(K37,'Google Drive Map'!$B$4:$B$33,0)),"Open")))</f>
        <v/>
      </c>
      <c r="M37" s="23" t="n"/>
    </row>
    <row r="38">
      <c r="A38" s="22" t="inlineStr">
        <is>
          <t>in-cw</t>
        </is>
      </c>
      <c r="B38" s="22" t="inlineStr">
        <is>
          <t>6. Insurance</t>
        </is>
      </c>
      <c r="C38" s="23" t="inlineStr">
        <is>
          <t>Construction (contract works) insurance</t>
        </is>
      </c>
      <c r="D38" s="22" t="inlineStr">
        <is>
          <t>Best practice</t>
        </is>
      </c>
      <c r="E38" s="23" t="inlineStr">
        <is>
          <t>Covers fire, storm, theft and vandalism to the works in progress. Lenders usually require it.</t>
        </is>
      </c>
      <c r="F38" s="22" t="inlineStr">
        <is>
          <t>G3</t>
        </is>
      </c>
      <c r="G38" s="22" t="inlineStr">
        <is>
          <t>Not started</t>
        </is>
      </c>
      <c r="H38" s="24" t="n"/>
      <c r="I38" s="22" t="n"/>
      <c r="J38" s="22" t="n"/>
      <c r="K38" s="22" t="inlineStr">
        <is>
          <t>03 Permits, Insurance &amp; Finance</t>
        </is>
      </c>
      <c r="L38" s="7">
        <f>IF(K38="","",IF(IFERROR(INDEX('Google Drive Map'!$G$4:$G$33,MATCH(K38,'Google Drive Map'!$B$4:$B$33,0))&amp;"","")="","",HYPERLINK(INDEX('Google Drive Map'!$G$4:$G$33,MATCH(K38,'Google Drive Map'!$B$4:$B$33,0)),"Open")))</f>
        <v/>
      </c>
      <c r="M38" s="23" t="n"/>
    </row>
    <row r="39">
      <c r="A39" s="22" t="inlineStr">
        <is>
          <t>in-pl</t>
        </is>
      </c>
      <c r="B39" s="22" t="inlineStr">
        <is>
          <t>6. Insurance</t>
        </is>
      </c>
      <c r="C39" s="23" t="inlineStr">
        <is>
          <t>Public liability insurance ($10m–$20m)</t>
        </is>
      </c>
      <c r="D39" s="22" t="inlineStr">
        <is>
          <t>Best practice</t>
        </is>
      </c>
      <c r="E39" s="23" t="inlineStr">
        <is>
          <t>Covers injury to visitors and damage to neighbours' property. Home insurance usually won't cover a construction site.</t>
        </is>
      </c>
      <c r="F39" s="22" t="inlineStr">
        <is>
          <t>G3</t>
        </is>
      </c>
      <c r="G39" s="22" t="inlineStr">
        <is>
          <t>Not started</t>
        </is>
      </c>
      <c r="H39" s="24" t="n"/>
      <c r="I39" s="22" t="n"/>
      <c r="J39" s="22" t="n"/>
      <c r="K39" s="22" t="inlineStr">
        <is>
          <t>03 Permits, Insurance &amp; Finance</t>
        </is>
      </c>
      <c r="L39" s="7">
        <f>IF(K39="","",IF(IFERROR(INDEX('Google Drive Map'!$G$4:$G$33,MATCH(K39,'Google Drive Map'!$B$4:$B$33,0))&amp;"","")="","",HYPERLINK(INDEX('Google Drive Map'!$G$4:$G$33,MATCH(K39,'Google Drive Map'!$B$4:$B$33,0)),"Open")))</f>
        <v/>
      </c>
      <c r="M39" s="23" t="n"/>
    </row>
    <row r="40">
      <c r="A40" s="22" t="inlineStr">
        <is>
          <t>in-pa</t>
        </is>
      </c>
      <c r="B40" s="22" t="inlineStr">
        <is>
          <t>6. Insurance</t>
        </is>
      </c>
      <c r="C40" s="23" t="inlineStr">
        <is>
          <t>Personal accident / income protection</t>
        </is>
      </c>
      <c r="D40" s="22" t="inlineStr">
        <is>
          <t>Best practice</t>
        </is>
      </c>
      <c r="E40" s="23" t="inlineStr">
        <is>
          <t>You're the project. If you're injured, the build stops.</t>
        </is>
      </c>
      <c r="F40" s="22" t="inlineStr">
        <is>
          <t>G3</t>
        </is>
      </c>
      <c r="G40" s="22" t="inlineStr">
        <is>
          <t>Not started</t>
        </is>
      </c>
      <c r="H40" s="24" t="n"/>
      <c r="I40" s="22" t="n"/>
      <c r="J40" s="22" t="n"/>
      <c r="K40" s="22" t="inlineStr">
        <is>
          <t>03 Permits, Insurance &amp; Finance</t>
        </is>
      </c>
      <c r="L40" s="7">
        <f>IF(K40="","",IF(IFERROR(INDEX('Google Drive Map'!$G$4:$G$33,MATCH(K40,'Google Drive Map'!$B$4:$B$33,0))&amp;"","")="","",HYPERLINK(INDEX('Google Drive Map'!$G$4:$G$33,MATCH(K40,'Google Drive Map'!$B$4:$B$33,0)),"Open")))</f>
        <v/>
      </c>
      <c r="M40" s="23" t="n"/>
    </row>
    <row r="41">
      <c r="A41" s="22" t="inlineStr">
        <is>
          <t>in-trade</t>
        </is>
      </c>
      <c r="B41" s="22" t="inlineStr">
        <is>
          <t>6. Insurance</t>
        </is>
      </c>
      <c r="C41" s="23" t="inlineStr">
        <is>
          <t>Certificates of currency from every trade</t>
        </is>
      </c>
      <c r="D41" s="22" t="inlineStr">
        <is>
          <t>Must</t>
        </is>
      </c>
      <c r="E41" s="23" t="inlineStr">
        <is>
          <t>Check public liability, WorkCover (if they have employees) and domestic building insurance where required. Track the expiry dates.</t>
        </is>
      </c>
      <c r="F41" s="22" t="inlineStr">
        <is>
          <t>G3</t>
        </is>
      </c>
      <c r="G41" s="22" t="inlineStr">
        <is>
          <t>Not started</t>
        </is>
      </c>
      <c r="H41" s="24" t="n"/>
      <c r="I41" s="22" t="n"/>
      <c r="J41" s="22" t="n"/>
      <c r="K41" s="22" t="inlineStr">
        <is>
          <t>04 Trades &amp; Tenders</t>
        </is>
      </c>
      <c r="L41" s="7">
        <f>IF(K41="","",IF(IFERROR(INDEX('Google Drive Map'!$G$4:$G$33,MATCH(K41,'Google Drive Map'!$B$4:$B$33,0))&amp;"","")="","",HYPERLINK(INDEX('Google Drive Map'!$G$4:$G$33,MATCH(K41,'Google Drive Map'!$B$4:$B$33,0)),"Open")))</f>
        <v/>
      </c>
      <c r="M41" s="23" t="n"/>
    </row>
    <row r="42">
      <c r="A42" s="22" t="inlineStr">
        <is>
          <t>tr-reg</t>
        </is>
      </c>
      <c r="B42" s="22" t="inlineStr">
        <is>
          <t>7. Engaging trades</t>
        </is>
      </c>
      <c r="C42" s="23" t="inlineStr">
        <is>
          <t>Registered builder for trade work over $10,000*</t>
        </is>
      </c>
      <c r="D42" s="22" t="inlineStr">
        <is>
          <t>Must</t>
        </is>
      </c>
      <c r="E42" s="23" t="inlineStr">
        <is>
          <t>A written major domestic building contract is required. Some single-trade work (e.g. electrical, glazing) is exempt when it's the whole scope. Search the BPC practitioner register.</t>
        </is>
      </c>
      <c r="F42" s="22" t="inlineStr">
        <is>
          <t>G3</t>
        </is>
      </c>
      <c r="G42" s="22" t="inlineStr">
        <is>
          <t>Not started</t>
        </is>
      </c>
      <c r="H42" s="24" t="n"/>
      <c r="I42" s="22" t="n"/>
      <c r="J42" s="22" t="n"/>
      <c r="K42" s="22" t="inlineStr">
        <is>
          <t>04 Trades &amp; Tenders</t>
        </is>
      </c>
      <c r="L42" s="7">
        <f>IF(K42="","",IF(IFERROR(INDEX('Google Drive Map'!$G$4:$G$33,MATCH(K42,'Google Drive Map'!$B$4:$B$33,0))&amp;"","")="","",HYPERLINK(INDEX('Google Drive Map'!$G$4:$G$33,MATCH(K42,'Google Drive Map'!$B$4:$B$33,0)),"Open")))</f>
        <v/>
      </c>
      <c r="M42" s="23" t="n"/>
    </row>
    <row r="43">
      <c r="A43" s="22" t="inlineStr">
        <is>
          <t>tr-lic</t>
        </is>
      </c>
      <c r="B43" s="22" t="inlineStr">
        <is>
          <t>7. Engaging trades</t>
        </is>
      </c>
      <c r="C43" s="23" t="inlineStr">
        <is>
          <t>Licensed plumbers, gasfitters and electricians</t>
        </is>
      </c>
      <c r="D43" s="22" t="inlineStr">
        <is>
          <t>Must</t>
        </is>
      </c>
      <c r="E43" s="23" t="inlineStr">
        <is>
          <t>Plumbers are licensed or registered with the BPC. Electricians are licensed by Energy Safe Victoria. You can't do this work yourself.</t>
        </is>
      </c>
      <c r="F43" s="22" t="inlineStr">
        <is>
          <t>G3</t>
        </is>
      </c>
      <c r="G43" s="22" t="inlineStr">
        <is>
          <t>Not started</t>
        </is>
      </c>
      <c r="H43" s="24" t="n"/>
      <c r="I43" s="22" t="n"/>
      <c r="J43" s="22" t="n"/>
      <c r="K43" s="22" t="inlineStr">
        <is>
          <t>04 Trades &amp; Tenders</t>
        </is>
      </c>
      <c r="L43" s="7">
        <f>IF(K43="","",IF(IFERROR(INDEX('Google Drive Map'!$G$4:$G$33,MATCH(K43,'Google Drive Map'!$B$4:$B$33,0))&amp;"","")="","",HYPERLINK(INDEX('Google Drive Map'!$G$4:$G$33,MATCH(K43,'Google Drive Map'!$B$4:$B$33,0)),"Open")))</f>
        <v/>
      </c>
      <c r="M43" s="23" t="n"/>
    </row>
    <row r="44">
      <c r="A44" s="22" t="inlineStr">
        <is>
          <t>tr-written</t>
        </is>
      </c>
      <c r="B44" s="22" t="inlineStr">
        <is>
          <t>7. Engaging trades</t>
        </is>
      </c>
      <c r="C44" s="23" t="inlineStr">
        <is>
          <t>Written contract for every trade</t>
        </is>
      </c>
      <c r="D44" s="22" t="inlineStr">
        <is>
          <t>Best practice</t>
        </is>
      </c>
      <c r="E44" s="23" t="inlineStr">
        <is>
          <t>Include scope, price, inclusions and exclusions, program, payments, variations, defects and insurance, even for small jobs.</t>
        </is>
      </c>
      <c r="F44" s="22" t="inlineStr">
        <is>
          <t>G3</t>
        </is>
      </c>
      <c r="G44" s="22" t="inlineStr">
        <is>
          <t>Not started</t>
        </is>
      </c>
      <c r="H44" s="24" t="n"/>
      <c r="I44" s="22" t="n"/>
      <c r="J44" s="22" t="n"/>
      <c r="K44" s="22" t="inlineStr">
        <is>
          <t>04 Trades &amp; Tenders</t>
        </is>
      </c>
      <c r="L44" s="7">
        <f>IF(K44="","",IF(IFERROR(INDEX('Google Drive Map'!$G$4:$G$33,MATCH(K44,'Google Drive Map'!$B$4:$B$33,0))&amp;"","")="","",HYPERLINK(INDEX('Google Drive Map'!$G$4:$G$33,MATCH(K44,'Google Drive Map'!$B$4:$B$33,0)),"Open")))</f>
        <v/>
      </c>
      <c r="M44" s="23" t="n"/>
    </row>
    <row r="45">
      <c r="A45" s="22" t="inlineStr">
        <is>
          <t>tr-abn</t>
        </is>
      </c>
      <c r="B45" s="22" t="inlineStr">
        <is>
          <t>7. Engaging trades</t>
        </is>
      </c>
      <c r="C45" s="23" t="inlineStr">
        <is>
          <t>Check ABN and GST status</t>
        </is>
      </c>
      <c r="D45" s="22" t="inlineStr">
        <is>
          <t>Best practice</t>
        </is>
      </c>
      <c r="E45" s="23" t="inlineStr">
        <is>
          <t>Verify it on ABN Lookup. Only pay GST on invoices from GST-registered businesses.</t>
        </is>
      </c>
      <c r="F45" s="22" t="inlineStr">
        <is>
          <t>G3</t>
        </is>
      </c>
      <c r="G45" s="22" t="inlineStr">
        <is>
          <t>Not started</t>
        </is>
      </c>
      <c r="H45" s="24" t="n"/>
      <c r="I45" s="22" t="n"/>
      <c r="J45" s="22" t="n"/>
      <c r="K45" s="22" t="inlineStr">
        <is>
          <t>04 Trades &amp; Tenders</t>
        </is>
      </c>
      <c r="L45" s="7">
        <f>IF(K45="","",IF(IFERROR(INDEX('Google Drive Map'!$G$4:$G$33,MATCH(K45,'Google Drive Map'!$B$4:$B$33,0))&amp;"","")="","",HYPERLINK(INDEX('Google Drive Map'!$G$4:$G$33,MATCH(K45,'Google Drive Map'!$B$4:$B$33,0)),"Open")))</f>
        <v/>
      </c>
      <c r="M45" s="23" t="n"/>
    </row>
    <row r="46">
      <c r="A46" s="22" t="inlineStr">
        <is>
          <t>cn-notify</t>
        </is>
      </c>
      <c r="B46" s="22" t="inlineStr">
        <is>
          <t>8. During construction</t>
        </is>
      </c>
      <c r="C46" s="23" t="inlineStr">
        <is>
          <t>Notify the RBS at every mandatory stage</t>
        </is>
      </c>
      <c r="D46" s="22" t="inlineStr">
        <is>
          <t>Must</t>
        </is>
      </c>
      <c r="E46" s="23" t="inlineStr">
        <is>
          <t>Typically before placing footings, before pouring the slab, at frame and at final. Your permit may list more. Don't cover up work before it's inspected.</t>
        </is>
      </c>
      <c r="F46" s="22" t="inlineStr">
        <is>
          <t>G4</t>
        </is>
      </c>
      <c r="G46" s="22" t="inlineStr">
        <is>
          <t>Not started</t>
        </is>
      </c>
      <c r="H46" s="24" t="n"/>
      <c r="I46" s="22" t="n"/>
      <c r="J46" s="22" t="n"/>
      <c r="K46" s="22" t="inlineStr">
        <is>
          <t>07 Inspections &amp; Certificates</t>
        </is>
      </c>
      <c r="L46" s="7">
        <f>IF(K46="","",IF(IFERROR(INDEX('Google Drive Map'!$G$4:$G$33,MATCH(K46,'Google Drive Map'!$B$4:$B$33,0))&amp;"","")="","",HYPERLINK(INDEX('Google Drive Map'!$G$4:$G$33,MATCH(K46,'Google Drive Map'!$B$4:$B$33,0)),"Open")))</f>
        <v/>
      </c>
      <c r="M46" s="23" t="n"/>
    </row>
    <row r="47">
      <c r="A47" s="22" t="inlineStr">
        <is>
          <t>cn-plans</t>
        </is>
      </c>
      <c r="B47" s="22" t="inlineStr">
        <is>
          <t>8. During construction</t>
        </is>
      </c>
      <c r="C47" s="23" t="inlineStr">
        <is>
          <t>Build to the approved plans, or get amendments approved</t>
        </is>
      </c>
      <c r="D47" s="22" t="inlineStr">
        <is>
          <t>Must</t>
        </is>
      </c>
      <c r="E47" s="23" t="inlineStr">
        <is>
          <t>Changes to structure, siting or energy features need RBS approval before you build them.</t>
        </is>
      </c>
      <c r="F47" s="22" t="inlineStr">
        <is>
          <t>G4</t>
        </is>
      </c>
      <c r="G47" s="22" t="inlineStr">
        <is>
          <t>Not started</t>
        </is>
      </c>
      <c r="H47" s="24" t="n"/>
      <c r="I47" s="22" t="n"/>
      <c r="J47" s="22" t="n"/>
      <c r="K47" s="22" t="inlineStr">
        <is>
          <t>02 Design &amp; Engineering</t>
        </is>
      </c>
      <c r="L47" s="7">
        <f>IF(K47="","",IF(IFERROR(INDEX('Google Drive Map'!$G$4:$G$33,MATCH(K47,'Google Drive Map'!$B$4:$B$33,0))&amp;"","")="","",HYPERLINK(INDEX('Google Drive Map'!$G$4:$G$33,MATCH(K47,'Google Drive Map'!$B$4:$B$33,0)),"Open")))</f>
        <v/>
      </c>
      <c r="M47" s="23" t="n"/>
    </row>
    <row r="48">
      <c r="A48" s="22" t="inlineStr">
        <is>
          <t>cn-pcc</t>
        </is>
      </c>
      <c r="B48" s="22" t="inlineStr">
        <is>
          <t>8. During construction</t>
        </is>
      </c>
      <c r="C48" s="23" t="inlineStr">
        <is>
          <t>Plumbing compliance certificates</t>
        </is>
      </c>
      <c r="D48" s="22" t="inlineStr">
        <is>
          <t>Must</t>
        </is>
      </c>
      <c r="E48" s="23" t="inlineStr">
        <is>
          <t>Your plumber lodges them for prescribed plumbing work. Collect a copy for every stage (drainage, rough-in, fit-off, gas).</t>
        </is>
      </c>
      <c r="F48" s="22" t="inlineStr">
        <is>
          <t>G4</t>
        </is>
      </c>
      <c r="G48" s="22" t="inlineStr">
        <is>
          <t>Not started</t>
        </is>
      </c>
      <c r="H48" s="24" t="n"/>
      <c r="I48" s="22" t="n"/>
      <c r="J48" s="22" t="n"/>
      <c r="K48" s="22" t="inlineStr">
        <is>
          <t>07 Inspections &amp; Certificates</t>
        </is>
      </c>
      <c r="L48" s="7">
        <f>IF(K48="","",IF(IFERROR(INDEX('Google Drive Map'!$G$4:$G$33,MATCH(K48,'Google Drive Map'!$B$4:$B$33,0))&amp;"","")="","",HYPERLINK(INDEX('Google Drive Map'!$G$4:$G$33,MATCH(K48,'Google Drive Map'!$B$4:$B$33,0)),"Open")))</f>
        <v/>
      </c>
      <c r="M48" s="23" t="n"/>
    </row>
    <row r="49">
      <c r="A49" s="22" t="inlineStr">
        <is>
          <t>cn-coes</t>
        </is>
      </c>
      <c r="B49" s="22" t="inlineStr">
        <is>
          <t>8. During construction</t>
        </is>
      </c>
      <c r="C49" s="23" t="inlineStr">
        <is>
          <t>Certificate of Electrical Safety</t>
        </is>
      </c>
      <c r="D49" s="22" t="inlineStr">
        <is>
          <t>Must</t>
        </is>
      </c>
      <c r="E49" s="23" t="inlineStr">
        <is>
          <t>Your electrician issues it for all prescribed electrical work. Get a copy.</t>
        </is>
      </c>
      <c r="F49" s="22" t="inlineStr">
        <is>
          <t>G5</t>
        </is>
      </c>
      <c r="G49" s="22" t="inlineStr">
        <is>
          <t>Not started</t>
        </is>
      </c>
      <c r="H49" s="24" t="n"/>
      <c r="I49" s="22" t="n"/>
      <c r="J49" s="22" t="n"/>
      <c r="K49" s="22" t="inlineStr">
        <is>
          <t>07 Inspections &amp; Certificates</t>
        </is>
      </c>
      <c r="L49" s="7">
        <f>IF(K49="","",IF(IFERROR(INDEX('Google Drive Map'!$G$4:$G$33,MATCH(K49,'Google Drive Map'!$B$4:$B$33,0))&amp;"","")="","",HYPERLINK(INDEX('Google Drive Map'!$G$4:$G$33,MATCH(K49,'Google Drive Map'!$B$4:$B$33,0)),"Open")))</f>
        <v/>
      </c>
      <c r="M49" s="23" t="n"/>
    </row>
    <row r="50">
      <c r="A50" s="22" t="inlineStr">
        <is>
          <t>cn-certs</t>
        </is>
      </c>
      <c r="B50" s="22" t="inlineStr">
        <is>
          <t>8. During construction</t>
        </is>
      </c>
      <c r="C50" s="23" t="inlineStr">
        <is>
          <t>Collect product &amp; installer certificates</t>
        </is>
      </c>
      <c r="D50" s="22" t="inlineStr">
        <is>
          <t>Must</t>
        </is>
      </c>
      <c r="E50" s="23" t="inlineStr">
        <is>
          <t>Includes termite management (AS 3660.1), waterproofing (AS 3740), glazing (AS 1288/2047), insulation, smoke alarms, engineer's frame and retaining-wall sign-offs, and truss certificates.</t>
        </is>
      </c>
      <c r="F50" s="22" t="inlineStr">
        <is>
          <t>G6</t>
        </is>
      </c>
      <c r="G50" s="22" t="inlineStr">
        <is>
          <t>Not started</t>
        </is>
      </c>
      <c r="H50" s="24" t="n"/>
      <c r="I50" s="22" t="n"/>
      <c r="J50" s="22" t="n"/>
      <c r="K50" s="22" t="inlineStr">
        <is>
          <t>07 Inspections &amp; Certificates</t>
        </is>
      </c>
      <c r="L50" s="7">
        <f>IF(K50="","",IF(IFERROR(INDEX('Google Drive Map'!$G$4:$G$33,MATCH(K50,'Google Drive Map'!$B$4:$B$33,0))&amp;"","")="","",HYPERLINK(INDEX('Google Drive Map'!$G$4:$G$33,MATCH(K50,'Google Drive Map'!$B$4:$B$33,0)),"Open")))</f>
        <v/>
      </c>
      <c r="M50" s="23" t="n"/>
    </row>
    <row r="51">
      <c r="A51" s="22" t="inlineStr">
        <is>
          <t>cn-diary</t>
        </is>
      </c>
      <c r="B51" s="22" t="inlineStr">
        <is>
          <t>8. During construction</t>
        </is>
      </c>
      <c r="C51" s="23" t="inlineStr">
        <is>
          <t>Keep a site diary &amp; dated photos</t>
        </is>
      </c>
      <c r="D51" s="22" t="inlineStr">
        <is>
          <t>Best practice</t>
        </is>
      </c>
      <c r="E51" s="23" t="inlineStr">
        <is>
          <t>Record who was on site, weather, deliveries, instructions and defects. Photograph everything before it's covered. My Build does this.</t>
        </is>
      </c>
      <c r="F51" s="22" t="inlineStr">
        <is>
          <t>G4</t>
        </is>
      </c>
      <c r="G51" s="22" t="inlineStr">
        <is>
          <t>Not started</t>
        </is>
      </c>
      <c r="H51" s="24" t="n"/>
      <c r="I51" s="22" t="n"/>
      <c r="J51" s="22" t="n"/>
      <c r="K51" s="22" t="inlineStr">
        <is>
          <t>06 Site Diary &amp; Photos</t>
        </is>
      </c>
      <c r="L51" s="7">
        <f>IF(K51="","",IF(IFERROR(INDEX('Google Drive Map'!$G$4:$G$33,MATCH(K51,'Google Drive Map'!$B$4:$B$33,0))&amp;"","")="","",HYPERLINK(INDEX('Google Drive Map'!$G$4:$G$33,MATCH(K51,'Google Drive Map'!$B$4:$B$33,0)),"Open")))</f>
        <v/>
      </c>
      <c r="M51" s="23" t="n"/>
    </row>
    <row r="52">
      <c r="A52" s="22" t="inlineStr">
        <is>
          <t>cn-variations</t>
        </is>
      </c>
      <c r="B52" s="22" t="inlineStr">
        <is>
          <t>8. During construction</t>
        </is>
      </c>
      <c r="C52" s="23" t="inlineStr">
        <is>
          <t>Written variations before extra work</t>
        </is>
      </c>
      <c r="D52" s="22" t="inlineStr">
        <is>
          <t>Best practice</t>
        </is>
      </c>
      <c r="E52" s="23" t="inlineStr">
        <is>
          <t>Get the price and time impact agreed in writing first. It protects both sides.</t>
        </is>
      </c>
      <c r="F52" s="22" t="inlineStr">
        <is>
          <t>G4</t>
        </is>
      </c>
      <c r="G52" s="22" t="inlineStr">
        <is>
          <t>Not started</t>
        </is>
      </c>
      <c r="H52" s="24" t="n"/>
      <c r="I52" s="22" t="n"/>
      <c r="J52" s="22" t="n"/>
      <c r="K52" s="22" t="inlineStr">
        <is>
          <t>04 Trades &amp; Tenders</t>
        </is>
      </c>
      <c r="L52" s="7">
        <f>IF(K52="","",IF(IFERROR(INDEX('Google Drive Map'!$G$4:$G$33,MATCH(K52,'Google Drive Map'!$B$4:$B$33,0))&amp;"","")="","",HYPERLINK(INDEX('Google Drive Map'!$G$4:$G$33,MATCH(K52,'Google Drive Map'!$B$4:$B$33,0)),"Open")))</f>
        <v/>
      </c>
      <c r="M52" s="23" t="n"/>
    </row>
    <row r="53">
      <c r="A53" s="22" t="inlineStr">
        <is>
          <t>fi-final</t>
        </is>
      </c>
      <c r="B53" s="22" t="inlineStr">
        <is>
          <t>9. Completion &amp; occupancy</t>
        </is>
      </c>
      <c r="C53" s="23" t="inlineStr">
        <is>
          <t>Final inspection by the RBS</t>
        </is>
      </c>
      <c r="D53" s="22" t="inlineStr">
        <is>
          <t>Must</t>
        </is>
      </c>
      <c r="E53" s="23" t="inlineStr">
        <is>
          <t>Hand over every compliance certificate first. A missing certificate is the most common reason a final is delayed.</t>
        </is>
      </c>
      <c r="F53" s="22" t="inlineStr">
        <is>
          <t>G7</t>
        </is>
      </c>
      <c r="G53" s="22" t="inlineStr">
        <is>
          <t>Not started</t>
        </is>
      </c>
      <c r="H53" s="24" t="n"/>
      <c r="I53" s="22" t="n"/>
      <c r="J53" s="22" t="n"/>
      <c r="K53" s="22" t="inlineStr">
        <is>
          <t>07 Inspections &amp; Certificates</t>
        </is>
      </c>
      <c r="L53" s="7">
        <f>IF(K53="","",IF(IFERROR(INDEX('Google Drive Map'!$G$4:$G$33,MATCH(K53,'Google Drive Map'!$B$4:$B$33,0))&amp;"","")="","",HYPERLINK(INDEX('Google Drive Map'!$G$4:$G$33,MATCH(K53,'Google Drive Map'!$B$4:$B$33,0)),"Open")))</f>
        <v/>
      </c>
      <c r="M53" s="23" t="n"/>
    </row>
    <row r="54">
      <c r="A54" s="22" t="inlineStr">
        <is>
          <t>fi-op</t>
        </is>
      </c>
      <c r="B54" s="22" t="inlineStr">
        <is>
          <t>9. Completion &amp; occupancy</t>
        </is>
      </c>
      <c r="C54" s="23" t="inlineStr">
        <is>
          <t>Occupancy permit (new home) or certificate of final inspection</t>
        </is>
      </c>
      <c r="D54" s="22" t="inlineStr">
        <is>
          <t>Must</t>
        </is>
      </c>
      <c r="E54" s="23" t="inlineStr">
        <is>
          <t>You must not live in a new dwelling until the occupancy permit is issued.</t>
        </is>
      </c>
      <c r="F54" s="22" t="inlineStr">
        <is>
          <t>G7</t>
        </is>
      </c>
      <c r="G54" s="22" t="inlineStr">
        <is>
          <t>Not started</t>
        </is>
      </c>
      <c r="H54" s="24" t="n"/>
      <c r="I54" s="22" t="n"/>
      <c r="J54" s="22" t="n"/>
      <c r="K54" s="22" t="inlineStr">
        <is>
          <t>08 Handover, Records &amp; Sale</t>
        </is>
      </c>
      <c r="L54" s="7">
        <f>IF(K54="","",IF(IFERROR(INDEX('Google Drive Map'!$G$4:$G$33,MATCH(K54,'Google Drive Map'!$B$4:$B$33,0))&amp;"","")="","",HYPERLINK(INDEX('Google Drive Map'!$G$4:$G$33,MATCH(K54,'Google Drive Map'!$B$4:$B$33,0)),"Open")))</f>
        <v/>
      </c>
      <c r="M54" s="23" t="n"/>
    </row>
    <row r="55">
      <c r="A55" s="22" t="inlineStr">
        <is>
          <t>fi-asset</t>
        </is>
      </c>
      <c r="B55" s="22" t="inlineStr">
        <is>
          <t>9. Completion &amp; occupancy</t>
        </is>
      </c>
      <c r="C55" s="23" t="inlineStr">
        <is>
          <t>Council asset inspection &amp; bond refund</t>
        </is>
      </c>
      <c r="D55" s="22" t="inlineStr">
        <is>
          <t>If applies</t>
        </is>
      </c>
      <c r="E55" s="23" t="inlineStr">
        <is>
          <t>Repair any damage to the footpath, kerb or crossover first.</t>
        </is>
      </c>
      <c r="F55" s="22" t="inlineStr">
        <is>
          <t>G7</t>
        </is>
      </c>
      <c r="G55" s="22" t="inlineStr">
        <is>
          <t>Not started</t>
        </is>
      </c>
      <c r="H55" s="24" t="n"/>
      <c r="I55" s="22" t="n"/>
      <c r="J55" s="22" t="n"/>
      <c r="K55" s="22" t="inlineStr">
        <is>
          <t>03 Permits, Insurance &amp; Finance</t>
        </is>
      </c>
      <c r="L55" s="7">
        <f>IF(K55="","",IF(IFERROR(INDEX('Google Drive Map'!$G$4:$G$33,MATCH(K55,'Google Drive Map'!$B$4:$B$33,0))&amp;"","")="","",HYPERLINK(INDEX('Google Drive Map'!$G$4:$G$33,MATCH(K55,'Google Drive Map'!$B$4:$B$33,0)),"Open")))</f>
        <v/>
      </c>
      <c r="M55" s="23" t="n"/>
    </row>
    <row r="56">
      <c r="A56" s="22" t="inlineStr">
        <is>
          <t>fi-insure</t>
        </is>
      </c>
      <c r="B56" s="22" t="inlineStr">
        <is>
          <t>9. Completion &amp; occupancy</t>
        </is>
      </c>
      <c r="C56" s="23" t="inlineStr">
        <is>
          <t>Switch to home &amp; contents insurance</t>
        </is>
      </c>
      <c r="D56" s="22" t="inlineStr">
        <is>
          <t>Best practice</t>
        </is>
      </c>
      <c r="E56" s="23" t="inlineStr">
        <is>
          <t>Construction cover usually ends at completion or occupancy.</t>
        </is>
      </c>
      <c r="F56" s="22" t="inlineStr">
        <is>
          <t>G7</t>
        </is>
      </c>
      <c r="G56" s="22" t="inlineStr">
        <is>
          <t>Not started</t>
        </is>
      </c>
      <c r="H56" s="24" t="n"/>
      <c r="I56" s="22" t="n"/>
      <c r="J56" s="22" t="n"/>
      <c r="K56" s="22" t="inlineStr">
        <is>
          <t>03 Permits, Insurance &amp; Finance</t>
        </is>
      </c>
      <c r="L56" s="7">
        <f>IF(K56="","",IF(IFERROR(INDEX('Google Drive Map'!$G$4:$G$33,MATCH(K56,'Google Drive Map'!$B$4:$B$33,0))&amp;"","")="","",HYPERLINK(INDEX('Google Drive Map'!$G$4:$G$33,MATCH(K56,'Google Drive Map'!$B$4:$B$33,0)),"Open")))</f>
        <v/>
      </c>
      <c r="M56" s="23" t="n"/>
    </row>
    <row r="57">
      <c r="A57" s="22" t="inlineStr">
        <is>
          <t>se-file</t>
        </is>
      </c>
      <c r="B57" s="22" t="inlineStr">
        <is>
          <t>10. Records &amp; selling</t>
        </is>
      </c>
      <c r="C57" s="23" t="inlineStr">
        <is>
          <t>Build a handover file</t>
        </is>
      </c>
      <c r="D57" s="22" t="inlineStr">
        <is>
          <t>Best practice</t>
        </is>
      </c>
      <c r="E57" s="23" t="inlineStr">
        <is>
          <t>Include permits, stamped plans, certificates, warranties, manuals, paint and tile codes, and as-built service locations. Keep it at least 10 years.</t>
        </is>
      </c>
      <c r="F57" s="22" t="inlineStr">
        <is>
          <t>G7</t>
        </is>
      </c>
      <c r="G57" s="22" t="inlineStr">
        <is>
          <t>Not started</t>
        </is>
      </c>
      <c r="H57" s="24" t="n"/>
      <c r="I57" s="22" t="n"/>
      <c r="J57" s="22" t="n"/>
      <c r="K57" s="22" t="inlineStr">
        <is>
          <t>08 Handover, Records &amp; Sale</t>
        </is>
      </c>
      <c r="L57" s="7">
        <f>IF(K57="","",IF(IFERROR(INDEX('Google Drive Map'!$G$4:$G$33,MATCH(K57,'Google Drive Map'!$B$4:$B$33,0))&amp;"","")="","",HYPERLINK(INDEX('Google Drive Map'!$G$4:$G$33,MATCH(K57,'Google Drive Map'!$B$4:$B$33,0)),"Open")))</f>
        <v/>
      </c>
      <c r="M57" s="23" t="n"/>
    </row>
    <row r="58">
      <c r="A58" s="22" t="inlineStr">
        <is>
          <t>se-137b</t>
        </is>
      </c>
      <c r="B58" s="22" t="inlineStr">
        <is>
          <t>10. Records &amp; selling</t>
        </is>
      </c>
      <c r="C58" s="23" t="inlineStr">
        <is>
          <t>s137B defects report before any sale within 6.5 years</t>
        </is>
      </c>
      <c r="D58" s="22" t="inlineStr">
        <is>
          <t>If applies</t>
        </is>
      </c>
      <c r="E58" s="23" t="inlineStr">
        <is>
          <t>Commission it from a prescribed practitioner no more than 6 months before the sale.</t>
        </is>
      </c>
      <c r="F58" s="22" t="inlineStr">
        <is>
          <t>G7</t>
        </is>
      </c>
      <c r="G58" s="22" t="inlineStr">
        <is>
          <t>Not started</t>
        </is>
      </c>
      <c r="H58" s="24" t="n"/>
      <c r="I58" s="22" t="n"/>
      <c r="J58" s="22" t="n"/>
      <c r="K58" s="22" t="inlineStr">
        <is>
          <t>08 Handover, Records &amp; Sale</t>
        </is>
      </c>
      <c r="L58" s="7">
        <f>IF(K58="","",IF(IFERROR(INDEX('Google Drive Map'!$G$4:$G$33,MATCH(K58,'Google Drive Map'!$B$4:$B$33,0))&amp;"","")="","",HYPERLINK(INDEX('Google Drive Map'!$G$4:$G$33,MATCH(K58,'Google Drive Map'!$B$4:$B$33,0)),"Open")))</f>
        <v/>
      </c>
      <c r="M58" s="23" t="n"/>
    </row>
    <row r="59">
      <c r="A59" s="22" t="inlineStr">
        <is>
          <t>se-ins</t>
        </is>
      </c>
      <c r="B59" s="22" t="inlineStr">
        <is>
          <t>10. Records &amp; selling</t>
        </is>
      </c>
      <c r="C59" s="23" t="inlineStr">
        <is>
          <t>Owner-builder statutory insurance before sale</t>
        </is>
      </c>
      <c r="D59" s="22" t="inlineStr">
        <is>
          <t>If applies</t>
        </is>
      </c>
      <c r="E59" s="23" t="inlineStr">
        <is>
          <t>Required where the work was over $20,000. Arrange it before signing the contract of sale.</t>
        </is>
      </c>
      <c r="F59" s="22" t="inlineStr">
        <is>
          <t>G7</t>
        </is>
      </c>
      <c r="G59" s="22" t="inlineStr">
        <is>
          <t>Not started</t>
        </is>
      </c>
      <c r="H59" s="24" t="n"/>
      <c r="I59" s="22" t="n"/>
      <c r="J59" s="22" t="n"/>
      <c r="K59" s="22" t="inlineStr">
        <is>
          <t>08 Handover, Records &amp; Sale</t>
        </is>
      </c>
      <c r="L59" s="7">
        <f>IF(K59="","",IF(IFERROR(INDEX('Google Drive Map'!$G$4:$G$33,MATCH(K59,'Google Drive Map'!$B$4:$B$33,0))&amp;"","")="","",HYPERLINK(INDEX('Google Drive Map'!$G$4:$G$33,MATCH(K59,'Google Drive Map'!$B$4:$B$33,0)),"Open")))</f>
        <v/>
      </c>
      <c r="M59" s="23" t="n"/>
    </row>
    <row r="60">
      <c r="A60" s="22" t="inlineStr">
        <is>
          <t>se-s32</t>
        </is>
      </c>
      <c r="B60" s="22" t="inlineStr">
        <is>
          <t>10. Records &amp; selling</t>
        </is>
      </c>
      <c r="C60" s="23" t="inlineStr">
        <is>
          <t>Disclose owner-builder work in the section 32</t>
        </is>
      </c>
      <c r="D60" s="22" t="inlineStr">
        <is>
          <t>If applies</t>
        </is>
      </c>
      <c r="E60" s="23" t="inlineStr">
        <is>
          <t>Your conveyancer needs the building permit details, report and insurance.</t>
        </is>
      </c>
      <c r="F60" s="22" t="inlineStr">
        <is>
          <t>G7</t>
        </is>
      </c>
      <c r="G60" s="22" t="inlineStr">
        <is>
          <t>Not started</t>
        </is>
      </c>
      <c r="H60" s="24" t="n"/>
      <c r="I60" s="22" t="n"/>
      <c r="J60" s="22" t="n"/>
      <c r="K60" s="22" t="inlineStr">
        <is>
          <t>08 Handover, Records &amp; Sale</t>
        </is>
      </c>
      <c r="L60" s="7">
        <f>IF(K60="","",IF(IFERROR(INDEX('Google Drive Map'!$G$4:$G$33,MATCH(K60,'Google Drive Map'!$B$4:$B$33,0))&amp;"","")="","",HYPERLINK(INDEX('Google Drive Map'!$G$4:$G$33,MATCH(K60,'Google Drive Map'!$B$4:$B$33,0)),"Open")))</f>
        <v/>
      </c>
      <c r="M60" s="23" t="n"/>
    </row>
    <row r="61">
      <c r="A61" s="22" t="inlineStr">
        <is>
          <t>mo-loan</t>
        </is>
      </c>
      <c r="B61" s="22" t="inlineStr">
        <is>
          <t>11. Finance &amp; tax</t>
        </is>
      </c>
      <c r="C61" s="23" t="inlineStr">
        <is>
          <t>Confirm your lender accepts owner-builders</t>
        </is>
      </c>
      <c r="D61" s="22" t="inlineStr">
        <is>
          <t>If applies</t>
        </is>
      </c>
      <c r="E61" s="23" t="inlineStr">
        <is>
          <t>Many don't, or they cap the loan-to-value ratio. Expect progress draws tied to stages and a valuer's inspections.</t>
        </is>
      </c>
      <c r="F61" s="22" t="inlineStr">
        <is>
          <t>G0</t>
        </is>
      </c>
      <c r="G61" s="22" t="inlineStr">
        <is>
          <t>Not started</t>
        </is>
      </c>
      <c r="H61" s="24" t="n"/>
      <c r="I61" s="22" t="n"/>
      <c r="J61" s="22" t="n"/>
      <c r="K61" s="22" t="inlineStr">
        <is>
          <t>03 Permits, Insurance &amp; Finance</t>
        </is>
      </c>
      <c r="L61" s="7">
        <f>IF(K61="","",IF(IFERROR(INDEX('Google Drive Map'!$G$4:$G$33,MATCH(K61,'Google Drive Map'!$B$4:$B$33,0))&amp;"","")="","",HYPERLINK(INDEX('Google Drive Map'!$G$4:$G$33,MATCH(K61,'Google Drive Map'!$B$4:$B$33,0)),"Open")))</f>
        <v/>
      </c>
      <c r="M61" s="23" t="n"/>
    </row>
    <row r="62">
      <c r="A62" s="22" t="inlineStr">
        <is>
          <t>mo-cont</t>
        </is>
      </c>
      <c r="B62" s="22" t="inlineStr">
        <is>
          <t>11. Finance &amp; tax</t>
        </is>
      </c>
      <c r="C62" s="23" t="inlineStr">
        <is>
          <t>Budget with a 10–15% contingency</t>
        </is>
      </c>
      <c r="D62" s="22" t="inlineStr">
        <is>
          <t>Best practice</t>
        </is>
      </c>
      <c r="E62" s="23" t="inlineStr">
        <is>
          <t>Owner-builders commonly underestimate site works, services connections and finishes.</t>
        </is>
      </c>
      <c r="F62" s="22" t="inlineStr">
        <is>
          <t>G1</t>
        </is>
      </c>
      <c r="G62" s="22" t="inlineStr">
        <is>
          <t>Not started</t>
        </is>
      </c>
      <c r="H62" s="24" t="n"/>
      <c r="I62" s="22" t="n"/>
      <c r="J62" s="22" t="n"/>
      <c r="K62" s="22" t="inlineStr">
        <is>
          <t>03 Permits, Insurance &amp; Finance</t>
        </is>
      </c>
      <c r="L62" s="7">
        <f>IF(K62="","",IF(IFERROR(INDEX('Google Drive Map'!$G$4:$G$33,MATCH(K62,'Google Drive Map'!$B$4:$B$33,0))&amp;"","")="","",HYPERLINK(INDEX('Google Drive Map'!$G$4:$G$33,MATCH(K62,'Google Drive Map'!$B$4:$B$33,0)),"Open")))</f>
        <v/>
      </c>
      <c r="M62" s="23" t="n"/>
    </row>
    <row r="63">
      <c r="A63" s="22" t="inlineStr">
        <is>
          <t>mo-fhog</t>
        </is>
      </c>
      <c r="B63" s="22" t="inlineStr">
        <is>
          <t>11. Finance &amp; tax</t>
        </is>
      </c>
      <c r="C63" s="23" t="inlineStr">
        <is>
          <t>Check First Home Owner Grant / stamp duty concessions</t>
        </is>
      </c>
      <c r="D63" s="22" t="inlineStr">
        <is>
          <t>If applies</t>
        </is>
      </c>
      <c r="E63" s="23" t="inlineStr">
        <is>
          <t>Owner-builders may be eligible. Check the rules and deadlines with the State Revenue Office.</t>
        </is>
      </c>
      <c r="F63" s="22" t="inlineStr">
        <is>
          <t>G1</t>
        </is>
      </c>
      <c r="G63" s="22" t="inlineStr">
        <is>
          <t>Not started</t>
        </is>
      </c>
      <c r="H63" s="24" t="n"/>
      <c r="I63" s="22" t="n"/>
      <c r="J63" s="22" t="n"/>
      <c r="K63" s="22" t="inlineStr">
        <is>
          <t>03 Permits, Insurance &amp; Finance</t>
        </is>
      </c>
      <c r="L63" s="7">
        <f>IF(K63="","",IF(IFERROR(INDEX('Google Drive Map'!$G$4:$G$33,MATCH(K63,'Google Drive Map'!$B$4:$B$33,0))&amp;"","")="","",HYPERLINK(INDEX('Google Drive Map'!$G$4:$G$33,MATCH(K63,'Google Drive Map'!$B$4:$B$33,0)),"Open")))</f>
        <v/>
      </c>
      <c r="M63" s="23" t="n"/>
    </row>
    <row r="64">
      <c r="A64" s="22" t="inlineStr">
        <is>
          <t>mo-tax</t>
        </is>
      </c>
      <c r="B64" s="22" t="inlineStr">
        <is>
          <t>11. Finance &amp; tax</t>
        </is>
      </c>
      <c r="C64" s="23" t="inlineStr">
        <is>
          <t>Get tax advice on GST &amp; CGT</t>
        </is>
      </c>
      <c r="D64" s="22" t="inlineStr">
        <is>
          <t>Best practice</t>
        </is>
      </c>
      <c r="E64" s="23" t="inlineStr">
        <is>
          <t>Building to live in is generally private. Building to sell can be treated as a business. Get advice early.</t>
        </is>
      </c>
      <c r="F64" s="22" t="inlineStr">
        <is>
          <t>G0</t>
        </is>
      </c>
      <c r="G64" s="22" t="inlineStr">
        <is>
          <t>Not started</t>
        </is>
      </c>
      <c r="H64" s="24" t="n"/>
      <c r="I64" s="22" t="n"/>
      <c r="J64" s="22" t="n"/>
      <c r="K64" s="22" t="inlineStr">
        <is>
          <t>03 Permits, Insurance &amp; Finance</t>
        </is>
      </c>
      <c r="L64" s="7">
        <f>IF(K64="","",IF(IFERROR(INDEX('Google Drive Map'!$G$4:$G$33,MATCH(K64,'Google Drive Map'!$B$4:$B$33,0))&amp;"","")="","",HYPERLINK(INDEX('Google Drive Map'!$G$4:$G$33,MATCH(K64,'Google Drive Map'!$B$4:$B$33,0)),"Open")))</f>
        <v/>
      </c>
      <c r="M64" s="23" t="n"/>
    </row>
    <row r="65">
      <c r="A65" s="22" t="n"/>
      <c r="B65" s="22" t="n"/>
      <c r="C65" s="23" t="n"/>
      <c r="D65" s="22" t="n"/>
      <c r="E65" s="23" t="n"/>
      <c r="F65" s="22" t="n"/>
      <c r="G65" s="22" t="n"/>
      <c r="H65" s="24" t="n"/>
      <c r="I65" s="22" t="n"/>
      <c r="J65" s="22" t="n"/>
      <c r="K65" s="22" t="n"/>
      <c r="L65" s="7">
        <f>IF(K65="","",IF(IFERROR(INDEX('Google Drive Map'!$G$4:$G$33,MATCH(K65,'Google Drive Map'!$B$4:$B$33,0))&amp;"","")="","",HYPERLINK(INDEX('Google Drive Map'!$G$4:$G$33,MATCH(K65,'Google Drive Map'!$B$4:$B$33,0)),"Open")))</f>
        <v/>
      </c>
      <c r="M65" s="23" t="n"/>
    </row>
    <row r="66">
      <c r="A66" s="22" t="n"/>
      <c r="B66" s="22" t="n"/>
      <c r="C66" s="23" t="n"/>
      <c r="D66" s="22" t="n"/>
      <c r="E66" s="23" t="n"/>
      <c r="F66" s="22" t="n"/>
      <c r="G66" s="22" t="n"/>
      <c r="H66" s="24" t="n"/>
      <c r="I66" s="22" t="n"/>
      <c r="J66" s="22" t="n"/>
      <c r="K66" s="22" t="n"/>
      <c r="L66" s="7">
        <f>IF(K66="","",IF(IFERROR(INDEX('Google Drive Map'!$G$4:$G$33,MATCH(K66,'Google Drive Map'!$B$4:$B$33,0))&amp;"","")="","",HYPERLINK(INDEX('Google Drive Map'!$G$4:$G$33,MATCH(K66,'Google Drive Map'!$B$4:$B$33,0)),"Open")))</f>
        <v/>
      </c>
      <c r="M66" s="23" t="n"/>
    </row>
    <row r="67">
      <c r="A67" s="22" t="n"/>
      <c r="B67" s="22" t="n"/>
      <c r="C67" s="23" t="n"/>
      <c r="D67" s="22" t="n"/>
      <c r="E67" s="23" t="n"/>
      <c r="F67" s="22" t="n"/>
      <c r="G67" s="22" t="n"/>
      <c r="H67" s="24" t="n"/>
      <c r="I67" s="22" t="n"/>
      <c r="J67" s="22" t="n"/>
      <c r="K67" s="22" t="n"/>
      <c r="L67" s="7">
        <f>IF(K67="","",IF(IFERROR(INDEX('Google Drive Map'!$G$4:$G$33,MATCH(K67,'Google Drive Map'!$B$4:$B$33,0))&amp;"","")="","",HYPERLINK(INDEX('Google Drive Map'!$G$4:$G$33,MATCH(K67,'Google Drive Map'!$B$4:$B$33,0)),"Open")))</f>
        <v/>
      </c>
      <c r="M67" s="23" t="n"/>
    </row>
    <row r="68">
      <c r="A68" s="22" t="n"/>
      <c r="B68" s="22" t="n"/>
      <c r="C68" s="23" t="n"/>
      <c r="D68" s="22" t="n"/>
      <c r="E68" s="23" t="n"/>
      <c r="F68" s="22" t="n"/>
      <c r="G68" s="22" t="n"/>
      <c r="H68" s="24" t="n"/>
      <c r="I68" s="22" t="n"/>
      <c r="J68" s="22" t="n"/>
      <c r="K68" s="22" t="n"/>
      <c r="L68" s="7">
        <f>IF(K68="","",IF(IFERROR(INDEX('Google Drive Map'!$G$4:$G$33,MATCH(K68,'Google Drive Map'!$B$4:$B$33,0))&amp;"","")="","",HYPERLINK(INDEX('Google Drive Map'!$G$4:$G$33,MATCH(K68,'Google Drive Map'!$B$4:$B$33,0)),"Open")))</f>
        <v/>
      </c>
      <c r="M68" s="23" t="n"/>
    </row>
    <row r="69">
      <c r="A69" s="22" t="n"/>
      <c r="B69" s="22" t="n"/>
      <c r="C69" s="23" t="n"/>
      <c r="D69" s="22" t="n"/>
      <c r="E69" s="23" t="n"/>
      <c r="F69" s="22" t="n"/>
      <c r="G69" s="22" t="n"/>
      <c r="H69" s="24" t="n"/>
      <c r="I69" s="22" t="n"/>
      <c r="J69" s="22" t="n"/>
      <c r="K69" s="22" t="n"/>
      <c r="L69" s="7">
        <f>IF(K69="","",IF(IFERROR(INDEX('Google Drive Map'!$G$4:$G$33,MATCH(K69,'Google Drive Map'!$B$4:$B$33,0))&amp;"","")="","",HYPERLINK(INDEX('Google Drive Map'!$G$4:$G$33,MATCH(K69,'Google Drive Map'!$B$4:$B$33,0)),"Open")))</f>
        <v/>
      </c>
      <c r="M69" s="23" t="n"/>
    </row>
    <row r="70">
      <c r="A70" s="22" t="n"/>
      <c r="B70" s="22" t="n"/>
      <c r="C70" s="23" t="n"/>
      <c r="D70" s="22" t="n"/>
      <c r="E70" s="23" t="n"/>
      <c r="F70" s="22" t="n"/>
      <c r="G70" s="22" t="n"/>
      <c r="H70" s="24" t="n"/>
      <c r="I70" s="22" t="n"/>
      <c r="J70" s="22" t="n"/>
      <c r="K70" s="22" t="n"/>
      <c r="L70" s="7">
        <f>IF(K70="","",IF(IFERROR(INDEX('Google Drive Map'!$G$4:$G$33,MATCH(K70,'Google Drive Map'!$B$4:$B$33,0))&amp;"","")="","",HYPERLINK(INDEX('Google Drive Map'!$G$4:$G$33,MATCH(K70,'Google Drive Map'!$B$4:$B$33,0)),"Open")))</f>
        <v/>
      </c>
      <c r="M70" s="23" t="n"/>
    </row>
    <row r="71">
      <c r="A71" s="22" t="n"/>
      <c r="B71" s="22" t="n"/>
      <c r="C71" s="23" t="n"/>
      <c r="D71" s="22" t="n"/>
      <c r="E71" s="23" t="n"/>
      <c r="F71" s="22" t="n"/>
      <c r="G71" s="22" t="n"/>
      <c r="H71" s="24" t="n"/>
      <c r="I71" s="22" t="n"/>
      <c r="J71" s="22" t="n"/>
      <c r="K71" s="22" t="n"/>
      <c r="L71" s="7">
        <f>IF(K71="","",IF(IFERROR(INDEX('Google Drive Map'!$G$4:$G$33,MATCH(K71,'Google Drive Map'!$B$4:$B$33,0))&amp;"","")="","",HYPERLINK(INDEX('Google Drive Map'!$G$4:$G$33,MATCH(K71,'Google Drive Map'!$B$4:$B$33,0)),"Open")))</f>
        <v/>
      </c>
      <c r="M71" s="23" t="n"/>
    </row>
    <row r="72">
      <c r="A72" s="22" t="n"/>
      <c r="B72" s="22" t="n"/>
      <c r="C72" s="23" t="n"/>
      <c r="D72" s="22" t="n"/>
      <c r="E72" s="23" t="n"/>
      <c r="F72" s="22" t="n"/>
      <c r="G72" s="22" t="n"/>
      <c r="H72" s="24" t="n"/>
      <c r="I72" s="22" t="n"/>
      <c r="J72" s="22" t="n"/>
      <c r="K72" s="22" t="n"/>
      <c r="L72" s="7">
        <f>IF(K72="","",IF(IFERROR(INDEX('Google Drive Map'!$G$4:$G$33,MATCH(K72,'Google Drive Map'!$B$4:$B$33,0))&amp;"","")="","",HYPERLINK(INDEX('Google Drive Map'!$G$4:$G$33,MATCH(K72,'Google Drive Map'!$B$4:$B$33,0)),"Open")))</f>
        <v/>
      </c>
      <c r="M72" s="23" t="n"/>
    </row>
    <row r="73">
      <c r="A73" s="22" t="n"/>
      <c r="B73" s="22" t="n"/>
      <c r="C73" s="23" t="n"/>
      <c r="D73" s="22" t="n"/>
      <c r="E73" s="23" t="n"/>
      <c r="F73" s="22" t="n"/>
      <c r="G73" s="22" t="n"/>
      <c r="H73" s="24" t="n"/>
      <c r="I73" s="22" t="n"/>
      <c r="J73" s="22" t="n"/>
      <c r="K73" s="22" t="n"/>
      <c r="L73" s="7">
        <f>IF(K73="","",IF(IFERROR(INDEX('Google Drive Map'!$G$4:$G$33,MATCH(K73,'Google Drive Map'!$B$4:$B$33,0))&amp;"","")="","",HYPERLINK(INDEX('Google Drive Map'!$G$4:$G$33,MATCH(K73,'Google Drive Map'!$B$4:$B$33,0)),"Open")))</f>
        <v/>
      </c>
      <c r="M73" s="23" t="n"/>
    </row>
    <row r="74">
      <c r="A74" s="22" t="n"/>
      <c r="B74" s="22" t="n"/>
      <c r="C74" s="23" t="n"/>
      <c r="D74" s="22" t="n"/>
      <c r="E74" s="23" t="n"/>
      <c r="F74" s="22" t="n"/>
      <c r="G74" s="22" t="n"/>
      <c r="H74" s="24" t="n"/>
      <c r="I74" s="22" t="n"/>
      <c r="J74" s="22" t="n"/>
      <c r="K74" s="22" t="n"/>
      <c r="L74" s="7">
        <f>IF(K74="","",IF(IFERROR(INDEX('Google Drive Map'!$G$4:$G$33,MATCH(K74,'Google Drive Map'!$B$4:$B$33,0))&amp;"","")="","",HYPERLINK(INDEX('Google Drive Map'!$G$4:$G$33,MATCH(K74,'Google Drive Map'!$B$4:$B$33,0)),"Open")))</f>
        <v/>
      </c>
      <c r="M74" s="23" t="n"/>
    </row>
    <row r="75">
      <c r="A75" s="22" t="n"/>
      <c r="B75" s="22" t="n"/>
      <c r="C75" s="23" t="n"/>
      <c r="D75" s="22" t="n"/>
      <c r="E75" s="23" t="n"/>
      <c r="F75" s="22" t="n"/>
      <c r="G75" s="22" t="n"/>
      <c r="H75" s="24" t="n"/>
      <c r="I75" s="22" t="n"/>
      <c r="J75" s="22" t="n"/>
      <c r="K75" s="22" t="n"/>
      <c r="L75" s="7">
        <f>IF(K75="","",IF(IFERROR(INDEX('Google Drive Map'!$G$4:$G$33,MATCH(K75,'Google Drive Map'!$B$4:$B$33,0))&amp;"","")="","",HYPERLINK(INDEX('Google Drive Map'!$G$4:$G$33,MATCH(K75,'Google Drive Map'!$B$4:$B$33,0)),"Open")))</f>
        <v/>
      </c>
      <c r="M75" s="23" t="n"/>
    </row>
    <row r="76">
      <c r="A76" s="22" t="n"/>
      <c r="B76" s="22" t="n"/>
      <c r="C76" s="23" t="n"/>
      <c r="D76" s="22" t="n"/>
      <c r="E76" s="23" t="n"/>
      <c r="F76" s="22" t="n"/>
      <c r="G76" s="22" t="n"/>
      <c r="H76" s="24" t="n"/>
      <c r="I76" s="22" t="n"/>
      <c r="J76" s="22" t="n"/>
      <c r="K76" s="22" t="n"/>
      <c r="L76" s="7">
        <f>IF(K76="","",IF(IFERROR(INDEX('Google Drive Map'!$G$4:$G$33,MATCH(K76,'Google Drive Map'!$B$4:$B$33,0))&amp;"","")="","",HYPERLINK(INDEX('Google Drive Map'!$G$4:$G$33,MATCH(K76,'Google Drive Map'!$B$4:$B$33,0)),"Open")))</f>
        <v/>
      </c>
      <c r="M76" s="23" t="n"/>
    </row>
    <row r="77">
      <c r="A77" s="22" t="n"/>
      <c r="B77" s="22" t="n"/>
      <c r="C77" s="23" t="n"/>
      <c r="D77" s="22" t="n"/>
      <c r="E77" s="23" t="n"/>
      <c r="F77" s="22" t="n"/>
      <c r="G77" s="22" t="n"/>
      <c r="H77" s="24" t="n"/>
      <c r="I77" s="22" t="n"/>
      <c r="J77" s="22" t="n"/>
      <c r="K77" s="22" t="n"/>
      <c r="L77" s="7">
        <f>IF(K77="","",IF(IFERROR(INDEX('Google Drive Map'!$G$4:$G$33,MATCH(K77,'Google Drive Map'!$B$4:$B$33,0))&amp;"","")="","",HYPERLINK(INDEX('Google Drive Map'!$G$4:$G$33,MATCH(K77,'Google Drive Map'!$B$4:$B$33,0)),"Open")))</f>
        <v/>
      </c>
      <c r="M77" s="23" t="n"/>
    </row>
    <row r="78">
      <c r="A78" s="22" t="n"/>
      <c r="B78" s="22" t="n"/>
      <c r="C78" s="23" t="n"/>
      <c r="D78" s="22" t="n"/>
      <c r="E78" s="23" t="n"/>
      <c r="F78" s="22" t="n"/>
      <c r="G78" s="22" t="n"/>
      <c r="H78" s="24" t="n"/>
      <c r="I78" s="22" t="n"/>
      <c r="J78" s="22" t="n"/>
      <c r="K78" s="22" t="n"/>
      <c r="L78" s="7">
        <f>IF(K78="","",IF(IFERROR(INDEX('Google Drive Map'!$G$4:$G$33,MATCH(K78,'Google Drive Map'!$B$4:$B$33,0))&amp;"","")="","",HYPERLINK(INDEX('Google Drive Map'!$G$4:$G$33,MATCH(K78,'Google Drive Map'!$B$4:$B$33,0)),"Open")))</f>
        <v/>
      </c>
      <c r="M78" s="23" t="n"/>
    </row>
    <row r="79">
      <c r="A79" s="22" t="n"/>
      <c r="B79" s="22" t="n"/>
      <c r="C79" s="23" t="n"/>
      <c r="D79" s="22" t="n"/>
      <c r="E79" s="23" t="n"/>
      <c r="F79" s="22" t="n"/>
      <c r="G79" s="22" t="n"/>
      <c r="H79" s="24" t="n"/>
      <c r="I79" s="22" t="n"/>
      <c r="J79" s="22" t="n"/>
      <c r="K79" s="22" t="n"/>
      <c r="L79" s="7">
        <f>IF(K79="","",IF(IFERROR(INDEX('Google Drive Map'!$G$4:$G$33,MATCH(K79,'Google Drive Map'!$B$4:$B$33,0))&amp;"","")="","",HYPERLINK(INDEX('Google Drive Map'!$G$4:$G$33,MATCH(K79,'Google Drive Map'!$B$4:$B$33,0)),"Open")))</f>
        <v/>
      </c>
      <c r="M79" s="23" t="n"/>
    </row>
  </sheetData>
  <sheetProtection selectLockedCells="0" selectUnlockedCells="0" sheet="1" objects="0" insertRows="0" insertHyperlinks="0" autoFilter="0" scenarios="0" formatColumns="0" deleteColumns="1" insertColumns="1" pivotTables="1" deleteRows="0" formatCells="0" formatRows="0" sort="0"/>
  <autoFilter ref="A3:M79"/>
  <conditionalFormatting sqref="G4:G79">
    <cfRule type="cellIs" priority="1" operator="equal" dxfId="0">
      <formula>"Done"</formula>
    </cfRule>
    <cfRule type="cellIs" priority="2" operator="equal" dxfId="1">
      <formula>"In progress"</formula>
    </cfRule>
  </conditionalFormatting>
  <dataValidations count="3">
    <dataValidation sqref="D4:D79" showDropDown="0" showInputMessage="0" showErrorMessage="0" allowBlank="1" error="Pick a value from the list." type="list" errorStyle="warning">
      <formula1>=Lists!$E$2:$E$4</formula1>
    </dataValidation>
    <dataValidation sqref="F4:F79" showDropDown="0" showInputMessage="0" showErrorMessage="0" allowBlank="1" error="Pick a value from the list." type="list" errorStyle="warning">
      <formula1>=Lists!$A$2:$A$9</formula1>
    </dataValidation>
    <dataValidation sqref="G4:G79" showDropDown="0" showInputMessage="0" showErrorMessage="0" allowBlank="1" error="Pick a value from the list." type="list" errorStyle="warning">
      <formula1>=Lists!$D$2:$D$5</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63"/>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6" customWidth="1" min="1" max="1"/>
    <col width="40" customWidth="1" min="2" max="2"/>
    <col width="10" customWidth="1" min="3" max="3"/>
    <col width="9" customWidth="1" min="4" max="4"/>
    <col width="7" customWidth="1" min="5" max="5"/>
    <col width="9" customWidth="1" min="6" max="6"/>
    <col width="50" customWidth="1" min="7" max="7"/>
    <col width="12" customWidth="1" min="8" max="8"/>
    <col width="10" customWidth="1" min="9" max="9"/>
    <col width="12" customWidth="1" min="10" max="10"/>
    <col width="28" customWidth="1" min="11" max="11"/>
  </cols>
  <sheetData>
    <row r="1" ht="24" customHeight="1">
      <c r="A1" s="1" t="inlineStr">
        <is>
          <t>Risk register</t>
        </is>
      </c>
    </row>
    <row r="2">
      <c r="A2" s="2" t="inlineStr">
        <is>
          <t>Likelihood × impact gives the rating. Review it weekly. Contingency is money set aside for these risks, not for upgrades.</t>
        </is>
      </c>
    </row>
    <row r="3" ht="32" customHeight="1">
      <c r="A3" s="20" t="inlineStr">
        <is>
          <t>ID</t>
        </is>
      </c>
      <c r="B3" s="20" t="inlineStr">
        <is>
          <t>Risk</t>
        </is>
      </c>
      <c r="C3" s="20" t="inlineStr">
        <is>
          <t>Likelihood</t>
        </is>
      </c>
      <c r="D3" s="20" t="inlineStr">
        <is>
          <t>Impact</t>
        </is>
      </c>
      <c r="E3" s="21" t="inlineStr">
        <is>
          <t>Score</t>
        </is>
      </c>
      <c r="F3" s="21" t="inlineStr">
        <is>
          <t>Rating</t>
        </is>
      </c>
      <c r="G3" s="20" t="inlineStr">
        <is>
          <t>Response</t>
        </is>
      </c>
      <c r="H3" s="20" t="inlineStr">
        <is>
          <t>Owner</t>
        </is>
      </c>
      <c r="I3" s="20" t="inlineStr">
        <is>
          <t>Status</t>
        </is>
      </c>
      <c r="J3" s="20" t="inlineStr">
        <is>
          <t>Next review</t>
        </is>
      </c>
      <c r="K3" s="20" t="inlineStr">
        <is>
          <t>Notes</t>
        </is>
      </c>
    </row>
    <row r="4">
      <c r="A4" s="22" t="inlineStr">
        <is>
          <t>R01</t>
        </is>
      </c>
      <c r="B4" s="23" t="inlineStr">
        <is>
          <t>Site costs blow out (rock, fill, poor soil, services)</t>
        </is>
      </c>
      <c r="C4" s="22" t="inlineStr">
        <is>
          <t>Med</t>
        </is>
      </c>
      <c r="D4" s="22" t="inlineStr">
        <is>
          <t>High</t>
        </is>
      </c>
      <c r="E4" s="7">
        <f>IF(OR(C4="",D4=""),"",MATCH(C4,{"Low","Med","High"},0)*MATCH(D4,{"Low","Med","High"},0))</f>
        <v/>
      </c>
      <c r="F4" s="7">
        <f>IF(E4="","",IF(E4&gt;=6,"High",IF(E4&gt;=3,"Medium","Low")))</f>
        <v/>
      </c>
      <c r="G4" s="23" t="inlineStr">
        <is>
          <t>Soil test and feature survey before G1. Get a site-works provisional sum with a cap.</t>
        </is>
      </c>
      <c r="H4" s="22" t="inlineStr">
        <is>
          <t>Owner-builder</t>
        </is>
      </c>
      <c r="I4" s="22" t="inlineStr">
        <is>
          <t>Open</t>
        </is>
      </c>
      <c r="J4" s="24" t="n"/>
      <c r="K4" s="23" t="n"/>
    </row>
    <row r="5">
      <c r="A5" s="22" t="inlineStr">
        <is>
          <t>R02</t>
        </is>
      </c>
      <c r="B5" s="23" t="inlineStr">
        <is>
          <t>Key trade unavailable, program slips</t>
        </is>
      </c>
      <c r="C5" s="22" t="inlineStr">
        <is>
          <t>High</t>
        </is>
      </c>
      <c r="D5" s="22" t="inlineStr">
        <is>
          <t>Med</t>
        </is>
      </c>
      <c r="E5" s="7">
        <f>IF(OR(C5="",D5=""),"",MATCH(C5,{"Low","Med","High"},0)*MATCH(D5,{"Low","Med","High"},0))</f>
        <v/>
      </c>
      <c r="F5" s="7">
        <f>IF(E5="","",IF(E5&gt;=6,"High",IF(E5&gt;=3,"Medium","Low")))</f>
        <v/>
      </c>
      <c r="G5" s="23" t="inlineStr">
        <is>
          <t>Book critical-path trades at G3. Keep a backup quote for each.</t>
        </is>
      </c>
      <c r="H5" s="22" t="inlineStr">
        <is>
          <t>Owner-builder</t>
        </is>
      </c>
      <c r="I5" s="22" t="inlineStr">
        <is>
          <t>Open</t>
        </is>
      </c>
      <c r="J5" s="24" t="n"/>
      <c r="K5" s="23" t="n"/>
    </row>
    <row r="6">
      <c r="A6" s="22" t="inlineStr">
        <is>
          <t>R03</t>
        </is>
      </c>
      <c r="B6" s="23" t="inlineStr">
        <is>
          <t>Trade insurance or registration lapses mid-job</t>
        </is>
      </c>
      <c r="C6" s="22" t="inlineStr">
        <is>
          <t>Med</t>
        </is>
      </c>
      <c r="D6" s="22" t="inlineStr">
        <is>
          <t>High</t>
        </is>
      </c>
      <c r="E6" s="7">
        <f>IF(OR(C6="",D6=""),"",MATCH(C6,{"Low","Med","High"},0)*MATCH(D6,{"Low","Med","High"},0))</f>
        <v/>
      </c>
      <c r="F6" s="7">
        <f>IF(E6="","",IF(E6&gt;=6,"High",IF(E6&gt;=3,"Medium","Low")))</f>
        <v/>
      </c>
      <c r="G6" s="23" t="inlineStr">
        <is>
          <t>Track expiry dates in the trade register with automatic reminders.</t>
        </is>
      </c>
      <c r="H6" s="22" t="inlineStr">
        <is>
          <t>Owner-builder</t>
        </is>
      </c>
      <c r="I6" s="22" t="inlineStr">
        <is>
          <t>Open</t>
        </is>
      </c>
      <c r="J6" s="24" t="n"/>
      <c r="K6" s="23" t="n"/>
    </row>
    <row r="7">
      <c r="A7" s="22" t="inlineStr">
        <is>
          <t>R04</t>
        </is>
      </c>
      <c r="B7" s="23" t="inlineStr">
        <is>
          <t>Failed inspection</t>
        </is>
      </c>
      <c r="C7" s="22" t="inlineStr">
        <is>
          <t>Med</t>
        </is>
      </c>
      <c r="D7" s="22" t="inlineStr">
        <is>
          <t>Med</t>
        </is>
      </c>
      <c r="E7" s="7">
        <f>IF(OR(C7="",D7=""),"",MATCH(C7,{"Low","Med","High"},0)*MATCH(D7,{"Low","Med","High"},0))</f>
        <v/>
      </c>
      <c r="F7" s="7">
        <f>IF(E7="","",IF(E7&gt;=6,"High",IF(E7&gt;=3,"Medium","Low")))</f>
        <v/>
      </c>
      <c r="G7" s="23" t="inlineStr">
        <is>
          <t>Run your own ITP checklist before calling the RBS.</t>
        </is>
      </c>
      <c r="H7" s="22" t="inlineStr">
        <is>
          <t>Owner-builder</t>
        </is>
      </c>
      <c r="I7" s="22" t="inlineStr">
        <is>
          <t>Open</t>
        </is>
      </c>
      <c r="J7" s="24" t="n"/>
      <c r="K7" s="23" t="n"/>
    </row>
    <row r="8">
      <c r="A8" s="22" t="inlineStr">
        <is>
          <t>R05</t>
        </is>
      </c>
      <c r="B8" s="23" t="inlineStr">
        <is>
          <t>Scope creep (upgrades)</t>
        </is>
      </c>
      <c r="C8" s="22" t="inlineStr">
        <is>
          <t>High</t>
        </is>
      </c>
      <c r="D8" s="22" t="inlineStr">
        <is>
          <t>Med</t>
        </is>
      </c>
      <c r="E8" s="7">
        <f>IF(OR(C8="",D8=""),"",MATCH(C8,{"Low","Med","High"},0)*MATCH(D8,{"Low","Med","High"},0))</f>
        <v/>
      </c>
      <c r="F8" s="7">
        <f>IF(E8="","",IF(E8&gt;=6,"High",IF(E8&gt;=3,"Medium","Low")))</f>
        <v/>
      </c>
      <c r="G8" s="23" t="inlineStr">
        <is>
          <t>Freeze scope at G1. Every change goes through a written variation.</t>
        </is>
      </c>
      <c r="H8" s="22" t="inlineStr">
        <is>
          <t>Owner-builder</t>
        </is>
      </c>
      <c r="I8" s="22" t="inlineStr">
        <is>
          <t>Open</t>
        </is>
      </c>
      <c r="J8" s="24" t="n"/>
      <c r="K8" s="23" t="n"/>
    </row>
    <row r="9">
      <c r="A9" s="22" t="inlineStr">
        <is>
          <t>R06</t>
        </is>
      </c>
      <c r="B9" s="23" t="inlineStr">
        <is>
          <t>Owner-builder burnout or injury</t>
        </is>
      </c>
      <c r="C9" s="22" t="inlineStr">
        <is>
          <t>Med</t>
        </is>
      </c>
      <c r="D9" s="22" t="inlineStr">
        <is>
          <t>High</t>
        </is>
      </c>
      <c r="E9" s="7">
        <f>IF(OR(C9="",D9=""),"",MATCH(C9,{"Low","Med","High"},0)*MATCH(D9,{"Low","Med","High"},0))</f>
        <v/>
      </c>
      <c r="F9" s="7">
        <f>IF(E9="","",IF(E9&gt;=6,"High",IF(E9&gt;=3,"Medium","Low")))</f>
        <v/>
      </c>
      <c r="G9" s="23" t="inlineStr">
        <is>
          <t>Realistic program, personal accident cover, a mentor at each gateway.</t>
        </is>
      </c>
      <c r="H9" s="22" t="inlineStr">
        <is>
          <t>Owner-builder</t>
        </is>
      </c>
      <c r="I9" s="22" t="inlineStr">
        <is>
          <t>Open</t>
        </is>
      </c>
      <c r="J9" s="24" t="n"/>
      <c r="K9" s="23" t="n"/>
    </row>
    <row r="10">
      <c r="A10" s="22" t="inlineStr">
        <is>
          <t>R07</t>
        </is>
      </c>
      <c r="B10" s="23" t="inlineStr">
        <is>
          <t>Wet weather</t>
        </is>
      </c>
      <c r="C10" s="22" t="inlineStr">
        <is>
          <t>High</t>
        </is>
      </c>
      <c r="D10" s="22" t="inlineStr">
        <is>
          <t>Low</t>
        </is>
      </c>
      <c r="E10" s="7">
        <f>IF(OR(C10="",D10=""),"",MATCH(C10,{"Low","Med","High"},0)*MATCH(D10,{"Low","Med","High"},0))</f>
        <v/>
      </c>
      <c r="F10" s="7">
        <f>IF(E10="","",IF(E10&gt;=6,"High",IF(E10&gt;=3,"Medium","Low")))</f>
        <v/>
      </c>
      <c r="G10" s="23" t="inlineStr">
        <is>
          <t>Allow weather days in the program. Prioritise lock-up.</t>
        </is>
      </c>
      <c r="H10" s="22" t="inlineStr">
        <is>
          <t>Owner-builder</t>
        </is>
      </c>
      <c r="I10" s="22" t="inlineStr">
        <is>
          <t>Open</t>
        </is>
      </c>
      <c r="J10" s="24" t="n"/>
      <c r="K10" s="23" t="n"/>
    </row>
    <row r="11">
      <c r="A11" s="22" t="n"/>
      <c r="B11" s="23" t="n"/>
      <c r="C11" s="22" t="n"/>
      <c r="D11" s="22" t="n"/>
      <c r="E11" s="7">
        <f>IF(OR(C11="",D11=""),"",MATCH(C11,{"Low","Med","High"},0)*MATCH(D11,{"Low","Med","High"},0))</f>
        <v/>
      </c>
      <c r="F11" s="7">
        <f>IF(E11="","",IF(E11&gt;=6,"High",IF(E11&gt;=3,"Medium","Low")))</f>
        <v/>
      </c>
      <c r="G11" s="23" t="n"/>
      <c r="H11" s="22" t="n"/>
      <c r="I11" s="22" t="n"/>
      <c r="J11" s="24" t="n"/>
      <c r="K11" s="23" t="n"/>
    </row>
    <row r="12">
      <c r="A12" s="22" t="n"/>
      <c r="B12" s="23" t="n"/>
      <c r="C12" s="22" t="n"/>
      <c r="D12" s="22" t="n"/>
      <c r="E12" s="7">
        <f>IF(OR(C12="",D12=""),"",MATCH(C12,{"Low","Med","High"},0)*MATCH(D12,{"Low","Med","High"},0))</f>
        <v/>
      </c>
      <c r="F12" s="7">
        <f>IF(E12="","",IF(E12&gt;=6,"High",IF(E12&gt;=3,"Medium","Low")))</f>
        <v/>
      </c>
      <c r="G12" s="23" t="n"/>
      <c r="H12" s="22" t="n"/>
      <c r="I12" s="22" t="n"/>
      <c r="J12" s="24" t="n"/>
      <c r="K12" s="23" t="n"/>
    </row>
    <row r="13">
      <c r="A13" s="22" t="n"/>
      <c r="B13" s="23" t="n"/>
      <c r="C13" s="22" t="n"/>
      <c r="D13" s="22" t="n"/>
      <c r="E13" s="7">
        <f>IF(OR(C13="",D13=""),"",MATCH(C13,{"Low","Med","High"},0)*MATCH(D13,{"Low","Med","High"},0))</f>
        <v/>
      </c>
      <c r="F13" s="7">
        <f>IF(E13="","",IF(E13&gt;=6,"High",IF(E13&gt;=3,"Medium","Low")))</f>
        <v/>
      </c>
      <c r="G13" s="23" t="n"/>
      <c r="H13" s="22" t="n"/>
      <c r="I13" s="22" t="n"/>
      <c r="J13" s="24" t="n"/>
      <c r="K13" s="23" t="n"/>
    </row>
    <row r="14">
      <c r="A14" s="22" t="n"/>
      <c r="B14" s="23" t="n"/>
      <c r="C14" s="22" t="n"/>
      <c r="D14" s="22" t="n"/>
      <c r="E14" s="7">
        <f>IF(OR(C14="",D14=""),"",MATCH(C14,{"Low","Med","High"},0)*MATCH(D14,{"Low","Med","High"},0))</f>
        <v/>
      </c>
      <c r="F14" s="7">
        <f>IF(E14="","",IF(E14&gt;=6,"High",IF(E14&gt;=3,"Medium","Low")))</f>
        <v/>
      </c>
      <c r="G14" s="23" t="n"/>
      <c r="H14" s="22" t="n"/>
      <c r="I14" s="22" t="n"/>
      <c r="J14" s="24" t="n"/>
      <c r="K14" s="23" t="n"/>
    </row>
    <row r="15">
      <c r="A15" s="22" t="n"/>
      <c r="B15" s="23" t="n"/>
      <c r="C15" s="22" t="n"/>
      <c r="D15" s="22" t="n"/>
      <c r="E15" s="7">
        <f>IF(OR(C15="",D15=""),"",MATCH(C15,{"Low","Med","High"},0)*MATCH(D15,{"Low","Med","High"},0))</f>
        <v/>
      </c>
      <c r="F15" s="7">
        <f>IF(E15="","",IF(E15&gt;=6,"High",IF(E15&gt;=3,"Medium","Low")))</f>
        <v/>
      </c>
      <c r="G15" s="23" t="n"/>
      <c r="H15" s="22" t="n"/>
      <c r="I15" s="22" t="n"/>
      <c r="J15" s="24" t="n"/>
      <c r="K15" s="23" t="n"/>
    </row>
    <row r="16">
      <c r="A16" s="22" t="n"/>
      <c r="B16" s="23" t="n"/>
      <c r="C16" s="22" t="n"/>
      <c r="D16" s="22" t="n"/>
      <c r="E16" s="7">
        <f>IF(OR(C16="",D16=""),"",MATCH(C16,{"Low","Med","High"},0)*MATCH(D16,{"Low","Med","High"},0))</f>
        <v/>
      </c>
      <c r="F16" s="7">
        <f>IF(E16="","",IF(E16&gt;=6,"High",IF(E16&gt;=3,"Medium","Low")))</f>
        <v/>
      </c>
      <c r="G16" s="23" t="n"/>
      <c r="H16" s="22" t="n"/>
      <c r="I16" s="22" t="n"/>
      <c r="J16" s="24" t="n"/>
      <c r="K16" s="23" t="n"/>
    </row>
    <row r="17">
      <c r="A17" s="22" t="n"/>
      <c r="B17" s="23" t="n"/>
      <c r="C17" s="22" t="n"/>
      <c r="D17" s="22" t="n"/>
      <c r="E17" s="7">
        <f>IF(OR(C17="",D17=""),"",MATCH(C17,{"Low","Med","High"},0)*MATCH(D17,{"Low","Med","High"},0))</f>
        <v/>
      </c>
      <c r="F17" s="7">
        <f>IF(E17="","",IF(E17&gt;=6,"High",IF(E17&gt;=3,"Medium","Low")))</f>
        <v/>
      </c>
      <c r="G17" s="23" t="n"/>
      <c r="H17" s="22" t="n"/>
      <c r="I17" s="22" t="n"/>
      <c r="J17" s="24" t="n"/>
      <c r="K17" s="23" t="n"/>
    </row>
    <row r="18">
      <c r="A18" s="22" t="n"/>
      <c r="B18" s="23" t="n"/>
      <c r="C18" s="22" t="n"/>
      <c r="D18" s="22" t="n"/>
      <c r="E18" s="7">
        <f>IF(OR(C18="",D18=""),"",MATCH(C18,{"Low","Med","High"},0)*MATCH(D18,{"Low","Med","High"},0))</f>
        <v/>
      </c>
      <c r="F18" s="7">
        <f>IF(E18="","",IF(E18&gt;=6,"High",IF(E18&gt;=3,"Medium","Low")))</f>
        <v/>
      </c>
      <c r="G18" s="23" t="n"/>
      <c r="H18" s="22" t="n"/>
      <c r="I18" s="22" t="n"/>
      <c r="J18" s="24" t="n"/>
      <c r="K18" s="23" t="n"/>
    </row>
    <row r="19">
      <c r="A19" s="22" t="n"/>
      <c r="B19" s="23" t="n"/>
      <c r="C19" s="22" t="n"/>
      <c r="D19" s="22" t="n"/>
      <c r="E19" s="7">
        <f>IF(OR(C19="",D19=""),"",MATCH(C19,{"Low","Med","High"},0)*MATCH(D19,{"Low","Med","High"},0))</f>
        <v/>
      </c>
      <c r="F19" s="7">
        <f>IF(E19="","",IF(E19&gt;=6,"High",IF(E19&gt;=3,"Medium","Low")))</f>
        <v/>
      </c>
      <c r="G19" s="23" t="n"/>
      <c r="H19" s="22" t="n"/>
      <c r="I19" s="22" t="n"/>
      <c r="J19" s="24" t="n"/>
      <c r="K19" s="23" t="n"/>
    </row>
    <row r="20">
      <c r="A20" s="22" t="n"/>
      <c r="B20" s="23" t="n"/>
      <c r="C20" s="22" t="n"/>
      <c r="D20" s="22" t="n"/>
      <c r="E20" s="7">
        <f>IF(OR(C20="",D20=""),"",MATCH(C20,{"Low","Med","High"},0)*MATCH(D20,{"Low","Med","High"},0))</f>
        <v/>
      </c>
      <c r="F20" s="7">
        <f>IF(E20="","",IF(E20&gt;=6,"High",IF(E20&gt;=3,"Medium","Low")))</f>
        <v/>
      </c>
      <c r="G20" s="23" t="n"/>
      <c r="H20" s="22" t="n"/>
      <c r="I20" s="22" t="n"/>
      <c r="J20" s="24" t="n"/>
      <c r="K20" s="23" t="n"/>
    </row>
    <row r="21">
      <c r="A21" s="22" t="n"/>
      <c r="B21" s="23" t="n"/>
      <c r="C21" s="22" t="n"/>
      <c r="D21" s="22" t="n"/>
      <c r="E21" s="7">
        <f>IF(OR(C21="",D21=""),"",MATCH(C21,{"Low","Med","High"},0)*MATCH(D21,{"Low","Med","High"},0))</f>
        <v/>
      </c>
      <c r="F21" s="7">
        <f>IF(E21="","",IF(E21&gt;=6,"High",IF(E21&gt;=3,"Medium","Low")))</f>
        <v/>
      </c>
      <c r="G21" s="23" t="n"/>
      <c r="H21" s="22" t="n"/>
      <c r="I21" s="22" t="n"/>
      <c r="J21" s="24" t="n"/>
      <c r="K21" s="23" t="n"/>
    </row>
    <row r="22">
      <c r="A22" s="22" t="n"/>
      <c r="B22" s="23" t="n"/>
      <c r="C22" s="22" t="n"/>
      <c r="D22" s="22" t="n"/>
      <c r="E22" s="7">
        <f>IF(OR(C22="",D22=""),"",MATCH(C22,{"Low","Med","High"},0)*MATCH(D22,{"Low","Med","High"},0))</f>
        <v/>
      </c>
      <c r="F22" s="7">
        <f>IF(E22="","",IF(E22&gt;=6,"High",IF(E22&gt;=3,"Medium","Low")))</f>
        <v/>
      </c>
      <c r="G22" s="23" t="n"/>
      <c r="H22" s="22" t="n"/>
      <c r="I22" s="22" t="n"/>
      <c r="J22" s="24" t="n"/>
      <c r="K22" s="23" t="n"/>
    </row>
    <row r="23">
      <c r="A23" s="22" t="n"/>
      <c r="B23" s="23" t="n"/>
      <c r="C23" s="22" t="n"/>
      <c r="D23" s="22" t="n"/>
      <c r="E23" s="7">
        <f>IF(OR(C23="",D23=""),"",MATCH(C23,{"Low","Med","High"},0)*MATCH(D23,{"Low","Med","High"},0))</f>
        <v/>
      </c>
      <c r="F23" s="7">
        <f>IF(E23="","",IF(E23&gt;=6,"High",IF(E23&gt;=3,"Medium","Low")))</f>
        <v/>
      </c>
      <c r="G23" s="23" t="n"/>
      <c r="H23" s="22" t="n"/>
      <c r="I23" s="22" t="n"/>
      <c r="J23" s="24" t="n"/>
      <c r="K23" s="23" t="n"/>
    </row>
    <row r="24">
      <c r="A24" s="22" t="n"/>
      <c r="B24" s="23" t="n"/>
      <c r="C24" s="22" t="n"/>
      <c r="D24" s="22" t="n"/>
      <c r="E24" s="7">
        <f>IF(OR(C24="",D24=""),"",MATCH(C24,{"Low","Med","High"},0)*MATCH(D24,{"Low","Med","High"},0))</f>
        <v/>
      </c>
      <c r="F24" s="7">
        <f>IF(E24="","",IF(E24&gt;=6,"High",IF(E24&gt;=3,"Medium","Low")))</f>
        <v/>
      </c>
      <c r="G24" s="23" t="n"/>
      <c r="H24" s="22" t="n"/>
      <c r="I24" s="22" t="n"/>
      <c r="J24" s="24" t="n"/>
      <c r="K24" s="23" t="n"/>
    </row>
    <row r="25">
      <c r="A25" s="22" t="n"/>
      <c r="B25" s="23" t="n"/>
      <c r="C25" s="22" t="n"/>
      <c r="D25" s="22" t="n"/>
      <c r="E25" s="7">
        <f>IF(OR(C25="",D25=""),"",MATCH(C25,{"Low","Med","High"},0)*MATCH(D25,{"Low","Med","High"},0))</f>
        <v/>
      </c>
      <c r="F25" s="7">
        <f>IF(E25="","",IF(E25&gt;=6,"High",IF(E25&gt;=3,"Medium","Low")))</f>
        <v/>
      </c>
      <c r="G25" s="23" t="n"/>
      <c r="H25" s="22" t="n"/>
      <c r="I25" s="22" t="n"/>
      <c r="J25" s="24" t="n"/>
      <c r="K25" s="23" t="n"/>
    </row>
    <row r="26">
      <c r="A26" s="22" t="n"/>
      <c r="B26" s="23" t="n"/>
      <c r="C26" s="22" t="n"/>
      <c r="D26" s="22" t="n"/>
      <c r="E26" s="7">
        <f>IF(OR(C26="",D26=""),"",MATCH(C26,{"Low","Med","High"},0)*MATCH(D26,{"Low","Med","High"},0))</f>
        <v/>
      </c>
      <c r="F26" s="7">
        <f>IF(E26="","",IF(E26&gt;=6,"High",IF(E26&gt;=3,"Medium","Low")))</f>
        <v/>
      </c>
      <c r="G26" s="23" t="n"/>
      <c r="H26" s="22" t="n"/>
      <c r="I26" s="22" t="n"/>
      <c r="J26" s="24" t="n"/>
      <c r="K26" s="23" t="n"/>
    </row>
    <row r="27">
      <c r="A27" s="22" t="n"/>
      <c r="B27" s="23" t="n"/>
      <c r="C27" s="22" t="n"/>
      <c r="D27" s="22" t="n"/>
      <c r="E27" s="7">
        <f>IF(OR(C27="",D27=""),"",MATCH(C27,{"Low","Med","High"},0)*MATCH(D27,{"Low","Med","High"},0))</f>
        <v/>
      </c>
      <c r="F27" s="7">
        <f>IF(E27="","",IF(E27&gt;=6,"High",IF(E27&gt;=3,"Medium","Low")))</f>
        <v/>
      </c>
      <c r="G27" s="23" t="n"/>
      <c r="H27" s="22" t="n"/>
      <c r="I27" s="22" t="n"/>
      <c r="J27" s="24" t="n"/>
      <c r="K27" s="23" t="n"/>
    </row>
    <row r="28">
      <c r="A28" s="22" t="n"/>
      <c r="B28" s="23" t="n"/>
      <c r="C28" s="22" t="n"/>
      <c r="D28" s="22" t="n"/>
      <c r="E28" s="7">
        <f>IF(OR(C28="",D28=""),"",MATCH(C28,{"Low","Med","High"},0)*MATCH(D28,{"Low","Med","High"},0))</f>
        <v/>
      </c>
      <c r="F28" s="7">
        <f>IF(E28="","",IF(E28&gt;=6,"High",IF(E28&gt;=3,"Medium","Low")))</f>
        <v/>
      </c>
      <c r="G28" s="23" t="n"/>
      <c r="H28" s="22" t="n"/>
      <c r="I28" s="22" t="n"/>
      <c r="J28" s="24" t="n"/>
      <c r="K28" s="23" t="n"/>
    </row>
    <row r="29">
      <c r="A29" s="22" t="n"/>
      <c r="B29" s="23" t="n"/>
      <c r="C29" s="22" t="n"/>
      <c r="D29" s="22" t="n"/>
      <c r="E29" s="7">
        <f>IF(OR(C29="",D29=""),"",MATCH(C29,{"Low","Med","High"},0)*MATCH(D29,{"Low","Med","High"},0))</f>
        <v/>
      </c>
      <c r="F29" s="7">
        <f>IF(E29="","",IF(E29&gt;=6,"High",IF(E29&gt;=3,"Medium","Low")))</f>
        <v/>
      </c>
      <c r="G29" s="23" t="n"/>
      <c r="H29" s="22" t="n"/>
      <c r="I29" s="22" t="n"/>
      <c r="J29" s="24" t="n"/>
      <c r="K29" s="23" t="n"/>
    </row>
    <row r="30">
      <c r="A30" s="22" t="n"/>
      <c r="B30" s="23" t="n"/>
      <c r="C30" s="22" t="n"/>
      <c r="D30" s="22" t="n"/>
      <c r="E30" s="7">
        <f>IF(OR(C30="",D30=""),"",MATCH(C30,{"Low","Med","High"},0)*MATCH(D30,{"Low","Med","High"},0))</f>
        <v/>
      </c>
      <c r="F30" s="7">
        <f>IF(E30="","",IF(E30&gt;=6,"High",IF(E30&gt;=3,"Medium","Low")))</f>
        <v/>
      </c>
      <c r="G30" s="23" t="n"/>
      <c r="H30" s="22" t="n"/>
      <c r="I30" s="22" t="n"/>
      <c r="J30" s="24" t="n"/>
      <c r="K30" s="23" t="n"/>
    </row>
    <row r="31">
      <c r="A31" s="22" t="n"/>
      <c r="B31" s="23" t="n"/>
      <c r="C31" s="22" t="n"/>
      <c r="D31" s="22" t="n"/>
      <c r="E31" s="7">
        <f>IF(OR(C31="",D31=""),"",MATCH(C31,{"Low","Med","High"},0)*MATCH(D31,{"Low","Med","High"},0))</f>
        <v/>
      </c>
      <c r="F31" s="7">
        <f>IF(E31="","",IF(E31&gt;=6,"High",IF(E31&gt;=3,"Medium","Low")))</f>
        <v/>
      </c>
      <c r="G31" s="23" t="n"/>
      <c r="H31" s="22" t="n"/>
      <c r="I31" s="22" t="n"/>
      <c r="J31" s="24" t="n"/>
      <c r="K31" s="23" t="n"/>
    </row>
    <row r="32">
      <c r="A32" s="22" t="n"/>
      <c r="B32" s="23" t="n"/>
      <c r="C32" s="22" t="n"/>
      <c r="D32" s="22" t="n"/>
      <c r="E32" s="7">
        <f>IF(OR(C32="",D32=""),"",MATCH(C32,{"Low","Med","High"},0)*MATCH(D32,{"Low","Med","High"},0))</f>
        <v/>
      </c>
      <c r="F32" s="7">
        <f>IF(E32="","",IF(E32&gt;=6,"High",IF(E32&gt;=3,"Medium","Low")))</f>
        <v/>
      </c>
      <c r="G32" s="23" t="n"/>
      <c r="H32" s="22" t="n"/>
      <c r="I32" s="22" t="n"/>
      <c r="J32" s="24" t="n"/>
      <c r="K32" s="23" t="n"/>
    </row>
    <row r="33">
      <c r="A33" s="22" t="n"/>
      <c r="B33" s="23" t="n"/>
      <c r="C33" s="22" t="n"/>
      <c r="D33" s="22" t="n"/>
      <c r="E33" s="7">
        <f>IF(OR(C33="",D33=""),"",MATCH(C33,{"Low","Med","High"},0)*MATCH(D33,{"Low","Med","High"},0))</f>
        <v/>
      </c>
      <c r="F33" s="7">
        <f>IF(E33="","",IF(E33&gt;=6,"High",IF(E33&gt;=3,"Medium","Low")))</f>
        <v/>
      </c>
      <c r="G33" s="23" t="n"/>
      <c r="H33" s="22" t="n"/>
      <c r="I33" s="22" t="n"/>
      <c r="J33" s="24" t="n"/>
      <c r="K33" s="23" t="n"/>
    </row>
    <row r="34">
      <c r="A34" s="22" t="n"/>
      <c r="B34" s="23" t="n"/>
      <c r="C34" s="22" t="n"/>
      <c r="D34" s="22" t="n"/>
      <c r="E34" s="7">
        <f>IF(OR(C34="",D34=""),"",MATCH(C34,{"Low","Med","High"},0)*MATCH(D34,{"Low","Med","High"},0))</f>
        <v/>
      </c>
      <c r="F34" s="7">
        <f>IF(E34="","",IF(E34&gt;=6,"High",IF(E34&gt;=3,"Medium","Low")))</f>
        <v/>
      </c>
      <c r="G34" s="23" t="n"/>
      <c r="H34" s="22" t="n"/>
      <c r="I34" s="22" t="n"/>
      <c r="J34" s="24" t="n"/>
      <c r="K34" s="23" t="n"/>
    </row>
    <row r="35">
      <c r="A35" s="22" t="n"/>
      <c r="B35" s="23" t="n"/>
      <c r="C35" s="22" t="n"/>
      <c r="D35" s="22" t="n"/>
      <c r="E35" s="7">
        <f>IF(OR(C35="",D35=""),"",MATCH(C35,{"Low","Med","High"},0)*MATCH(D35,{"Low","Med","High"},0))</f>
        <v/>
      </c>
      <c r="F35" s="7">
        <f>IF(E35="","",IF(E35&gt;=6,"High",IF(E35&gt;=3,"Medium","Low")))</f>
        <v/>
      </c>
      <c r="G35" s="23" t="n"/>
      <c r="H35" s="22" t="n"/>
      <c r="I35" s="22" t="n"/>
      <c r="J35" s="24" t="n"/>
      <c r="K35" s="23" t="n"/>
    </row>
    <row r="36">
      <c r="A36" s="22" t="n"/>
      <c r="B36" s="23" t="n"/>
      <c r="C36" s="22" t="n"/>
      <c r="D36" s="22" t="n"/>
      <c r="E36" s="7">
        <f>IF(OR(C36="",D36=""),"",MATCH(C36,{"Low","Med","High"},0)*MATCH(D36,{"Low","Med","High"},0))</f>
        <v/>
      </c>
      <c r="F36" s="7">
        <f>IF(E36="","",IF(E36&gt;=6,"High",IF(E36&gt;=3,"Medium","Low")))</f>
        <v/>
      </c>
      <c r="G36" s="23" t="n"/>
      <c r="H36" s="22" t="n"/>
      <c r="I36" s="22" t="n"/>
      <c r="J36" s="24" t="n"/>
      <c r="K36" s="23" t="n"/>
    </row>
    <row r="37">
      <c r="A37" s="22" t="n"/>
      <c r="B37" s="23" t="n"/>
      <c r="C37" s="22" t="n"/>
      <c r="D37" s="22" t="n"/>
      <c r="E37" s="7">
        <f>IF(OR(C37="",D37=""),"",MATCH(C37,{"Low","Med","High"},0)*MATCH(D37,{"Low","Med","High"},0))</f>
        <v/>
      </c>
      <c r="F37" s="7">
        <f>IF(E37="","",IF(E37&gt;=6,"High",IF(E37&gt;=3,"Medium","Low")))</f>
        <v/>
      </c>
      <c r="G37" s="23" t="n"/>
      <c r="H37" s="22" t="n"/>
      <c r="I37" s="22" t="n"/>
      <c r="J37" s="24" t="n"/>
      <c r="K37" s="23" t="n"/>
    </row>
    <row r="38">
      <c r="A38" s="22" t="n"/>
      <c r="B38" s="23" t="n"/>
      <c r="C38" s="22" t="n"/>
      <c r="D38" s="22" t="n"/>
      <c r="E38" s="7">
        <f>IF(OR(C38="",D38=""),"",MATCH(C38,{"Low","Med","High"},0)*MATCH(D38,{"Low","Med","High"},0))</f>
        <v/>
      </c>
      <c r="F38" s="7">
        <f>IF(E38="","",IF(E38&gt;=6,"High",IF(E38&gt;=3,"Medium","Low")))</f>
        <v/>
      </c>
      <c r="G38" s="23" t="n"/>
      <c r="H38" s="22" t="n"/>
      <c r="I38" s="22" t="n"/>
      <c r="J38" s="24" t="n"/>
      <c r="K38" s="23" t="n"/>
    </row>
    <row r="39">
      <c r="A39" s="22" t="n"/>
      <c r="B39" s="23" t="n"/>
      <c r="C39" s="22" t="n"/>
      <c r="D39" s="22" t="n"/>
      <c r="E39" s="7">
        <f>IF(OR(C39="",D39=""),"",MATCH(C39,{"Low","Med","High"},0)*MATCH(D39,{"Low","Med","High"},0))</f>
        <v/>
      </c>
      <c r="F39" s="7">
        <f>IF(E39="","",IF(E39&gt;=6,"High",IF(E39&gt;=3,"Medium","Low")))</f>
        <v/>
      </c>
      <c r="G39" s="23" t="n"/>
      <c r="H39" s="22" t="n"/>
      <c r="I39" s="22" t="n"/>
      <c r="J39" s="24" t="n"/>
      <c r="K39" s="23" t="n"/>
    </row>
    <row r="40">
      <c r="A40" s="22" t="n"/>
      <c r="B40" s="23" t="n"/>
      <c r="C40" s="22" t="n"/>
      <c r="D40" s="22" t="n"/>
      <c r="E40" s="7">
        <f>IF(OR(C40="",D40=""),"",MATCH(C40,{"Low","Med","High"},0)*MATCH(D40,{"Low","Med","High"},0))</f>
        <v/>
      </c>
      <c r="F40" s="7">
        <f>IF(E40="","",IF(E40&gt;=6,"High",IF(E40&gt;=3,"Medium","Low")))</f>
        <v/>
      </c>
      <c r="G40" s="23" t="n"/>
      <c r="H40" s="22" t="n"/>
      <c r="I40" s="22" t="n"/>
      <c r="J40" s="24" t="n"/>
      <c r="K40" s="23" t="n"/>
    </row>
    <row r="41">
      <c r="A41" s="22" t="n"/>
      <c r="B41" s="23" t="n"/>
      <c r="C41" s="22" t="n"/>
      <c r="D41" s="22" t="n"/>
      <c r="E41" s="7">
        <f>IF(OR(C41="",D41=""),"",MATCH(C41,{"Low","Med","High"},0)*MATCH(D41,{"Low","Med","High"},0))</f>
        <v/>
      </c>
      <c r="F41" s="7">
        <f>IF(E41="","",IF(E41&gt;=6,"High",IF(E41&gt;=3,"Medium","Low")))</f>
        <v/>
      </c>
      <c r="G41" s="23" t="n"/>
      <c r="H41" s="22" t="n"/>
      <c r="I41" s="22" t="n"/>
      <c r="J41" s="24" t="n"/>
      <c r="K41" s="23" t="n"/>
    </row>
    <row r="42">
      <c r="A42" s="22" t="n"/>
      <c r="B42" s="23" t="n"/>
      <c r="C42" s="22" t="n"/>
      <c r="D42" s="22" t="n"/>
      <c r="E42" s="7">
        <f>IF(OR(C42="",D42=""),"",MATCH(C42,{"Low","Med","High"},0)*MATCH(D42,{"Low","Med","High"},0))</f>
        <v/>
      </c>
      <c r="F42" s="7">
        <f>IF(E42="","",IF(E42&gt;=6,"High",IF(E42&gt;=3,"Medium","Low")))</f>
        <v/>
      </c>
      <c r="G42" s="23" t="n"/>
      <c r="H42" s="22" t="n"/>
      <c r="I42" s="22" t="n"/>
      <c r="J42" s="24" t="n"/>
      <c r="K42" s="23" t="n"/>
    </row>
    <row r="43">
      <c r="A43" s="22" t="n"/>
      <c r="B43" s="23" t="n"/>
      <c r="C43" s="22" t="n"/>
      <c r="D43" s="22" t="n"/>
      <c r="E43" s="7">
        <f>IF(OR(C43="",D43=""),"",MATCH(C43,{"Low","Med","High"},0)*MATCH(D43,{"Low","Med","High"},0))</f>
        <v/>
      </c>
      <c r="F43" s="7">
        <f>IF(E43="","",IF(E43&gt;=6,"High",IF(E43&gt;=3,"Medium","Low")))</f>
        <v/>
      </c>
      <c r="G43" s="23" t="n"/>
      <c r="H43" s="22" t="n"/>
      <c r="I43" s="22" t="n"/>
      <c r="J43" s="24" t="n"/>
      <c r="K43" s="23" t="n"/>
    </row>
    <row r="44">
      <c r="A44" s="22" t="n"/>
      <c r="B44" s="23" t="n"/>
      <c r="C44" s="22" t="n"/>
      <c r="D44" s="22" t="n"/>
      <c r="E44" s="7">
        <f>IF(OR(C44="",D44=""),"",MATCH(C44,{"Low","Med","High"},0)*MATCH(D44,{"Low","Med","High"},0))</f>
        <v/>
      </c>
      <c r="F44" s="7">
        <f>IF(E44="","",IF(E44&gt;=6,"High",IF(E44&gt;=3,"Medium","Low")))</f>
        <v/>
      </c>
      <c r="G44" s="23" t="n"/>
      <c r="H44" s="22" t="n"/>
      <c r="I44" s="22" t="n"/>
      <c r="J44" s="24" t="n"/>
      <c r="K44" s="23" t="n"/>
    </row>
    <row r="45">
      <c r="A45" s="22" t="n"/>
      <c r="B45" s="23" t="n"/>
      <c r="C45" s="22" t="n"/>
      <c r="D45" s="22" t="n"/>
      <c r="E45" s="7">
        <f>IF(OR(C45="",D45=""),"",MATCH(C45,{"Low","Med","High"},0)*MATCH(D45,{"Low","Med","High"},0))</f>
        <v/>
      </c>
      <c r="F45" s="7">
        <f>IF(E45="","",IF(E45&gt;=6,"High",IF(E45&gt;=3,"Medium","Low")))</f>
        <v/>
      </c>
      <c r="G45" s="23" t="n"/>
      <c r="H45" s="22" t="n"/>
      <c r="I45" s="22" t="n"/>
      <c r="J45" s="24" t="n"/>
      <c r="K45" s="23" t="n"/>
    </row>
    <row r="46">
      <c r="A46" s="22" t="n"/>
      <c r="B46" s="23" t="n"/>
      <c r="C46" s="22" t="n"/>
      <c r="D46" s="22" t="n"/>
      <c r="E46" s="7">
        <f>IF(OR(C46="",D46=""),"",MATCH(C46,{"Low","Med","High"},0)*MATCH(D46,{"Low","Med","High"},0))</f>
        <v/>
      </c>
      <c r="F46" s="7">
        <f>IF(E46="","",IF(E46&gt;=6,"High",IF(E46&gt;=3,"Medium","Low")))</f>
        <v/>
      </c>
      <c r="G46" s="23" t="n"/>
      <c r="H46" s="22" t="n"/>
      <c r="I46" s="22" t="n"/>
      <c r="J46" s="24" t="n"/>
      <c r="K46" s="23" t="n"/>
    </row>
    <row r="47">
      <c r="A47" s="22" t="n"/>
      <c r="B47" s="23" t="n"/>
      <c r="C47" s="22" t="n"/>
      <c r="D47" s="22" t="n"/>
      <c r="E47" s="7">
        <f>IF(OR(C47="",D47=""),"",MATCH(C47,{"Low","Med","High"},0)*MATCH(D47,{"Low","Med","High"},0))</f>
        <v/>
      </c>
      <c r="F47" s="7">
        <f>IF(E47="","",IF(E47&gt;=6,"High",IF(E47&gt;=3,"Medium","Low")))</f>
        <v/>
      </c>
      <c r="G47" s="23" t="n"/>
      <c r="H47" s="22" t="n"/>
      <c r="I47" s="22" t="n"/>
      <c r="J47" s="24" t="n"/>
      <c r="K47" s="23" t="n"/>
    </row>
    <row r="48">
      <c r="A48" s="22" t="n"/>
      <c r="B48" s="23" t="n"/>
      <c r="C48" s="22" t="n"/>
      <c r="D48" s="22" t="n"/>
      <c r="E48" s="7">
        <f>IF(OR(C48="",D48=""),"",MATCH(C48,{"Low","Med","High"},0)*MATCH(D48,{"Low","Med","High"},0))</f>
        <v/>
      </c>
      <c r="F48" s="7">
        <f>IF(E48="","",IF(E48&gt;=6,"High",IF(E48&gt;=3,"Medium","Low")))</f>
        <v/>
      </c>
      <c r="G48" s="23" t="n"/>
      <c r="H48" s="22" t="n"/>
      <c r="I48" s="22" t="n"/>
      <c r="J48" s="24" t="n"/>
      <c r="K48" s="23" t="n"/>
    </row>
    <row r="49">
      <c r="A49" s="22" t="n"/>
      <c r="B49" s="23" t="n"/>
      <c r="C49" s="22" t="n"/>
      <c r="D49" s="22" t="n"/>
      <c r="E49" s="7">
        <f>IF(OR(C49="",D49=""),"",MATCH(C49,{"Low","Med","High"},0)*MATCH(D49,{"Low","Med","High"},0))</f>
        <v/>
      </c>
      <c r="F49" s="7">
        <f>IF(E49="","",IF(E49&gt;=6,"High",IF(E49&gt;=3,"Medium","Low")))</f>
        <v/>
      </c>
      <c r="G49" s="23" t="n"/>
      <c r="H49" s="22" t="n"/>
      <c r="I49" s="22" t="n"/>
      <c r="J49" s="24" t="n"/>
      <c r="K49" s="23" t="n"/>
    </row>
    <row r="50">
      <c r="A50" s="22" t="n"/>
      <c r="B50" s="23" t="n"/>
      <c r="C50" s="22" t="n"/>
      <c r="D50" s="22" t="n"/>
      <c r="E50" s="7">
        <f>IF(OR(C50="",D50=""),"",MATCH(C50,{"Low","Med","High"},0)*MATCH(D50,{"Low","Med","High"},0))</f>
        <v/>
      </c>
      <c r="F50" s="7">
        <f>IF(E50="","",IF(E50&gt;=6,"High",IF(E50&gt;=3,"Medium","Low")))</f>
        <v/>
      </c>
      <c r="G50" s="23" t="n"/>
      <c r="H50" s="22" t="n"/>
      <c r="I50" s="22" t="n"/>
      <c r="J50" s="24" t="n"/>
      <c r="K50" s="23" t="n"/>
    </row>
    <row r="51">
      <c r="A51" s="22" t="n"/>
      <c r="B51" s="23" t="n"/>
      <c r="C51" s="22" t="n"/>
      <c r="D51" s="22" t="n"/>
      <c r="E51" s="7">
        <f>IF(OR(C51="",D51=""),"",MATCH(C51,{"Low","Med","High"},0)*MATCH(D51,{"Low","Med","High"},0))</f>
        <v/>
      </c>
      <c r="F51" s="7">
        <f>IF(E51="","",IF(E51&gt;=6,"High",IF(E51&gt;=3,"Medium","Low")))</f>
        <v/>
      </c>
      <c r="G51" s="23" t="n"/>
      <c r="H51" s="22" t="n"/>
      <c r="I51" s="22" t="n"/>
      <c r="J51" s="24" t="n"/>
      <c r="K51" s="23" t="n"/>
    </row>
    <row r="52">
      <c r="A52" s="22" t="n"/>
      <c r="B52" s="23" t="n"/>
      <c r="C52" s="22" t="n"/>
      <c r="D52" s="22" t="n"/>
      <c r="E52" s="7">
        <f>IF(OR(C52="",D52=""),"",MATCH(C52,{"Low","Med","High"},0)*MATCH(D52,{"Low","Med","High"},0))</f>
        <v/>
      </c>
      <c r="F52" s="7">
        <f>IF(E52="","",IF(E52&gt;=6,"High",IF(E52&gt;=3,"Medium","Low")))</f>
        <v/>
      </c>
      <c r="G52" s="23" t="n"/>
      <c r="H52" s="22" t="n"/>
      <c r="I52" s="22" t="n"/>
      <c r="J52" s="24" t="n"/>
      <c r="K52" s="23" t="n"/>
    </row>
    <row r="53">
      <c r="A53" s="22" t="n"/>
      <c r="B53" s="23" t="n"/>
      <c r="C53" s="22" t="n"/>
      <c r="D53" s="22" t="n"/>
      <c r="E53" s="7">
        <f>IF(OR(C53="",D53=""),"",MATCH(C53,{"Low","Med","High"},0)*MATCH(D53,{"Low","Med","High"},0))</f>
        <v/>
      </c>
      <c r="F53" s="7">
        <f>IF(E53="","",IF(E53&gt;=6,"High",IF(E53&gt;=3,"Medium","Low")))</f>
        <v/>
      </c>
      <c r="G53" s="23" t="n"/>
      <c r="H53" s="22" t="n"/>
      <c r="I53" s="22" t="n"/>
      <c r="J53" s="24" t="n"/>
      <c r="K53" s="23" t="n"/>
    </row>
    <row r="54">
      <c r="A54" s="22" t="n"/>
      <c r="B54" s="23" t="n"/>
      <c r="C54" s="22" t="n"/>
      <c r="D54" s="22" t="n"/>
      <c r="E54" s="7">
        <f>IF(OR(C54="",D54=""),"",MATCH(C54,{"Low","Med","High"},0)*MATCH(D54,{"Low","Med","High"},0))</f>
        <v/>
      </c>
      <c r="F54" s="7">
        <f>IF(E54="","",IF(E54&gt;=6,"High",IF(E54&gt;=3,"Medium","Low")))</f>
        <v/>
      </c>
      <c r="G54" s="23" t="n"/>
      <c r="H54" s="22" t="n"/>
      <c r="I54" s="22" t="n"/>
      <c r="J54" s="24" t="n"/>
      <c r="K54" s="23" t="n"/>
    </row>
    <row r="55">
      <c r="A55" s="22" t="n"/>
      <c r="B55" s="23" t="n"/>
      <c r="C55" s="22" t="n"/>
      <c r="D55" s="22" t="n"/>
      <c r="E55" s="7">
        <f>IF(OR(C55="",D55=""),"",MATCH(C55,{"Low","Med","High"},0)*MATCH(D55,{"Low","Med","High"},0))</f>
        <v/>
      </c>
      <c r="F55" s="7">
        <f>IF(E55="","",IF(E55&gt;=6,"High",IF(E55&gt;=3,"Medium","Low")))</f>
        <v/>
      </c>
      <c r="G55" s="23" t="n"/>
      <c r="H55" s="22" t="n"/>
      <c r="I55" s="22" t="n"/>
      <c r="J55" s="24" t="n"/>
      <c r="K55" s="23" t="n"/>
    </row>
    <row r="56">
      <c r="A56" s="22" t="n"/>
      <c r="B56" s="23" t="n"/>
      <c r="C56" s="22" t="n"/>
      <c r="D56" s="22" t="n"/>
      <c r="E56" s="7">
        <f>IF(OR(C56="",D56=""),"",MATCH(C56,{"Low","Med","High"},0)*MATCH(D56,{"Low","Med","High"},0))</f>
        <v/>
      </c>
      <c r="F56" s="7">
        <f>IF(E56="","",IF(E56&gt;=6,"High",IF(E56&gt;=3,"Medium","Low")))</f>
        <v/>
      </c>
      <c r="G56" s="23" t="n"/>
      <c r="H56" s="22" t="n"/>
      <c r="I56" s="22" t="n"/>
      <c r="J56" s="24" t="n"/>
      <c r="K56" s="23" t="n"/>
    </row>
    <row r="57">
      <c r="A57" s="22" t="n"/>
      <c r="B57" s="23" t="n"/>
      <c r="C57" s="22" t="n"/>
      <c r="D57" s="22" t="n"/>
      <c r="E57" s="7">
        <f>IF(OR(C57="",D57=""),"",MATCH(C57,{"Low","Med","High"},0)*MATCH(D57,{"Low","Med","High"},0))</f>
        <v/>
      </c>
      <c r="F57" s="7">
        <f>IF(E57="","",IF(E57&gt;=6,"High",IF(E57&gt;=3,"Medium","Low")))</f>
        <v/>
      </c>
      <c r="G57" s="23" t="n"/>
      <c r="H57" s="22" t="n"/>
      <c r="I57" s="22" t="n"/>
      <c r="J57" s="24" t="n"/>
      <c r="K57" s="23" t="n"/>
    </row>
    <row r="58">
      <c r="A58" s="22" t="n"/>
      <c r="B58" s="23" t="n"/>
      <c r="C58" s="22" t="n"/>
      <c r="D58" s="22" t="n"/>
      <c r="E58" s="7">
        <f>IF(OR(C58="",D58=""),"",MATCH(C58,{"Low","Med","High"},0)*MATCH(D58,{"Low","Med","High"},0))</f>
        <v/>
      </c>
      <c r="F58" s="7">
        <f>IF(E58="","",IF(E58&gt;=6,"High",IF(E58&gt;=3,"Medium","Low")))</f>
        <v/>
      </c>
      <c r="G58" s="23" t="n"/>
      <c r="H58" s="22" t="n"/>
      <c r="I58" s="22" t="n"/>
      <c r="J58" s="24" t="n"/>
      <c r="K58" s="23" t="n"/>
    </row>
    <row r="59">
      <c r="A59" s="22" t="n"/>
      <c r="B59" s="23" t="n"/>
      <c r="C59" s="22" t="n"/>
      <c r="D59" s="22" t="n"/>
      <c r="E59" s="7">
        <f>IF(OR(C59="",D59=""),"",MATCH(C59,{"Low","Med","High"},0)*MATCH(D59,{"Low","Med","High"},0))</f>
        <v/>
      </c>
      <c r="F59" s="7">
        <f>IF(E59="","",IF(E59&gt;=6,"High",IF(E59&gt;=3,"Medium","Low")))</f>
        <v/>
      </c>
      <c r="G59" s="23" t="n"/>
      <c r="H59" s="22" t="n"/>
      <c r="I59" s="22" t="n"/>
      <c r="J59" s="24" t="n"/>
      <c r="K59" s="23" t="n"/>
    </row>
    <row r="60">
      <c r="A60" s="22" t="n"/>
      <c r="B60" s="23" t="n"/>
      <c r="C60" s="22" t="n"/>
      <c r="D60" s="22" t="n"/>
      <c r="E60" s="7">
        <f>IF(OR(C60="",D60=""),"",MATCH(C60,{"Low","Med","High"},0)*MATCH(D60,{"Low","Med","High"},0))</f>
        <v/>
      </c>
      <c r="F60" s="7">
        <f>IF(E60="","",IF(E60&gt;=6,"High",IF(E60&gt;=3,"Medium","Low")))</f>
        <v/>
      </c>
      <c r="G60" s="23" t="n"/>
      <c r="H60" s="22" t="n"/>
      <c r="I60" s="22" t="n"/>
      <c r="J60" s="24" t="n"/>
      <c r="K60" s="23" t="n"/>
    </row>
    <row r="61">
      <c r="A61" s="22" t="n"/>
      <c r="B61" s="23" t="n"/>
      <c r="C61" s="22" t="n"/>
      <c r="D61" s="22" t="n"/>
      <c r="E61" s="7">
        <f>IF(OR(C61="",D61=""),"",MATCH(C61,{"Low","Med","High"},0)*MATCH(D61,{"Low","Med","High"},0))</f>
        <v/>
      </c>
      <c r="F61" s="7">
        <f>IF(E61="","",IF(E61&gt;=6,"High",IF(E61&gt;=3,"Medium","Low")))</f>
        <v/>
      </c>
      <c r="G61" s="23" t="n"/>
      <c r="H61" s="22" t="n"/>
      <c r="I61" s="22" t="n"/>
      <c r="J61" s="24" t="n"/>
      <c r="K61" s="23" t="n"/>
    </row>
    <row r="62">
      <c r="A62" s="22" t="n"/>
      <c r="B62" s="23" t="n"/>
      <c r="C62" s="22" t="n"/>
      <c r="D62" s="22" t="n"/>
      <c r="E62" s="7">
        <f>IF(OR(C62="",D62=""),"",MATCH(C62,{"Low","Med","High"},0)*MATCH(D62,{"Low","Med","High"},0))</f>
        <v/>
      </c>
      <c r="F62" s="7">
        <f>IF(E62="","",IF(E62&gt;=6,"High",IF(E62&gt;=3,"Medium","Low")))</f>
        <v/>
      </c>
      <c r="G62" s="23" t="n"/>
      <c r="H62" s="22" t="n"/>
      <c r="I62" s="22" t="n"/>
      <c r="J62" s="24" t="n"/>
      <c r="K62" s="23" t="n"/>
    </row>
    <row r="63">
      <c r="A63" s="22" t="n"/>
      <c r="B63" s="23" t="n"/>
      <c r="C63" s="22" t="n"/>
      <c r="D63" s="22" t="n"/>
      <c r="E63" s="7">
        <f>IF(OR(C63="",D63=""),"",MATCH(C63,{"Low","Med","High"},0)*MATCH(D63,{"Low","Med","High"},0))</f>
        <v/>
      </c>
      <c r="F63" s="7">
        <f>IF(E63="","",IF(E63&gt;=6,"High",IF(E63&gt;=3,"Medium","Low")))</f>
        <v/>
      </c>
      <c r="G63" s="23" t="n"/>
      <c r="H63" s="22" t="n"/>
      <c r="I63" s="22" t="n"/>
      <c r="J63" s="24" t="n"/>
      <c r="K63" s="23" t="n"/>
    </row>
  </sheetData>
  <sheetProtection selectLockedCells="0" selectUnlockedCells="0" sheet="1" objects="0" insertRows="0" insertHyperlinks="0" autoFilter="0" scenarios="0" formatColumns="0" deleteColumns="1" insertColumns="1" pivotTables="1" deleteRows="0" formatCells="0" formatRows="0" sort="0"/>
  <autoFilter ref="A3:K63"/>
  <conditionalFormatting sqref="F4:F63">
    <cfRule type="cellIs" priority="1" operator="equal" dxfId="2">
      <formula>"High"</formula>
    </cfRule>
    <cfRule type="cellIs" priority="2" operator="equal" dxfId="1">
      <formula>"Medium"</formula>
    </cfRule>
  </conditionalFormatting>
  <dataValidations count="3">
    <dataValidation sqref="C4:C63" showDropDown="0" showInputMessage="0" showErrorMessage="0" allowBlank="1" error="Pick a value from the list." type="list" errorStyle="warning">
      <formula1>=Lists!$T$2:$T$4</formula1>
    </dataValidation>
    <dataValidation sqref="D4:D63" showDropDown="0" showInputMessage="0" showErrorMessage="0" allowBlank="1" error="Pick a value from the list." type="list" errorStyle="warning">
      <formula1>=Lists!$T$2:$T$4</formula1>
    </dataValidation>
    <dataValidation sqref="I4:I63" showDropDown="0" showInputMessage="0" showErrorMessage="0" allowBlank="1" error="Pick a value from the list." type="list" errorStyle="warning">
      <formula1>=Lists!$U$2:$U$4</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69"/>
  <sheetViews>
    <sheetView workbookViewId="0">
      <pane ySplit="3" topLeftCell="A4" activePane="bottomLeft" state="frozen"/>
      <selection pane="bottomLeft" activeCell="A1" sqref="A1"/>
    </sheetView>
  </sheetViews>
  <sheetFormatPr baseColWidth="8" defaultRowHeight="15"/>
  <cols>
    <col width="8" customWidth="1" min="1" max="1"/>
    <col width="44" customWidth="1" min="2" max="2"/>
    <col width="70" customWidth="1" min="3" max="3"/>
    <col width="12" customWidth="1" min="4" max="4"/>
    <col width="12" customWidth="1" min="5" max="5"/>
    <col width="30" customWidth="1" min="6" max="6"/>
    <col width="40" customWidth="1" min="7" max="7"/>
  </cols>
  <sheetData>
    <row r="1" ht="24" customHeight="1">
      <c r="A1" s="1" t="inlineStr">
        <is>
          <t>Folder map</t>
        </is>
      </c>
    </row>
    <row r="2">
      <c r="A2" s="2" t="inlineStr">
        <is>
          <t>The folder tree for one build, in Google Drive, Dropbox or OneDrive. Paste each folder's link, or a local folder path, into Folder link; the Open links on other tabs use it. In Google Sheets the Apps Script can create the folders and fill in the links.</t>
        </is>
      </c>
    </row>
    <row r="3">
      <c r="A3" s="3" t="inlineStr">
        <is>
          <t>Code</t>
        </is>
      </c>
      <c r="B3" s="3" t="inlineStr">
        <is>
          <t>Folder path</t>
        </is>
      </c>
      <c r="C3" s="3" t="inlineStr">
        <is>
          <t>What goes here</t>
        </is>
      </c>
      <c r="D3" s="3" t="inlineStr">
        <is>
          <t>Compliance stages</t>
        </is>
      </c>
      <c r="E3" s="3" t="inlineStr">
        <is>
          <t>Gateways</t>
        </is>
      </c>
      <c r="F3" s="3" t="inlineStr">
        <is>
          <t>Tabs that point here</t>
        </is>
      </c>
      <c r="G3" s="3" t="inlineStr">
        <is>
          <t>Folder link (paste)</t>
        </is>
      </c>
    </row>
    <row r="4">
      <c r="A4" s="25" t="inlineStr">
        <is>
          <t>00</t>
        </is>
      </c>
      <c r="B4" s="6" t="inlineStr">
        <is>
          <t>00 Project Register</t>
        </is>
      </c>
      <c r="C4" s="6" t="inlineStr">
        <is>
          <t>This workbook, its backups and the Apps Script notes.</t>
        </is>
      </c>
      <c r="D4" s="6" t="inlineStr"/>
      <c r="E4" s="6" t="inlineStr">
        <is>
          <t>All</t>
        </is>
      </c>
      <c r="F4" s="6" t="inlineStr">
        <is>
          <t>Every tab</t>
        </is>
      </c>
    </row>
    <row r="5">
      <c r="A5" s="25" t="inlineStr">
        <is>
          <t>01</t>
        </is>
      </c>
      <c r="B5" s="6" t="inlineStr">
        <is>
          <t>01 Eligibility, Land &amp; Planning</t>
        </is>
      </c>
      <c r="C5" s="6" t="inlineStr">
        <is>
          <t>eLearning pass, white card, certificate of consent and application, title search, plan of subdivision, covenants, s173 agreements, Planning Property Report, planning permit, legal point of discharge, build-over-easement and siting consents.</t>
        </is>
      </c>
      <c r="D5" s="6" t="inlineStr">
        <is>
          <t>1, 2, 3</t>
        </is>
      </c>
      <c r="E5" s="6" t="inlineStr">
        <is>
          <t>G0, G1, G2</t>
        </is>
      </c>
      <c r="F5" s="6" t="inlineStr">
        <is>
          <t>Compliance, Gateways, Documents</t>
        </is>
      </c>
    </row>
    <row r="6">
      <c r="A6" s="25" t="inlineStr">
        <is>
          <t>02</t>
        </is>
      </c>
      <c r="B6" s="6" t="inlineStr">
        <is>
          <t>02 Design &amp; Engineering</t>
        </is>
      </c>
      <c r="C6" s="6" t="inlineStr">
        <is>
          <t>Design brief, concept and working drawings, specification, engineering, energy (NatHERS) report, BAL assessment, feature &amp; level survey, soil report, asbestos report, approved amendments.</t>
        </is>
      </c>
      <c r="D6" s="6" t="inlineStr">
        <is>
          <t>3, 8</t>
        </is>
      </c>
      <c r="E6" s="6" t="inlineStr">
        <is>
          <t>G1, G2</t>
        </is>
      </c>
      <c r="F6" s="6" t="inlineStr">
        <is>
          <t>Documents, Rooms (drawing refs), Diary (plan notes)</t>
        </is>
      </c>
    </row>
    <row r="7">
      <c r="A7" s="25" t="inlineStr">
        <is>
          <t>03</t>
        </is>
      </c>
      <c r="B7" s="6" t="inlineStr">
        <is>
          <t>03 Permits, Insurance &amp; Finance</t>
        </is>
      </c>
      <c r="C7" s="6" t="inlineStr">
        <is>
          <t>RBS fee proposal and appointment, building permit, asset protection permit and bond, protection work notices, Before You Dig, your insurance policies, WorkSafe and principal contractor papers, loan, valuations, drawdowns, cost plan, tax advice.</t>
        </is>
      </c>
      <c r="D7" s="6" t="inlineStr">
        <is>
          <t>4, 5, 6, 11</t>
        </is>
      </c>
      <c r="E7" s="6" t="inlineStr">
        <is>
          <t>G0, G1, G3</t>
        </is>
      </c>
      <c r="F7" s="6" t="inlineStr">
        <is>
          <t>Project, Packages, Compliance</t>
        </is>
      </c>
    </row>
    <row r="8">
      <c r="A8" s="25" t="inlineStr">
        <is>
          <t>04</t>
        </is>
      </c>
      <c r="B8" s="6" t="inlineStr">
        <is>
          <t>04 Trades &amp; Tenders</t>
        </is>
      </c>
      <c r="C8" s="6" t="inlineStr">
        <is>
          <t>One subfolder per trade package. In each: RFQ pack and quotes, tender comparison, signed contract and variations, licence, insurance certificates of currency and SWMS, invoices and payment records.</t>
        </is>
      </c>
      <c r="D8" s="6" t="inlineStr">
        <is>
          <t>5, 6, 7</t>
        </is>
      </c>
      <c r="E8" s="6" t="inlineStr">
        <is>
          <t>G3 to G7</t>
        </is>
      </c>
      <c r="F8" s="6" t="inlineStr">
        <is>
          <t>Packages, Trades, Tenders, Variations, Payments</t>
        </is>
      </c>
    </row>
    <row r="9">
      <c r="A9" s="26" t="inlineStr">
        <is>
          <t>04/01</t>
        </is>
      </c>
      <c r="B9" t="inlineStr">
        <is>
          <t>04 Trades &amp; Tenders/01 Surveyor</t>
        </is>
      </c>
      <c r="C9" s="2" t="inlineStr">
        <is>
          <t>RFQ &amp; quotes, contract &amp; variations, licence / insurance / SWMS, invoices.</t>
        </is>
      </c>
    </row>
    <row r="10">
      <c r="A10" s="26" t="inlineStr">
        <is>
          <t>04/02</t>
        </is>
      </c>
      <c r="B10" t="inlineStr">
        <is>
          <t>04 Trades &amp; Tenders/02 Demolition &amp; earthworks</t>
        </is>
      </c>
      <c r="C10" s="2" t="inlineStr">
        <is>
          <t>RFQ &amp; quotes, contract &amp; variations, licence / insurance / SWMS, invoices.</t>
        </is>
      </c>
    </row>
    <row r="11">
      <c r="A11" s="26" t="inlineStr">
        <is>
          <t>04/03</t>
        </is>
      </c>
      <c r="B11" t="inlineStr">
        <is>
          <t>04 Trades &amp; Tenders/03 Plumbing &amp; drainage</t>
        </is>
      </c>
      <c r="C11" s="2" t="inlineStr">
        <is>
          <t>RFQ &amp; quotes, contract &amp; variations, licence / insurance / SWMS, invoices.</t>
        </is>
      </c>
    </row>
    <row r="12">
      <c r="A12" s="26" t="inlineStr">
        <is>
          <t>04/04</t>
        </is>
      </c>
      <c r="B12" t="inlineStr">
        <is>
          <t>04 Trades &amp; Tenders/04 Concreter</t>
        </is>
      </c>
      <c r="C12" s="2" t="inlineStr">
        <is>
          <t>RFQ &amp; quotes, contract &amp; variations, licence / insurance / SWMS, invoices.</t>
        </is>
      </c>
    </row>
    <row r="13">
      <c r="A13" s="26" t="inlineStr">
        <is>
          <t>04/05</t>
        </is>
      </c>
      <c r="B13" t="inlineStr">
        <is>
          <t>04 Trades &amp; Tenders/05 Termite management</t>
        </is>
      </c>
      <c r="C13" s="2" t="inlineStr">
        <is>
          <t>RFQ &amp; quotes, contract &amp; variations, licence / insurance / SWMS, invoices.</t>
        </is>
      </c>
    </row>
    <row r="14">
      <c r="A14" s="26" t="inlineStr">
        <is>
          <t>04/06</t>
        </is>
      </c>
      <c r="B14" t="inlineStr">
        <is>
          <t>04 Trades &amp; Tenders/06 Frame &amp; truss supply</t>
        </is>
      </c>
      <c r="C14" s="2" t="inlineStr">
        <is>
          <t>RFQ &amp; quotes, contract &amp; variations, licence / insurance / SWMS, invoices.</t>
        </is>
      </c>
    </row>
    <row r="15">
      <c r="A15" s="26" t="inlineStr">
        <is>
          <t>04/07</t>
        </is>
      </c>
      <c r="B15" t="inlineStr">
        <is>
          <t>04 Trades &amp; Tenders/07 Carpenter (frame)</t>
        </is>
      </c>
      <c r="C15" s="2" t="inlineStr">
        <is>
          <t>RFQ &amp; quotes, contract &amp; variations, licence / insurance / SWMS, invoices.</t>
        </is>
      </c>
    </row>
    <row r="16">
      <c r="A16" s="26" t="inlineStr">
        <is>
          <t>04/08</t>
        </is>
      </c>
      <c r="B16" t="inlineStr">
        <is>
          <t>04 Trades &amp; Tenders/08 Roofing</t>
        </is>
      </c>
      <c r="C16" s="2" t="inlineStr">
        <is>
          <t>RFQ &amp; quotes, contract &amp; variations, licence / insurance / SWMS, invoices.</t>
        </is>
      </c>
    </row>
    <row r="17">
      <c r="A17" s="26" t="inlineStr">
        <is>
          <t>04/09</t>
        </is>
      </c>
      <c r="B17" t="inlineStr">
        <is>
          <t>04 Trades &amp; Tenders/09 Windows &amp; external doors</t>
        </is>
      </c>
      <c r="C17" s="2" t="inlineStr">
        <is>
          <t>RFQ &amp; quotes, contract &amp; variations, licence / insurance / SWMS, invoices.</t>
        </is>
      </c>
    </row>
    <row r="18">
      <c r="A18" s="26" t="inlineStr">
        <is>
          <t>04/10</t>
        </is>
      </c>
      <c r="B18" t="inlineStr">
        <is>
          <t>04 Trades &amp; Tenders/10 Bricklayer &amp; cladding</t>
        </is>
      </c>
      <c r="C18" s="2" t="inlineStr">
        <is>
          <t>RFQ &amp; quotes, contract &amp; variations, licence / insurance / SWMS, invoices.</t>
        </is>
      </c>
    </row>
    <row r="19">
      <c r="A19" s="26" t="inlineStr">
        <is>
          <t>04/11</t>
        </is>
      </c>
      <c r="B19" t="inlineStr">
        <is>
          <t>04 Trades &amp; Tenders/11 Electrician</t>
        </is>
      </c>
      <c r="C19" s="2" t="inlineStr">
        <is>
          <t>RFQ &amp; quotes, contract &amp; variations, licence / insurance / SWMS, invoices.</t>
        </is>
      </c>
    </row>
    <row r="20">
      <c r="A20" s="26" t="inlineStr">
        <is>
          <t>04/12</t>
        </is>
      </c>
      <c r="B20" t="inlineStr">
        <is>
          <t>04 Trades &amp; Tenders/12 Insulation</t>
        </is>
      </c>
      <c r="C20" s="2" t="inlineStr">
        <is>
          <t>RFQ &amp; quotes, contract &amp; variations, licence / insurance / SWMS, invoices.</t>
        </is>
      </c>
    </row>
    <row r="21">
      <c r="A21" s="26" t="inlineStr">
        <is>
          <t>04/13</t>
        </is>
      </c>
      <c r="B21" t="inlineStr">
        <is>
          <t>04 Trades &amp; Tenders/13 Plasterer</t>
        </is>
      </c>
      <c r="C21" s="2" t="inlineStr">
        <is>
          <t>RFQ &amp; quotes, contract &amp; variations, licence / insurance / SWMS, invoices.</t>
        </is>
      </c>
    </row>
    <row r="22">
      <c r="A22" s="26" t="inlineStr">
        <is>
          <t>04/14</t>
        </is>
      </c>
      <c r="B22" t="inlineStr">
        <is>
          <t>04 Trades &amp; Tenders/14 Waterproofer</t>
        </is>
      </c>
      <c r="C22" s="2" t="inlineStr">
        <is>
          <t>RFQ &amp; quotes, contract &amp; variations, licence / insurance / SWMS, invoices.</t>
        </is>
      </c>
    </row>
    <row r="23">
      <c r="A23" s="26" t="inlineStr">
        <is>
          <t>04/15</t>
        </is>
      </c>
      <c r="B23" t="inlineStr">
        <is>
          <t>04 Trades &amp; Tenders/15 Cabinetmaker</t>
        </is>
      </c>
      <c r="C23" s="2" t="inlineStr">
        <is>
          <t>RFQ &amp; quotes, contract &amp; variations, licence / insurance / SWMS, invoices.</t>
        </is>
      </c>
    </row>
    <row r="24">
      <c r="A24" s="26" t="inlineStr">
        <is>
          <t>04/16</t>
        </is>
      </c>
      <c r="B24" t="inlineStr">
        <is>
          <t>04 Trades &amp; Tenders/16 Tiler</t>
        </is>
      </c>
      <c r="C24" s="2" t="inlineStr">
        <is>
          <t>RFQ &amp; quotes, contract &amp; variations, licence / insurance / SWMS, invoices.</t>
        </is>
      </c>
    </row>
    <row r="25">
      <c r="A25" s="26" t="inlineStr">
        <is>
          <t>04/17</t>
        </is>
      </c>
      <c r="B25" t="inlineStr">
        <is>
          <t>04 Trades &amp; Tenders/17 Fixing carpenter</t>
        </is>
      </c>
      <c r="C25" s="2" t="inlineStr">
        <is>
          <t>RFQ &amp; quotes, contract &amp; variations, licence / insurance / SWMS, invoices.</t>
        </is>
      </c>
    </row>
    <row r="26">
      <c r="A26" s="26" t="inlineStr">
        <is>
          <t>04/18</t>
        </is>
      </c>
      <c r="B26" t="inlineStr">
        <is>
          <t>04 Trades &amp; Tenders/18 Painter</t>
        </is>
      </c>
      <c r="C26" s="2" t="inlineStr">
        <is>
          <t>RFQ &amp; quotes, contract &amp; variations, licence / insurance / SWMS, invoices.</t>
        </is>
      </c>
    </row>
    <row r="27">
      <c r="A27" s="26" t="inlineStr">
        <is>
          <t>04/19</t>
        </is>
      </c>
      <c r="B27" t="inlineStr">
        <is>
          <t>04 Trades &amp; Tenders/19 Heating &amp; cooling</t>
        </is>
      </c>
      <c r="C27" s="2" t="inlineStr">
        <is>
          <t>RFQ &amp; quotes, contract &amp; variations, licence / insurance / SWMS, invoices.</t>
        </is>
      </c>
    </row>
    <row r="28">
      <c r="A28" s="26" t="inlineStr">
        <is>
          <t>04/20</t>
        </is>
      </c>
      <c r="B28" t="inlineStr">
        <is>
          <t>04 Trades &amp; Tenders/20 Floor coverings &amp; landscaping</t>
        </is>
      </c>
      <c r="C28" s="2" t="inlineStr">
        <is>
          <t>RFQ &amp; quotes, contract &amp; variations, licence / insurance / SWMS, invoices.</t>
        </is>
      </c>
    </row>
    <row r="29">
      <c r="A29" s="25" t="inlineStr">
        <is>
          <t>05</t>
        </is>
      </c>
      <c r="B29" s="6" t="inlineStr">
        <is>
          <t>05 Selections &amp; Specs</t>
        </is>
      </c>
      <c r="C29" s="6" t="inlineStr">
        <is>
          <t>Product spec sheets, brochures, colour and tile codes, quotes from suppliers, orders and delivery dockets.</t>
        </is>
      </c>
      <c r="D29" s="6" t="inlineStr"/>
      <c r="E29" s="6" t="inlineStr">
        <is>
          <t>G5, G6</t>
        </is>
      </c>
      <c r="F29" s="6" t="inlineStr">
        <is>
          <t>Selections</t>
        </is>
      </c>
    </row>
    <row r="30">
      <c r="A30" s="25" t="inlineStr">
        <is>
          <t>06</t>
        </is>
      </c>
      <c r="B30" s="6" t="inlineStr">
        <is>
          <t>06 Site Diary &amp; Photos</t>
        </is>
      </c>
      <c r="C30" s="6" t="inlineStr">
        <is>
          <t>Site photos (especially before anything is covered), diary exports, site induction and sign-in register.</t>
        </is>
      </c>
      <c r="D30" s="6" t="inlineStr">
        <is>
          <t>5, 8</t>
        </is>
      </c>
      <c r="E30" s="6" t="inlineStr">
        <is>
          <t>G4 to G7</t>
        </is>
      </c>
      <c r="F30" s="6" t="inlineStr">
        <is>
          <t>Diary, Photos</t>
        </is>
      </c>
    </row>
    <row r="31">
      <c r="A31" s="25" t="inlineStr">
        <is>
          <t>07</t>
        </is>
      </c>
      <c r="B31" s="6" t="inlineStr">
        <is>
          <t>07 Inspections &amp; Certificates</t>
        </is>
      </c>
      <c r="C31" s="6" t="inlineStr">
        <is>
          <t>RBS inspection reports and every compliance certificate: plumbing (PCC), electrical (CoES), termite, waterproofing, glazing, insulation, smoke alarms, engineer sign-offs, commissioning sheets.</t>
        </is>
      </c>
      <c r="D31" s="6" t="inlineStr">
        <is>
          <t>8, 9</t>
        </is>
      </c>
      <c r="E31" s="6" t="inlineStr">
        <is>
          <t>G4 to G7</t>
        </is>
      </c>
      <c r="F31" s="6" t="inlineStr">
        <is>
          <t>Certificates, Compliance</t>
        </is>
      </c>
    </row>
    <row r="32">
      <c r="A32" s="25" t="inlineStr">
        <is>
          <t>08</t>
        </is>
      </c>
      <c r="B32" s="6" t="inlineStr">
        <is>
          <t>08 Handover, Records &amp; Sale</t>
        </is>
      </c>
      <c r="C32" s="6" t="inlineStr">
        <is>
          <t>Occupancy permit or certificate of final inspection, warranties, manuals, as-built service locations, paint and tile codes, s137B defects report, owner-builder insurance, section 32 papers.</t>
        </is>
      </c>
      <c r="D32" s="6" t="inlineStr">
        <is>
          <t>9, 10</t>
        </is>
      </c>
      <c r="E32" s="6" t="inlineStr">
        <is>
          <t>G7</t>
        </is>
      </c>
      <c r="F32" s="6" t="inlineStr">
        <is>
          <t>Compliance, Certificates</t>
        </is>
      </c>
    </row>
    <row r="33">
      <c r="A33" s="25" t="inlineStr">
        <is>
          <t>99</t>
        </is>
      </c>
      <c r="B33" s="6" t="inlineStr">
        <is>
          <t>99 Archive</t>
        </is>
      </c>
      <c r="C33" s="6" t="inlineStr">
        <is>
          <t>Superseded drawings and documents, unsuccessful quotes. Never delete: move here.</t>
        </is>
      </c>
      <c r="D33" s="6" t="inlineStr"/>
      <c r="E33" s="6" t="inlineStr"/>
      <c r="F33" s="6" t="inlineStr">
        <is>
          <t>Documents (status Superseded)</t>
        </is>
      </c>
    </row>
    <row r="35">
      <c r="B35" s="14" t="inlineStr">
        <is>
          <t>File naming: DocID_Description_Rev</t>
        </is>
      </c>
    </row>
    <row r="36">
      <c r="B36" t="inlineStr">
        <is>
          <t>Doc ID = folder code - document type - number, e.g. 02-DWG-012 is drawing number 12 in 02 Design &amp; Engineering.</t>
        </is>
      </c>
    </row>
    <row r="37">
      <c r="B37" t="inlineStr">
        <is>
          <t>File name = Doc ID, then a short description with hyphens, then the revision: 02-DWG-012_Floor-Plan_RevC.pdf</t>
        </is>
      </c>
    </row>
    <row r="38">
      <c r="B38" t="inlineStr">
        <is>
          <t>Register every file in the Documents tab first. It builds the Doc ID and file name for you and tells you which folder to save it in.</t>
        </is>
      </c>
    </row>
    <row r="39">
      <c r="B39" t="inlineStr">
        <is>
          <t>Trade paperwork goes in that package's subfolder of 04, e.g. 04 Trades &amp; Tenders/08 Roofing/04-CON-003_Roofing-Contract.pdf</t>
        </is>
      </c>
    </row>
    <row r="40">
      <c r="B40" t="inlineStr">
        <is>
          <t>When a drawing is replaced, set the old one to Superseded in Documents and move the file to 99 Archive. Never delete.</t>
        </is>
      </c>
    </row>
    <row r="41">
      <c r="B41" s="14" t="inlineStr">
        <is>
          <t>Folder links: any provider</t>
        </is>
      </c>
    </row>
    <row r="42">
      <c r="B42" t="inlineStr">
        <is>
          <t>Google Drive, Dropbox, OneDrive or SharePoint: open the folder in your browser, choose Share &gt; Copy link, and paste it into Folder link.</t>
        </is>
      </c>
    </row>
    <row r="43">
      <c r="B43" t="inlineStr">
        <is>
          <t>Working offline on a computer? Paste the local folder path instead, e.g. C:\Users\you\Dropbox\Owner Build\02 Design &amp; Engineering or /Users/you/Library/CloudStorage/... It opens without internet.</t>
        </is>
      </c>
    </row>
    <row r="44">
      <c r="B44" t="inlineStr">
        <is>
          <t>Google Sheets: Owner Builder &gt; Set up Drive folders creates the folders and fills in every link for you.</t>
        </is>
      </c>
    </row>
    <row r="45">
      <c r="B45" s="14" t="inlineStr">
        <is>
          <t>Document types</t>
        </is>
      </c>
    </row>
    <row r="46">
      <c r="B46" t="inlineStr">
        <is>
          <t>DWG  Drawing</t>
        </is>
      </c>
    </row>
    <row r="47">
      <c r="B47" t="inlineStr">
        <is>
          <t>SPEC  Specification or spec sheet</t>
        </is>
      </c>
    </row>
    <row r="48">
      <c r="B48" t="inlineStr">
        <is>
          <t>ENG  Engineering</t>
        </is>
      </c>
    </row>
    <row r="49">
      <c r="B49" t="inlineStr">
        <is>
          <t>RPT  Report or assessment (soil, energy, BAL, asbestos, s137B)</t>
        </is>
      </c>
    </row>
    <row r="50">
      <c r="B50" t="inlineStr">
        <is>
          <t>APP  Application</t>
        </is>
      </c>
    </row>
    <row r="51">
      <c r="B51" t="inlineStr">
        <is>
          <t>PMT  Permit, consent or approval</t>
        </is>
      </c>
    </row>
    <row r="52">
      <c r="B52" t="inlineStr">
        <is>
          <t>INSP  Inspection report</t>
        </is>
      </c>
    </row>
    <row r="53">
      <c r="B53" t="inlineStr">
        <is>
          <t>CERT  Certificate</t>
        </is>
      </c>
    </row>
    <row r="54">
      <c r="B54" t="inlineStr">
        <is>
          <t>RFQ  RFQ pack or addendum</t>
        </is>
      </c>
    </row>
    <row r="55">
      <c r="B55" t="inlineStr">
        <is>
          <t>QUO  Quote or tender</t>
        </is>
      </c>
    </row>
    <row r="56">
      <c r="B56" t="inlineStr">
        <is>
          <t>CON  Contract</t>
        </is>
      </c>
    </row>
    <row r="57">
      <c r="B57" t="inlineStr">
        <is>
          <t>VAR  Variation</t>
        </is>
      </c>
    </row>
    <row r="58">
      <c r="B58" t="inlineStr">
        <is>
          <t>INV  Invoice</t>
        </is>
      </c>
    </row>
    <row r="59">
      <c r="B59" t="inlineStr">
        <is>
          <t>REC  Receipt or payment record</t>
        </is>
      </c>
    </row>
    <row r="60">
      <c r="B60" t="inlineStr">
        <is>
          <t>INS  Insurance policy or certificate of currency</t>
        </is>
      </c>
    </row>
    <row r="61">
      <c r="B61" t="inlineStr">
        <is>
          <t>LIC  Licence or registration</t>
        </is>
      </c>
    </row>
    <row r="62">
      <c r="B62" t="inlineStr">
        <is>
          <t>SWMS  Safe work method statement</t>
        </is>
      </c>
    </row>
    <row r="63">
      <c r="B63" t="inlineStr">
        <is>
          <t>PHO  Photo</t>
        </is>
      </c>
    </row>
    <row r="64">
      <c r="B64" t="inlineStr">
        <is>
          <t>COR  Correspondence</t>
        </is>
      </c>
    </row>
    <row r="65">
      <c r="B65" t="inlineStr">
        <is>
          <t>FIN  Finance (loan, valuation, drawdown)</t>
        </is>
      </c>
    </row>
    <row r="66">
      <c r="B66" t="inlineStr">
        <is>
          <t>PLN  Plan, program or cost plan</t>
        </is>
      </c>
    </row>
    <row r="67">
      <c r="B67" t="inlineStr">
        <is>
          <t>MAN  Manual</t>
        </is>
      </c>
    </row>
    <row r="68">
      <c r="B68" t="inlineStr">
        <is>
          <t>WAR  Warranty</t>
        </is>
      </c>
    </row>
    <row r="69">
      <c r="B69" t="inlineStr">
        <is>
          <t>OTH  Other</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6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22" customWidth="1" min="1" max="1"/>
    <col width="11" customWidth="1" min="2" max="2"/>
    <col width="11" customWidth="1" min="3" max="3"/>
    <col width="11" customWidth="1" min="4" max="4"/>
    <col width="11" customWidth="1" min="5" max="5"/>
    <col width="11" customWidth="1" min="6" max="6"/>
    <col width="13" customWidth="1" min="7" max="7"/>
    <col width="12" customWidth="1" min="8" max="8"/>
    <col width="13" customWidth="1" min="9" max="9"/>
    <col width="14" customWidth="1" min="10" max="10"/>
    <col width="10" customWidth="1" min="11" max="11"/>
    <col width="22" customWidth="1" min="12" max="12"/>
    <col width="14" customWidth="1" min="13" max="13"/>
    <col width="36" customWidth="1" min="14" max="14"/>
  </cols>
  <sheetData>
    <row r="1" ht="24" customHeight="1">
      <c r="A1" s="1" t="inlineStr">
        <is>
          <t>Rooms &amp; spaces</t>
        </is>
      </c>
      <c r="B1" t="inlineStr">
        <is>
          <t>Takeoffs</t>
        </is>
      </c>
    </row>
    <row r="2">
      <c r="A2" s="2" t="inlineStr">
        <is>
          <t>Enter each room or area once. Internal rooms get every quantity; garages skip skirting; external areas (driveways, paving, decks) get floor area only. Blank area type counts as internal.</t>
        </is>
      </c>
      <c r="B2" t="inlineStr">
        <is>
          <t xml:space="preserve">NOTE: Include Garages and Outdoor areas where pricing and quoting is required (i.e driveways, paving etc) </t>
        </is>
      </c>
    </row>
    <row r="3" ht="32" customHeight="1">
      <c r="A3" s="20" t="inlineStr">
        <is>
          <t>Room / area</t>
        </is>
      </c>
      <c r="B3" s="20" t="inlineStr">
        <is>
          <t>Level</t>
        </is>
      </c>
      <c r="C3" s="20" t="inlineStr">
        <is>
          <t>Area type</t>
        </is>
      </c>
      <c r="D3" s="20" t="inlineStr">
        <is>
          <t>Length (m)</t>
        </is>
      </c>
      <c r="E3" s="20" t="inlineStr">
        <is>
          <t>Width (m)</t>
        </is>
      </c>
      <c r="F3" s="20" t="inlineStr">
        <is>
          <t>Ceiling (m)</t>
        </is>
      </c>
      <c r="G3" s="21" t="inlineStr">
        <is>
          <t>Floor area (m²)</t>
        </is>
      </c>
      <c r="H3" s="21" t="inlineStr">
        <is>
          <t>Skirting (m)</t>
        </is>
      </c>
      <c r="I3" s="21" t="inlineStr">
        <is>
          <t>Wall paint (m²)</t>
        </is>
      </c>
      <c r="J3" s="21" t="inlineStr">
        <is>
          <t>Floor covering + waste (m²)</t>
        </is>
      </c>
      <c r="K3" s="21" t="inlineStr">
        <is>
          <t>Squares</t>
        </is>
      </c>
      <c r="L3" s="21" t="inlineStr">
        <is>
          <t>Check</t>
        </is>
      </c>
      <c r="M3" s="20" t="inlineStr">
        <is>
          <t>Drawing ref</t>
        </is>
      </c>
      <c r="N3" s="20" t="inlineStr">
        <is>
          <t>Notes</t>
        </is>
      </c>
    </row>
    <row r="4">
      <c r="A4" s="27" t="inlineStr">
        <is>
          <t>Kitchen / living</t>
        </is>
      </c>
      <c r="B4" s="27" t="inlineStr">
        <is>
          <t>Ground</t>
        </is>
      </c>
      <c r="C4" s="27" t="inlineStr">
        <is>
          <t>Internal</t>
        </is>
      </c>
      <c r="D4" s="28" t="n">
        <v>7.2</v>
      </c>
      <c r="E4" s="28" t="n">
        <v>5.4</v>
      </c>
      <c r="F4" s="28" t="n"/>
      <c r="G4" s="11">
        <f>IF(AND(ISNUMBER(D4),ISNUMBER(E4)),D4*E4,"")</f>
        <v/>
      </c>
      <c r="H4" s="11">
        <f>IF(OR(G4="",C4="Garage",C4="External"),"",2*(D4+E4))</f>
        <v/>
      </c>
      <c r="I4" s="11">
        <f>IF(OR(G4="",C4="External"),"",2*(D4+E4)*IF(ISNUMBER(F4),F4,Settings!$B$15))</f>
        <v/>
      </c>
      <c r="J4" s="11">
        <f>IF(G4="","",G4*(1+Settings!$B$16))</f>
        <v/>
      </c>
      <c r="K4" s="11">
        <f>IF(OR(G4="",C4="External"),"",G4/9.29)</f>
        <v/>
      </c>
      <c r="L4" s="7">
        <f>IF(OR(AND(D4&lt;&gt;"",NOT(ISNUMBER(D4))),AND(E4&lt;&gt;"",NOT(ISNUMBER(E4))),AND(F4&lt;&gt;"",NOT(ISNUMBER(F4)))),"Type sizes as numbers in metres, e.g. 3.2","")</f>
        <v/>
      </c>
      <c r="M4" s="27" t="n"/>
      <c r="N4" s="29" t="inlineStr">
        <is>
          <t>EXAMPLE: delete this row</t>
        </is>
      </c>
    </row>
    <row r="5">
      <c r="A5" s="27" t="inlineStr">
        <is>
          <t>Driveway</t>
        </is>
      </c>
      <c r="B5" s="27" t="inlineStr">
        <is>
          <t>External</t>
        </is>
      </c>
      <c r="C5" s="27" t="inlineStr">
        <is>
          <t>External</t>
        </is>
      </c>
      <c r="D5" s="28" t="n">
        <v>12</v>
      </c>
      <c r="E5" s="28" t="n">
        <v>3.5</v>
      </c>
      <c r="F5" s="28" t="n"/>
      <c r="G5" s="11">
        <f>IF(AND(ISNUMBER(D5),ISNUMBER(E5)),D5*E5,"")</f>
        <v/>
      </c>
      <c r="H5" s="11">
        <f>IF(OR(G5="",C5="Garage",C5="External"),"",2*(D5+E5))</f>
        <v/>
      </c>
      <c r="I5" s="11">
        <f>IF(OR(G5="",C5="External"),"",2*(D5+E5)*IF(ISNUMBER(F5),F5,Settings!$B$15))</f>
        <v/>
      </c>
      <c r="J5" s="11">
        <f>IF(G5="","",G5*(1+Settings!$B$16))</f>
        <v/>
      </c>
      <c r="K5" s="11">
        <f>IF(OR(G5="",C5="External"),"",G5/9.29)</f>
        <v/>
      </c>
      <c r="L5" s="7">
        <f>IF(OR(AND(D5&lt;&gt;"",NOT(ISNUMBER(D5))),AND(E5&lt;&gt;"",NOT(ISNUMBER(E5))),AND(F5&lt;&gt;"",NOT(ISNUMBER(F5)))),"Type sizes as numbers in metres, e.g. 3.2","")</f>
        <v/>
      </c>
      <c r="M5" s="27" t="n"/>
      <c r="N5" s="29" t="inlineStr">
        <is>
          <t>EXAMPLE: delete this row</t>
        </is>
      </c>
    </row>
    <row r="6">
      <c r="A6" s="22" t="n"/>
      <c r="B6" s="22" t="n"/>
      <c r="C6" s="22" t="n"/>
      <c r="D6" s="30" t="n"/>
      <c r="E6" s="30" t="n"/>
      <c r="F6" s="30" t="n"/>
      <c r="G6" s="11">
        <f>IF(AND(ISNUMBER(D6),ISNUMBER(E6)),D6*E6,"")</f>
        <v/>
      </c>
      <c r="H6" s="11">
        <f>IF(OR(G6="",C6="Garage",C6="External"),"",2*(D6+E6))</f>
        <v/>
      </c>
      <c r="I6" s="11">
        <f>IF(OR(G6="",C6="External"),"",2*(D6+E6)*IF(ISNUMBER(F6),F6,Settings!$B$15))</f>
        <v/>
      </c>
      <c r="J6" s="11">
        <f>IF(G6="","",G6*(1+Settings!$B$16))</f>
        <v/>
      </c>
      <c r="K6" s="11">
        <f>IF(OR(G6="",C6="External"),"",G6/9.29)</f>
        <v/>
      </c>
      <c r="L6" s="7">
        <f>IF(OR(AND(D6&lt;&gt;"",NOT(ISNUMBER(D6))),AND(E6&lt;&gt;"",NOT(ISNUMBER(E6))),AND(F6&lt;&gt;"",NOT(ISNUMBER(F6)))),"Type sizes as numbers in metres, e.g. 3.2","")</f>
        <v/>
      </c>
      <c r="M6" s="22" t="n"/>
      <c r="N6" s="23" t="n"/>
    </row>
    <row r="7">
      <c r="A7" s="22" t="n"/>
      <c r="B7" s="22" t="n"/>
      <c r="C7" s="22" t="n"/>
      <c r="D7" s="30" t="n"/>
      <c r="E7" s="30" t="n"/>
      <c r="F7" s="30" t="n"/>
      <c r="G7" s="11">
        <f>IF(AND(ISNUMBER(D7),ISNUMBER(E7)),D7*E7,"")</f>
        <v/>
      </c>
      <c r="H7" s="11">
        <f>IF(OR(G7="",C7="Garage",C7="External"),"",2*(D7+E7))</f>
        <v/>
      </c>
      <c r="I7" s="11">
        <f>IF(OR(G7="",C7="External"),"",2*(D7+E7)*IF(ISNUMBER(F7),F7,Settings!$B$15))</f>
        <v/>
      </c>
      <c r="J7" s="11">
        <f>IF(G7="","",G7*(1+Settings!$B$16))</f>
        <v/>
      </c>
      <c r="K7" s="11">
        <f>IF(OR(G7="",C7="External"),"",G7/9.29)</f>
        <v/>
      </c>
      <c r="L7" s="7">
        <f>IF(OR(AND(D7&lt;&gt;"",NOT(ISNUMBER(D7))),AND(E7&lt;&gt;"",NOT(ISNUMBER(E7))),AND(F7&lt;&gt;"",NOT(ISNUMBER(F7)))),"Type sizes as numbers in metres, e.g. 3.2","")</f>
        <v/>
      </c>
      <c r="M7" s="22" t="n"/>
      <c r="N7" s="23" t="n"/>
    </row>
    <row r="8">
      <c r="A8" s="22" t="n"/>
      <c r="B8" s="22" t="n"/>
      <c r="C8" s="22" t="n"/>
      <c r="D8" s="30" t="n"/>
      <c r="E8" s="30" t="n"/>
      <c r="F8" s="30" t="n"/>
      <c r="G8" s="11">
        <f>IF(AND(ISNUMBER(D8),ISNUMBER(E8)),D8*E8,"")</f>
        <v/>
      </c>
      <c r="H8" s="11">
        <f>IF(OR(G8="",C8="Garage",C8="External"),"",2*(D8+E8))</f>
        <v/>
      </c>
      <c r="I8" s="11">
        <f>IF(OR(G8="",C8="External"),"",2*(D8+E8)*IF(ISNUMBER(F8),F8,Settings!$B$15))</f>
        <v/>
      </c>
      <c r="J8" s="11">
        <f>IF(G8="","",G8*(1+Settings!$B$16))</f>
        <v/>
      </c>
      <c r="K8" s="11">
        <f>IF(OR(G8="",C8="External"),"",G8/9.29)</f>
        <v/>
      </c>
      <c r="L8" s="7">
        <f>IF(OR(AND(D8&lt;&gt;"",NOT(ISNUMBER(D8))),AND(E8&lt;&gt;"",NOT(ISNUMBER(E8))),AND(F8&lt;&gt;"",NOT(ISNUMBER(F8)))),"Type sizes as numbers in metres, e.g. 3.2","")</f>
        <v/>
      </c>
      <c r="M8" s="22" t="n"/>
      <c r="N8" s="23" t="n"/>
    </row>
    <row r="9">
      <c r="A9" s="22" t="n"/>
      <c r="B9" s="22" t="n"/>
      <c r="C9" s="22" t="n"/>
      <c r="D9" s="30" t="n"/>
      <c r="E9" s="30" t="n"/>
      <c r="F9" s="30" t="n"/>
      <c r="G9" s="11">
        <f>IF(AND(ISNUMBER(D9),ISNUMBER(E9)),D9*E9,"")</f>
        <v/>
      </c>
      <c r="H9" s="11">
        <f>IF(OR(G9="",C9="Garage",C9="External"),"",2*(D9+E9))</f>
        <v/>
      </c>
      <c r="I9" s="11">
        <f>IF(OR(G9="",C9="External"),"",2*(D9+E9)*IF(ISNUMBER(F9),F9,Settings!$B$15))</f>
        <v/>
      </c>
      <c r="J9" s="11">
        <f>IF(G9="","",G9*(1+Settings!$B$16))</f>
        <v/>
      </c>
      <c r="K9" s="11">
        <f>IF(OR(G9="",C9="External"),"",G9/9.29)</f>
        <v/>
      </c>
      <c r="L9" s="7">
        <f>IF(OR(AND(D9&lt;&gt;"",NOT(ISNUMBER(D9))),AND(E9&lt;&gt;"",NOT(ISNUMBER(E9))),AND(F9&lt;&gt;"",NOT(ISNUMBER(F9)))),"Type sizes as numbers in metres, e.g. 3.2","")</f>
        <v/>
      </c>
      <c r="M9" s="22" t="n"/>
      <c r="N9" s="23" t="n"/>
    </row>
    <row r="10">
      <c r="A10" s="22" t="n"/>
      <c r="B10" s="22" t="n"/>
      <c r="C10" s="22" t="n"/>
      <c r="D10" s="30" t="n"/>
      <c r="E10" s="30" t="n"/>
      <c r="F10" s="30" t="n"/>
      <c r="G10" s="11">
        <f>IF(AND(ISNUMBER(D10),ISNUMBER(E10)),D10*E10,"")</f>
        <v/>
      </c>
      <c r="H10" s="11">
        <f>IF(OR(G10="",C10="Garage",C10="External"),"",2*(D10+E10))</f>
        <v/>
      </c>
      <c r="I10" s="11">
        <f>IF(OR(G10="",C10="External"),"",2*(D10+E10)*IF(ISNUMBER(F10),F10,Settings!$B$15))</f>
        <v/>
      </c>
      <c r="J10" s="11">
        <f>IF(G10="","",G10*(1+Settings!$B$16))</f>
        <v/>
      </c>
      <c r="K10" s="11">
        <f>IF(OR(G10="",C10="External"),"",G10/9.29)</f>
        <v/>
      </c>
      <c r="L10" s="7">
        <f>IF(OR(AND(D10&lt;&gt;"",NOT(ISNUMBER(D10))),AND(E10&lt;&gt;"",NOT(ISNUMBER(E10))),AND(F10&lt;&gt;"",NOT(ISNUMBER(F10)))),"Type sizes as numbers in metres, e.g. 3.2","")</f>
        <v/>
      </c>
      <c r="M10" s="22" t="n"/>
      <c r="N10" s="23" t="n"/>
    </row>
    <row r="11">
      <c r="A11" s="22" t="n"/>
      <c r="B11" s="22" t="n"/>
      <c r="C11" s="22" t="n"/>
      <c r="D11" s="30" t="n"/>
      <c r="E11" s="30" t="n"/>
      <c r="F11" s="30" t="n"/>
      <c r="G11" s="11">
        <f>IF(AND(ISNUMBER(D11),ISNUMBER(E11)),D11*E11,"")</f>
        <v/>
      </c>
      <c r="H11" s="11">
        <f>IF(OR(G11="",C11="Garage",C11="External"),"",2*(D11+E11))</f>
        <v/>
      </c>
      <c r="I11" s="11">
        <f>IF(OR(G11="",C11="External"),"",2*(D11+E11)*IF(ISNUMBER(F11),F11,Settings!$B$15))</f>
        <v/>
      </c>
      <c r="J11" s="11">
        <f>IF(G11="","",G11*(1+Settings!$B$16))</f>
        <v/>
      </c>
      <c r="K11" s="11">
        <f>IF(OR(G11="",C11="External"),"",G11/9.29)</f>
        <v/>
      </c>
      <c r="L11" s="7">
        <f>IF(OR(AND(D11&lt;&gt;"",NOT(ISNUMBER(D11))),AND(E11&lt;&gt;"",NOT(ISNUMBER(E11))),AND(F11&lt;&gt;"",NOT(ISNUMBER(F11)))),"Type sizes as numbers in metres, e.g. 3.2","")</f>
        <v/>
      </c>
      <c r="M11" s="22" t="n"/>
      <c r="N11" s="23" t="n"/>
    </row>
    <row r="12">
      <c r="A12" s="22" t="n"/>
      <c r="B12" s="22" t="n"/>
      <c r="C12" s="22" t="n"/>
      <c r="D12" s="30" t="n"/>
      <c r="E12" s="30" t="n"/>
      <c r="F12" s="30" t="n"/>
      <c r="G12" s="11">
        <f>IF(AND(ISNUMBER(D12),ISNUMBER(E12)),D12*E12,"")</f>
        <v/>
      </c>
      <c r="H12" s="11">
        <f>IF(OR(G12="",C12="Garage",C12="External"),"",2*(D12+E12))</f>
        <v/>
      </c>
      <c r="I12" s="11">
        <f>IF(OR(G12="",C12="External"),"",2*(D12+E12)*IF(ISNUMBER(F12),F12,Settings!$B$15))</f>
        <v/>
      </c>
      <c r="J12" s="11">
        <f>IF(G12="","",G12*(1+Settings!$B$16))</f>
        <v/>
      </c>
      <c r="K12" s="11">
        <f>IF(OR(G12="",C12="External"),"",G12/9.29)</f>
        <v/>
      </c>
      <c r="L12" s="7">
        <f>IF(OR(AND(D12&lt;&gt;"",NOT(ISNUMBER(D12))),AND(E12&lt;&gt;"",NOT(ISNUMBER(E12))),AND(F12&lt;&gt;"",NOT(ISNUMBER(F12)))),"Type sizes as numbers in metres, e.g. 3.2","")</f>
        <v/>
      </c>
      <c r="M12" s="22" t="n"/>
      <c r="N12" s="23" t="n"/>
    </row>
    <row r="13">
      <c r="A13" s="22" t="n"/>
      <c r="B13" s="22" t="n"/>
      <c r="C13" s="22" t="n"/>
      <c r="D13" s="30" t="n"/>
      <c r="E13" s="30" t="n"/>
      <c r="F13" s="30" t="n"/>
      <c r="G13" s="11">
        <f>IF(AND(ISNUMBER(D13),ISNUMBER(E13)),D13*E13,"")</f>
        <v/>
      </c>
      <c r="H13" s="11">
        <f>IF(OR(G13="",C13="Garage",C13="External"),"",2*(D13+E13))</f>
        <v/>
      </c>
      <c r="I13" s="11">
        <f>IF(OR(G13="",C13="External"),"",2*(D13+E13)*IF(ISNUMBER(F13),F13,Settings!$B$15))</f>
        <v/>
      </c>
      <c r="J13" s="11">
        <f>IF(G13="","",G13*(1+Settings!$B$16))</f>
        <v/>
      </c>
      <c r="K13" s="11">
        <f>IF(OR(G13="",C13="External"),"",G13/9.29)</f>
        <v/>
      </c>
      <c r="L13" s="7">
        <f>IF(OR(AND(D13&lt;&gt;"",NOT(ISNUMBER(D13))),AND(E13&lt;&gt;"",NOT(ISNUMBER(E13))),AND(F13&lt;&gt;"",NOT(ISNUMBER(F13)))),"Type sizes as numbers in metres, e.g. 3.2","")</f>
        <v/>
      </c>
      <c r="M13" s="22" t="n"/>
      <c r="N13" s="23" t="n"/>
    </row>
    <row r="14">
      <c r="A14" s="22" t="n"/>
      <c r="B14" s="22" t="n"/>
      <c r="C14" s="22" t="n"/>
      <c r="D14" s="30" t="n"/>
      <c r="E14" s="30" t="n"/>
      <c r="F14" s="30" t="n"/>
      <c r="G14" s="11">
        <f>IF(AND(ISNUMBER(D14),ISNUMBER(E14)),D14*E14,"")</f>
        <v/>
      </c>
      <c r="H14" s="11">
        <f>IF(OR(G14="",C14="Garage",C14="External"),"",2*(D14+E14))</f>
        <v/>
      </c>
      <c r="I14" s="11">
        <f>IF(OR(G14="",C14="External"),"",2*(D14+E14)*IF(ISNUMBER(F14),F14,Settings!$B$15))</f>
        <v/>
      </c>
      <c r="J14" s="11">
        <f>IF(G14="","",G14*(1+Settings!$B$16))</f>
        <v/>
      </c>
      <c r="K14" s="11">
        <f>IF(OR(G14="",C14="External"),"",G14/9.29)</f>
        <v/>
      </c>
      <c r="L14" s="7">
        <f>IF(OR(AND(D14&lt;&gt;"",NOT(ISNUMBER(D14))),AND(E14&lt;&gt;"",NOT(ISNUMBER(E14))),AND(F14&lt;&gt;"",NOT(ISNUMBER(F14)))),"Type sizes as numbers in metres, e.g. 3.2","")</f>
        <v/>
      </c>
      <c r="M14" s="22" t="n"/>
      <c r="N14" s="23" t="n"/>
    </row>
    <row r="15">
      <c r="A15" s="22" t="n"/>
      <c r="B15" s="22" t="n"/>
      <c r="C15" s="22" t="n"/>
      <c r="D15" s="30" t="n"/>
      <c r="E15" s="30" t="n"/>
      <c r="F15" s="30" t="n"/>
      <c r="G15" s="11">
        <f>IF(AND(ISNUMBER(D15),ISNUMBER(E15)),D15*E15,"")</f>
        <v/>
      </c>
      <c r="H15" s="11">
        <f>IF(OR(G15="",C15="Garage",C15="External"),"",2*(D15+E15))</f>
        <v/>
      </c>
      <c r="I15" s="11">
        <f>IF(OR(G15="",C15="External"),"",2*(D15+E15)*IF(ISNUMBER(F15),F15,Settings!$B$15))</f>
        <v/>
      </c>
      <c r="J15" s="11">
        <f>IF(G15="","",G15*(1+Settings!$B$16))</f>
        <v/>
      </c>
      <c r="K15" s="11">
        <f>IF(OR(G15="",C15="External"),"",G15/9.29)</f>
        <v/>
      </c>
      <c r="L15" s="7">
        <f>IF(OR(AND(D15&lt;&gt;"",NOT(ISNUMBER(D15))),AND(E15&lt;&gt;"",NOT(ISNUMBER(E15))),AND(F15&lt;&gt;"",NOT(ISNUMBER(F15)))),"Type sizes as numbers in metres, e.g. 3.2","")</f>
        <v/>
      </c>
      <c r="M15" s="22" t="n"/>
      <c r="N15" s="23" t="n"/>
    </row>
    <row r="16">
      <c r="A16" s="22" t="n"/>
      <c r="B16" s="22" t="n"/>
      <c r="C16" s="22" t="n"/>
      <c r="D16" s="30" t="n"/>
      <c r="E16" s="30" t="n"/>
      <c r="F16" s="30" t="n"/>
      <c r="G16" s="11">
        <f>IF(AND(ISNUMBER(D16),ISNUMBER(E16)),D16*E16,"")</f>
        <v/>
      </c>
      <c r="H16" s="11">
        <f>IF(OR(G16="",C16="Garage",C16="External"),"",2*(D16+E16))</f>
        <v/>
      </c>
      <c r="I16" s="11">
        <f>IF(OR(G16="",C16="External"),"",2*(D16+E16)*IF(ISNUMBER(F16),F16,Settings!$B$15))</f>
        <v/>
      </c>
      <c r="J16" s="11">
        <f>IF(G16="","",G16*(1+Settings!$B$16))</f>
        <v/>
      </c>
      <c r="K16" s="11">
        <f>IF(OR(G16="",C16="External"),"",G16/9.29)</f>
        <v/>
      </c>
      <c r="L16" s="7">
        <f>IF(OR(AND(D16&lt;&gt;"",NOT(ISNUMBER(D16))),AND(E16&lt;&gt;"",NOT(ISNUMBER(E16))),AND(F16&lt;&gt;"",NOT(ISNUMBER(F16)))),"Type sizes as numbers in metres, e.g. 3.2","")</f>
        <v/>
      </c>
      <c r="M16" s="22" t="n"/>
      <c r="N16" s="23" t="n"/>
    </row>
    <row r="17">
      <c r="A17" s="22" t="n"/>
      <c r="B17" s="22" t="n"/>
      <c r="C17" s="22" t="n"/>
      <c r="D17" s="30" t="n"/>
      <c r="E17" s="30" t="n"/>
      <c r="F17" s="30" t="n"/>
      <c r="G17" s="11">
        <f>IF(AND(ISNUMBER(D17),ISNUMBER(E17)),D17*E17,"")</f>
        <v/>
      </c>
      <c r="H17" s="11">
        <f>IF(OR(G17="",C17="Garage",C17="External"),"",2*(D17+E17))</f>
        <v/>
      </c>
      <c r="I17" s="11">
        <f>IF(OR(G17="",C17="External"),"",2*(D17+E17)*IF(ISNUMBER(F17),F17,Settings!$B$15))</f>
        <v/>
      </c>
      <c r="J17" s="11">
        <f>IF(G17="","",G17*(1+Settings!$B$16))</f>
        <v/>
      </c>
      <c r="K17" s="11">
        <f>IF(OR(G17="",C17="External"),"",G17/9.29)</f>
        <v/>
      </c>
      <c r="L17" s="7">
        <f>IF(OR(AND(D17&lt;&gt;"",NOT(ISNUMBER(D17))),AND(E17&lt;&gt;"",NOT(ISNUMBER(E17))),AND(F17&lt;&gt;"",NOT(ISNUMBER(F17)))),"Type sizes as numbers in metres, e.g. 3.2","")</f>
        <v/>
      </c>
      <c r="M17" s="22" t="n"/>
      <c r="N17" s="23" t="n"/>
    </row>
    <row r="18">
      <c r="A18" s="22" t="n"/>
      <c r="B18" s="22" t="n"/>
      <c r="C18" s="22" t="n"/>
      <c r="D18" s="30" t="n"/>
      <c r="E18" s="30" t="n"/>
      <c r="F18" s="30" t="n"/>
      <c r="G18" s="11">
        <f>IF(AND(ISNUMBER(D18),ISNUMBER(E18)),D18*E18,"")</f>
        <v/>
      </c>
      <c r="H18" s="11">
        <f>IF(OR(G18="",C18="Garage",C18="External"),"",2*(D18+E18))</f>
        <v/>
      </c>
      <c r="I18" s="11">
        <f>IF(OR(G18="",C18="External"),"",2*(D18+E18)*IF(ISNUMBER(F18),F18,Settings!$B$15))</f>
        <v/>
      </c>
      <c r="J18" s="11">
        <f>IF(G18="","",G18*(1+Settings!$B$16))</f>
        <v/>
      </c>
      <c r="K18" s="11">
        <f>IF(OR(G18="",C18="External"),"",G18/9.29)</f>
        <v/>
      </c>
      <c r="L18" s="7">
        <f>IF(OR(AND(D18&lt;&gt;"",NOT(ISNUMBER(D18))),AND(E18&lt;&gt;"",NOT(ISNUMBER(E18))),AND(F18&lt;&gt;"",NOT(ISNUMBER(F18)))),"Type sizes as numbers in metres, e.g. 3.2","")</f>
        <v/>
      </c>
      <c r="M18" s="22" t="n"/>
      <c r="N18" s="23" t="n"/>
    </row>
    <row r="19">
      <c r="A19" s="22" t="n"/>
      <c r="B19" s="22" t="n"/>
      <c r="C19" s="22" t="n"/>
      <c r="D19" s="30" t="n"/>
      <c r="E19" s="30" t="n"/>
      <c r="F19" s="30" t="n"/>
      <c r="G19" s="11">
        <f>IF(AND(ISNUMBER(D19),ISNUMBER(E19)),D19*E19,"")</f>
        <v/>
      </c>
      <c r="H19" s="11">
        <f>IF(OR(G19="",C19="Garage",C19="External"),"",2*(D19+E19))</f>
        <v/>
      </c>
      <c r="I19" s="11">
        <f>IF(OR(G19="",C19="External"),"",2*(D19+E19)*IF(ISNUMBER(F19),F19,Settings!$B$15))</f>
        <v/>
      </c>
      <c r="J19" s="11">
        <f>IF(G19="","",G19*(1+Settings!$B$16))</f>
        <v/>
      </c>
      <c r="K19" s="11">
        <f>IF(OR(G19="",C19="External"),"",G19/9.29)</f>
        <v/>
      </c>
      <c r="L19" s="7">
        <f>IF(OR(AND(D19&lt;&gt;"",NOT(ISNUMBER(D19))),AND(E19&lt;&gt;"",NOT(ISNUMBER(E19))),AND(F19&lt;&gt;"",NOT(ISNUMBER(F19)))),"Type sizes as numbers in metres, e.g. 3.2","")</f>
        <v/>
      </c>
      <c r="M19" s="22" t="n"/>
      <c r="N19" s="23" t="n"/>
    </row>
    <row r="20">
      <c r="A20" s="22" t="n"/>
      <c r="B20" s="22" t="n"/>
      <c r="C20" s="22" t="n"/>
      <c r="D20" s="30" t="n"/>
      <c r="E20" s="30" t="n"/>
      <c r="F20" s="30" t="n"/>
      <c r="G20" s="11">
        <f>IF(AND(ISNUMBER(D20),ISNUMBER(E20)),D20*E20,"")</f>
        <v/>
      </c>
      <c r="H20" s="11">
        <f>IF(OR(G20="",C20="Garage",C20="External"),"",2*(D20+E20))</f>
        <v/>
      </c>
      <c r="I20" s="11">
        <f>IF(OR(G20="",C20="External"),"",2*(D20+E20)*IF(ISNUMBER(F20),F20,Settings!$B$15))</f>
        <v/>
      </c>
      <c r="J20" s="11">
        <f>IF(G20="","",G20*(1+Settings!$B$16))</f>
        <v/>
      </c>
      <c r="K20" s="11">
        <f>IF(OR(G20="",C20="External"),"",G20/9.29)</f>
        <v/>
      </c>
      <c r="L20" s="7">
        <f>IF(OR(AND(D20&lt;&gt;"",NOT(ISNUMBER(D20))),AND(E20&lt;&gt;"",NOT(ISNUMBER(E20))),AND(F20&lt;&gt;"",NOT(ISNUMBER(F20)))),"Type sizes as numbers in metres, e.g. 3.2","")</f>
        <v/>
      </c>
      <c r="M20" s="22" t="n"/>
      <c r="N20" s="23" t="n"/>
    </row>
    <row r="21">
      <c r="A21" s="22" t="n"/>
      <c r="B21" s="22" t="n"/>
      <c r="C21" s="22" t="n"/>
      <c r="D21" s="30" t="n"/>
      <c r="E21" s="30" t="n"/>
      <c r="F21" s="30" t="n"/>
      <c r="G21" s="11">
        <f>IF(AND(ISNUMBER(D21),ISNUMBER(E21)),D21*E21,"")</f>
        <v/>
      </c>
      <c r="H21" s="11">
        <f>IF(OR(G21="",C21="Garage",C21="External"),"",2*(D21+E21))</f>
        <v/>
      </c>
      <c r="I21" s="11">
        <f>IF(OR(G21="",C21="External"),"",2*(D21+E21)*IF(ISNUMBER(F21),F21,Settings!$B$15))</f>
        <v/>
      </c>
      <c r="J21" s="11">
        <f>IF(G21="","",G21*(1+Settings!$B$16))</f>
        <v/>
      </c>
      <c r="K21" s="11">
        <f>IF(OR(G21="",C21="External"),"",G21/9.29)</f>
        <v/>
      </c>
      <c r="L21" s="7">
        <f>IF(OR(AND(D21&lt;&gt;"",NOT(ISNUMBER(D21))),AND(E21&lt;&gt;"",NOT(ISNUMBER(E21))),AND(F21&lt;&gt;"",NOT(ISNUMBER(F21)))),"Type sizes as numbers in metres, e.g. 3.2","")</f>
        <v/>
      </c>
      <c r="M21" s="22" t="n"/>
      <c r="N21" s="23" t="n"/>
    </row>
    <row r="22">
      <c r="A22" s="22" t="n"/>
      <c r="B22" s="22" t="n"/>
      <c r="C22" s="22" t="n"/>
      <c r="D22" s="30" t="n"/>
      <c r="E22" s="30" t="n"/>
      <c r="F22" s="30" t="n"/>
      <c r="G22" s="11">
        <f>IF(AND(ISNUMBER(D22),ISNUMBER(E22)),D22*E22,"")</f>
        <v/>
      </c>
      <c r="H22" s="11">
        <f>IF(OR(G22="",C22="Garage",C22="External"),"",2*(D22+E22))</f>
        <v/>
      </c>
      <c r="I22" s="11">
        <f>IF(OR(G22="",C22="External"),"",2*(D22+E22)*IF(ISNUMBER(F22),F22,Settings!$B$15))</f>
        <v/>
      </c>
      <c r="J22" s="11">
        <f>IF(G22="","",G22*(1+Settings!$B$16))</f>
        <v/>
      </c>
      <c r="K22" s="11">
        <f>IF(OR(G22="",C22="External"),"",G22/9.29)</f>
        <v/>
      </c>
      <c r="L22" s="7">
        <f>IF(OR(AND(D22&lt;&gt;"",NOT(ISNUMBER(D22))),AND(E22&lt;&gt;"",NOT(ISNUMBER(E22))),AND(F22&lt;&gt;"",NOT(ISNUMBER(F22)))),"Type sizes as numbers in metres, e.g. 3.2","")</f>
        <v/>
      </c>
      <c r="M22" s="22" t="n"/>
      <c r="N22" s="23" t="n"/>
    </row>
    <row r="23">
      <c r="A23" s="22" t="n"/>
      <c r="B23" s="22" t="n"/>
      <c r="C23" s="22" t="n"/>
      <c r="D23" s="30" t="n"/>
      <c r="E23" s="30" t="n"/>
      <c r="F23" s="30" t="n"/>
      <c r="G23" s="11">
        <f>IF(AND(ISNUMBER(D23),ISNUMBER(E23)),D23*E23,"")</f>
        <v/>
      </c>
      <c r="H23" s="11">
        <f>IF(OR(G23="",C23="Garage",C23="External"),"",2*(D23+E23))</f>
        <v/>
      </c>
      <c r="I23" s="11">
        <f>IF(OR(G23="",C23="External"),"",2*(D23+E23)*IF(ISNUMBER(F23),F23,Settings!$B$15))</f>
        <v/>
      </c>
      <c r="J23" s="11">
        <f>IF(G23="","",G23*(1+Settings!$B$16))</f>
        <v/>
      </c>
      <c r="K23" s="11">
        <f>IF(OR(G23="",C23="External"),"",G23/9.29)</f>
        <v/>
      </c>
      <c r="L23" s="7">
        <f>IF(OR(AND(D23&lt;&gt;"",NOT(ISNUMBER(D23))),AND(E23&lt;&gt;"",NOT(ISNUMBER(E23))),AND(F23&lt;&gt;"",NOT(ISNUMBER(F23)))),"Type sizes as numbers in metres, e.g. 3.2","")</f>
        <v/>
      </c>
      <c r="M23" s="22" t="n"/>
      <c r="N23" s="23" t="n"/>
    </row>
    <row r="24">
      <c r="A24" s="22" t="n"/>
      <c r="B24" s="22" t="n"/>
      <c r="C24" s="22" t="n"/>
      <c r="D24" s="30" t="n"/>
      <c r="E24" s="30" t="n"/>
      <c r="F24" s="30" t="n"/>
      <c r="G24" s="11">
        <f>IF(AND(ISNUMBER(D24),ISNUMBER(E24)),D24*E24,"")</f>
        <v/>
      </c>
      <c r="H24" s="11">
        <f>IF(OR(G24="",C24="Garage",C24="External"),"",2*(D24+E24))</f>
        <v/>
      </c>
      <c r="I24" s="11">
        <f>IF(OR(G24="",C24="External"),"",2*(D24+E24)*IF(ISNUMBER(F24),F24,Settings!$B$15))</f>
        <v/>
      </c>
      <c r="J24" s="11">
        <f>IF(G24="","",G24*(1+Settings!$B$16))</f>
        <v/>
      </c>
      <c r="K24" s="11">
        <f>IF(OR(G24="",C24="External"),"",G24/9.29)</f>
        <v/>
      </c>
      <c r="L24" s="7">
        <f>IF(OR(AND(D24&lt;&gt;"",NOT(ISNUMBER(D24))),AND(E24&lt;&gt;"",NOT(ISNUMBER(E24))),AND(F24&lt;&gt;"",NOT(ISNUMBER(F24)))),"Type sizes as numbers in metres, e.g. 3.2","")</f>
        <v/>
      </c>
      <c r="M24" s="22" t="n"/>
      <c r="N24" s="23" t="n"/>
    </row>
    <row r="25">
      <c r="A25" s="22" t="n"/>
      <c r="B25" s="22" t="n"/>
      <c r="C25" s="22" t="n"/>
      <c r="D25" s="30" t="n"/>
      <c r="E25" s="30" t="n"/>
      <c r="F25" s="30" t="n"/>
      <c r="G25" s="11">
        <f>IF(AND(ISNUMBER(D25),ISNUMBER(E25)),D25*E25,"")</f>
        <v/>
      </c>
      <c r="H25" s="11">
        <f>IF(OR(G25="",C25="Garage",C25="External"),"",2*(D25+E25))</f>
        <v/>
      </c>
      <c r="I25" s="11">
        <f>IF(OR(G25="",C25="External"),"",2*(D25+E25)*IF(ISNUMBER(F25),F25,Settings!$B$15))</f>
        <v/>
      </c>
      <c r="J25" s="11">
        <f>IF(G25="","",G25*(1+Settings!$B$16))</f>
        <v/>
      </c>
      <c r="K25" s="11">
        <f>IF(OR(G25="",C25="External"),"",G25/9.29)</f>
        <v/>
      </c>
      <c r="L25" s="7">
        <f>IF(OR(AND(D25&lt;&gt;"",NOT(ISNUMBER(D25))),AND(E25&lt;&gt;"",NOT(ISNUMBER(E25))),AND(F25&lt;&gt;"",NOT(ISNUMBER(F25)))),"Type sizes as numbers in metres, e.g. 3.2","")</f>
        <v/>
      </c>
      <c r="M25" s="22" t="n"/>
      <c r="N25" s="23" t="n"/>
    </row>
    <row r="26">
      <c r="A26" s="22" t="n"/>
      <c r="B26" s="22" t="n"/>
      <c r="C26" s="22" t="n"/>
      <c r="D26" s="30" t="n"/>
      <c r="E26" s="30" t="n"/>
      <c r="F26" s="30" t="n"/>
      <c r="G26" s="11">
        <f>IF(AND(ISNUMBER(D26),ISNUMBER(E26)),D26*E26,"")</f>
        <v/>
      </c>
      <c r="H26" s="11">
        <f>IF(OR(G26="",C26="Garage",C26="External"),"",2*(D26+E26))</f>
        <v/>
      </c>
      <c r="I26" s="11">
        <f>IF(OR(G26="",C26="External"),"",2*(D26+E26)*IF(ISNUMBER(F26),F26,Settings!$B$15))</f>
        <v/>
      </c>
      <c r="J26" s="11">
        <f>IF(G26="","",G26*(1+Settings!$B$16))</f>
        <v/>
      </c>
      <c r="K26" s="11">
        <f>IF(OR(G26="",C26="External"),"",G26/9.29)</f>
        <v/>
      </c>
      <c r="L26" s="7">
        <f>IF(OR(AND(D26&lt;&gt;"",NOT(ISNUMBER(D26))),AND(E26&lt;&gt;"",NOT(ISNUMBER(E26))),AND(F26&lt;&gt;"",NOT(ISNUMBER(F26)))),"Type sizes as numbers in metres, e.g. 3.2","")</f>
        <v/>
      </c>
      <c r="M26" s="22" t="n"/>
      <c r="N26" s="23" t="n"/>
    </row>
    <row r="27">
      <c r="A27" s="22" t="n"/>
      <c r="B27" s="22" t="n"/>
      <c r="C27" s="22" t="n"/>
      <c r="D27" s="30" t="n"/>
      <c r="E27" s="30" t="n"/>
      <c r="F27" s="30" t="n"/>
      <c r="G27" s="11">
        <f>IF(AND(ISNUMBER(D27),ISNUMBER(E27)),D27*E27,"")</f>
        <v/>
      </c>
      <c r="H27" s="11">
        <f>IF(OR(G27="",C27="Garage",C27="External"),"",2*(D27+E27))</f>
        <v/>
      </c>
      <c r="I27" s="11">
        <f>IF(OR(G27="",C27="External"),"",2*(D27+E27)*IF(ISNUMBER(F27),F27,Settings!$B$15))</f>
        <v/>
      </c>
      <c r="J27" s="11">
        <f>IF(G27="","",G27*(1+Settings!$B$16))</f>
        <v/>
      </c>
      <c r="K27" s="11">
        <f>IF(OR(G27="",C27="External"),"",G27/9.29)</f>
        <v/>
      </c>
      <c r="L27" s="7">
        <f>IF(OR(AND(D27&lt;&gt;"",NOT(ISNUMBER(D27))),AND(E27&lt;&gt;"",NOT(ISNUMBER(E27))),AND(F27&lt;&gt;"",NOT(ISNUMBER(F27)))),"Type sizes as numbers in metres, e.g. 3.2","")</f>
        <v/>
      </c>
      <c r="M27" s="22" t="n"/>
      <c r="N27" s="23" t="n"/>
    </row>
    <row r="28">
      <c r="A28" s="22" t="n"/>
      <c r="B28" s="22" t="n"/>
      <c r="C28" s="22" t="n"/>
      <c r="D28" s="30" t="n"/>
      <c r="E28" s="30" t="n"/>
      <c r="F28" s="30" t="n"/>
      <c r="G28" s="11">
        <f>IF(AND(ISNUMBER(D28),ISNUMBER(E28)),D28*E28,"")</f>
        <v/>
      </c>
      <c r="H28" s="11">
        <f>IF(OR(G28="",C28="Garage",C28="External"),"",2*(D28+E28))</f>
        <v/>
      </c>
      <c r="I28" s="11">
        <f>IF(OR(G28="",C28="External"),"",2*(D28+E28)*IF(ISNUMBER(F28),F28,Settings!$B$15))</f>
        <v/>
      </c>
      <c r="J28" s="11">
        <f>IF(G28="","",G28*(1+Settings!$B$16))</f>
        <v/>
      </c>
      <c r="K28" s="11">
        <f>IF(OR(G28="",C28="External"),"",G28/9.29)</f>
        <v/>
      </c>
      <c r="L28" s="7">
        <f>IF(OR(AND(D28&lt;&gt;"",NOT(ISNUMBER(D28))),AND(E28&lt;&gt;"",NOT(ISNUMBER(E28))),AND(F28&lt;&gt;"",NOT(ISNUMBER(F28)))),"Type sizes as numbers in metres, e.g. 3.2","")</f>
        <v/>
      </c>
      <c r="M28" s="22" t="n"/>
      <c r="N28" s="23" t="n"/>
    </row>
    <row r="29">
      <c r="A29" s="22" t="n"/>
      <c r="B29" s="22" t="n"/>
      <c r="C29" s="22" t="n"/>
      <c r="D29" s="30" t="n"/>
      <c r="E29" s="30" t="n"/>
      <c r="F29" s="30" t="n"/>
      <c r="G29" s="11">
        <f>IF(AND(ISNUMBER(D29),ISNUMBER(E29)),D29*E29,"")</f>
        <v/>
      </c>
      <c r="H29" s="11">
        <f>IF(OR(G29="",C29="Garage",C29="External"),"",2*(D29+E29))</f>
        <v/>
      </c>
      <c r="I29" s="11">
        <f>IF(OR(G29="",C29="External"),"",2*(D29+E29)*IF(ISNUMBER(F29),F29,Settings!$B$15))</f>
        <v/>
      </c>
      <c r="J29" s="11">
        <f>IF(G29="","",G29*(1+Settings!$B$16))</f>
        <v/>
      </c>
      <c r="K29" s="11">
        <f>IF(OR(G29="",C29="External"),"",G29/9.29)</f>
        <v/>
      </c>
      <c r="L29" s="7">
        <f>IF(OR(AND(D29&lt;&gt;"",NOT(ISNUMBER(D29))),AND(E29&lt;&gt;"",NOT(ISNUMBER(E29))),AND(F29&lt;&gt;"",NOT(ISNUMBER(F29)))),"Type sizes as numbers in metres, e.g. 3.2","")</f>
        <v/>
      </c>
      <c r="M29" s="22" t="n"/>
      <c r="N29" s="23" t="n"/>
    </row>
    <row r="30">
      <c r="A30" s="22" t="n"/>
      <c r="B30" s="22" t="n"/>
      <c r="C30" s="22" t="n"/>
      <c r="D30" s="30" t="n"/>
      <c r="E30" s="30" t="n"/>
      <c r="F30" s="30" t="n"/>
      <c r="G30" s="11">
        <f>IF(AND(ISNUMBER(D30),ISNUMBER(E30)),D30*E30,"")</f>
        <v/>
      </c>
      <c r="H30" s="11">
        <f>IF(OR(G30="",C30="Garage",C30="External"),"",2*(D30+E30))</f>
        <v/>
      </c>
      <c r="I30" s="11">
        <f>IF(OR(G30="",C30="External"),"",2*(D30+E30)*IF(ISNUMBER(F30),F30,Settings!$B$15))</f>
        <v/>
      </c>
      <c r="J30" s="11">
        <f>IF(G30="","",G30*(1+Settings!$B$16))</f>
        <v/>
      </c>
      <c r="K30" s="11">
        <f>IF(OR(G30="",C30="External"),"",G30/9.29)</f>
        <v/>
      </c>
      <c r="L30" s="7">
        <f>IF(OR(AND(D30&lt;&gt;"",NOT(ISNUMBER(D30))),AND(E30&lt;&gt;"",NOT(ISNUMBER(E30))),AND(F30&lt;&gt;"",NOT(ISNUMBER(F30)))),"Type sizes as numbers in metres, e.g. 3.2","")</f>
        <v/>
      </c>
      <c r="M30" s="22" t="n"/>
      <c r="N30" s="23" t="n"/>
    </row>
    <row r="31">
      <c r="A31" s="22" t="n"/>
      <c r="B31" s="22" t="n"/>
      <c r="C31" s="22" t="n"/>
      <c r="D31" s="30" t="n"/>
      <c r="E31" s="30" t="n"/>
      <c r="F31" s="30" t="n"/>
      <c r="G31" s="11">
        <f>IF(AND(ISNUMBER(D31),ISNUMBER(E31)),D31*E31,"")</f>
        <v/>
      </c>
      <c r="H31" s="11">
        <f>IF(OR(G31="",C31="Garage",C31="External"),"",2*(D31+E31))</f>
        <v/>
      </c>
      <c r="I31" s="11">
        <f>IF(OR(G31="",C31="External"),"",2*(D31+E31)*IF(ISNUMBER(F31),F31,Settings!$B$15))</f>
        <v/>
      </c>
      <c r="J31" s="11">
        <f>IF(G31="","",G31*(1+Settings!$B$16))</f>
        <v/>
      </c>
      <c r="K31" s="11">
        <f>IF(OR(G31="",C31="External"),"",G31/9.29)</f>
        <v/>
      </c>
      <c r="L31" s="7">
        <f>IF(OR(AND(D31&lt;&gt;"",NOT(ISNUMBER(D31))),AND(E31&lt;&gt;"",NOT(ISNUMBER(E31))),AND(F31&lt;&gt;"",NOT(ISNUMBER(F31)))),"Type sizes as numbers in metres, e.g. 3.2","")</f>
        <v/>
      </c>
      <c r="M31" s="22" t="n"/>
      <c r="N31" s="23" t="n"/>
    </row>
    <row r="32">
      <c r="A32" s="22" t="n"/>
      <c r="B32" s="22" t="n"/>
      <c r="C32" s="22" t="n"/>
      <c r="D32" s="30" t="n"/>
      <c r="E32" s="30" t="n"/>
      <c r="F32" s="30" t="n"/>
      <c r="G32" s="11">
        <f>IF(AND(ISNUMBER(D32),ISNUMBER(E32)),D32*E32,"")</f>
        <v/>
      </c>
      <c r="H32" s="11">
        <f>IF(OR(G32="",C32="Garage",C32="External"),"",2*(D32+E32))</f>
        <v/>
      </c>
      <c r="I32" s="11">
        <f>IF(OR(G32="",C32="External"),"",2*(D32+E32)*IF(ISNUMBER(F32),F32,Settings!$B$15))</f>
        <v/>
      </c>
      <c r="J32" s="11">
        <f>IF(G32="","",G32*(1+Settings!$B$16))</f>
        <v/>
      </c>
      <c r="K32" s="11">
        <f>IF(OR(G32="",C32="External"),"",G32/9.29)</f>
        <v/>
      </c>
      <c r="L32" s="7">
        <f>IF(OR(AND(D32&lt;&gt;"",NOT(ISNUMBER(D32))),AND(E32&lt;&gt;"",NOT(ISNUMBER(E32))),AND(F32&lt;&gt;"",NOT(ISNUMBER(F32)))),"Type sizes as numbers in metres, e.g. 3.2","")</f>
        <v/>
      </c>
      <c r="M32" s="22" t="n"/>
      <c r="N32" s="23" t="n"/>
    </row>
    <row r="33">
      <c r="A33" s="22" t="n"/>
      <c r="B33" s="22" t="n"/>
      <c r="C33" s="22" t="n"/>
      <c r="D33" s="30" t="n"/>
      <c r="E33" s="30" t="n"/>
      <c r="F33" s="30" t="n"/>
      <c r="G33" s="11">
        <f>IF(AND(ISNUMBER(D33),ISNUMBER(E33)),D33*E33,"")</f>
        <v/>
      </c>
      <c r="H33" s="11">
        <f>IF(OR(G33="",C33="Garage",C33="External"),"",2*(D33+E33))</f>
        <v/>
      </c>
      <c r="I33" s="11">
        <f>IF(OR(G33="",C33="External"),"",2*(D33+E33)*IF(ISNUMBER(F33),F33,Settings!$B$15))</f>
        <v/>
      </c>
      <c r="J33" s="11">
        <f>IF(G33="","",G33*(1+Settings!$B$16))</f>
        <v/>
      </c>
      <c r="K33" s="11">
        <f>IF(OR(G33="",C33="External"),"",G33/9.29)</f>
        <v/>
      </c>
      <c r="L33" s="7">
        <f>IF(OR(AND(D33&lt;&gt;"",NOT(ISNUMBER(D33))),AND(E33&lt;&gt;"",NOT(ISNUMBER(E33))),AND(F33&lt;&gt;"",NOT(ISNUMBER(F33)))),"Type sizes as numbers in metres, e.g. 3.2","")</f>
        <v/>
      </c>
      <c r="M33" s="22" t="n"/>
      <c r="N33" s="23" t="n"/>
    </row>
    <row r="34">
      <c r="A34" s="22" t="n"/>
      <c r="B34" s="22" t="n"/>
      <c r="C34" s="22" t="n"/>
      <c r="D34" s="30" t="n"/>
      <c r="E34" s="30" t="n"/>
      <c r="F34" s="30" t="n"/>
      <c r="G34" s="11">
        <f>IF(AND(ISNUMBER(D34),ISNUMBER(E34)),D34*E34,"")</f>
        <v/>
      </c>
      <c r="H34" s="11">
        <f>IF(OR(G34="",C34="Garage",C34="External"),"",2*(D34+E34))</f>
        <v/>
      </c>
      <c r="I34" s="11">
        <f>IF(OR(G34="",C34="External"),"",2*(D34+E34)*IF(ISNUMBER(F34),F34,Settings!$B$15))</f>
        <v/>
      </c>
      <c r="J34" s="11">
        <f>IF(G34="","",G34*(1+Settings!$B$16))</f>
        <v/>
      </c>
      <c r="K34" s="11">
        <f>IF(OR(G34="",C34="External"),"",G34/9.29)</f>
        <v/>
      </c>
      <c r="L34" s="7">
        <f>IF(OR(AND(D34&lt;&gt;"",NOT(ISNUMBER(D34))),AND(E34&lt;&gt;"",NOT(ISNUMBER(E34))),AND(F34&lt;&gt;"",NOT(ISNUMBER(F34)))),"Type sizes as numbers in metres, e.g. 3.2","")</f>
        <v/>
      </c>
      <c r="M34" s="22" t="n"/>
      <c r="N34" s="23" t="n"/>
    </row>
    <row r="35">
      <c r="A35" s="22" t="n"/>
      <c r="B35" s="22" t="n"/>
      <c r="C35" s="22" t="n"/>
      <c r="D35" s="30" t="n"/>
      <c r="E35" s="30" t="n"/>
      <c r="F35" s="30" t="n"/>
      <c r="G35" s="11">
        <f>IF(AND(ISNUMBER(D35),ISNUMBER(E35)),D35*E35,"")</f>
        <v/>
      </c>
      <c r="H35" s="11">
        <f>IF(OR(G35="",C35="Garage",C35="External"),"",2*(D35+E35))</f>
        <v/>
      </c>
      <c r="I35" s="11">
        <f>IF(OR(G35="",C35="External"),"",2*(D35+E35)*IF(ISNUMBER(F35),F35,Settings!$B$15))</f>
        <v/>
      </c>
      <c r="J35" s="11">
        <f>IF(G35="","",G35*(1+Settings!$B$16))</f>
        <v/>
      </c>
      <c r="K35" s="11">
        <f>IF(OR(G35="",C35="External"),"",G35/9.29)</f>
        <v/>
      </c>
      <c r="L35" s="7">
        <f>IF(OR(AND(D35&lt;&gt;"",NOT(ISNUMBER(D35))),AND(E35&lt;&gt;"",NOT(ISNUMBER(E35))),AND(F35&lt;&gt;"",NOT(ISNUMBER(F35)))),"Type sizes as numbers in metres, e.g. 3.2","")</f>
        <v/>
      </c>
      <c r="M35" s="22" t="n"/>
      <c r="N35" s="23" t="n"/>
    </row>
    <row r="36">
      <c r="A36" s="22" t="n"/>
      <c r="B36" s="22" t="n"/>
      <c r="C36" s="22" t="n"/>
      <c r="D36" s="30" t="n"/>
      <c r="E36" s="30" t="n"/>
      <c r="F36" s="30" t="n"/>
      <c r="G36" s="11">
        <f>IF(AND(ISNUMBER(D36),ISNUMBER(E36)),D36*E36,"")</f>
        <v/>
      </c>
      <c r="H36" s="11">
        <f>IF(OR(G36="",C36="Garage",C36="External"),"",2*(D36+E36))</f>
        <v/>
      </c>
      <c r="I36" s="11">
        <f>IF(OR(G36="",C36="External"),"",2*(D36+E36)*IF(ISNUMBER(F36),F36,Settings!$B$15))</f>
        <v/>
      </c>
      <c r="J36" s="11">
        <f>IF(G36="","",G36*(1+Settings!$B$16))</f>
        <v/>
      </c>
      <c r="K36" s="11">
        <f>IF(OR(G36="",C36="External"),"",G36/9.29)</f>
        <v/>
      </c>
      <c r="L36" s="7">
        <f>IF(OR(AND(D36&lt;&gt;"",NOT(ISNUMBER(D36))),AND(E36&lt;&gt;"",NOT(ISNUMBER(E36))),AND(F36&lt;&gt;"",NOT(ISNUMBER(F36)))),"Type sizes as numbers in metres, e.g. 3.2","")</f>
        <v/>
      </c>
      <c r="M36" s="22" t="n"/>
      <c r="N36" s="23" t="n"/>
    </row>
    <row r="37">
      <c r="A37" s="22" t="n"/>
      <c r="B37" s="22" t="n"/>
      <c r="C37" s="22" t="n"/>
      <c r="D37" s="30" t="n"/>
      <c r="E37" s="30" t="n"/>
      <c r="F37" s="30" t="n"/>
      <c r="G37" s="11">
        <f>IF(AND(ISNUMBER(D37),ISNUMBER(E37)),D37*E37,"")</f>
        <v/>
      </c>
      <c r="H37" s="11">
        <f>IF(OR(G37="",C37="Garage",C37="External"),"",2*(D37+E37))</f>
        <v/>
      </c>
      <c r="I37" s="11">
        <f>IF(OR(G37="",C37="External"),"",2*(D37+E37)*IF(ISNUMBER(F37),F37,Settings!$B$15))</f>
        <v/>
      </c>
      <c r="J37" s="11">
        <f>IF(G37="","",G37*(1+Settings!$B$16))</f>
        <v/>
      </c>
      <c r="K37" s="11">
        <f>IF(OR(G37="",C37="External"),"",G37/9.29)</f>
        <v/>
      </c>
      <c r="L37" s="7">
        <f>IF(OR(AND(D37&lt;&gt;"",NOT(ISNUMBER(D37))),AND(E37&lt;&gt;"",NOT(ISNUMBER(E37))),AND(F37&lt;&gt;"",NOT(ISNUMBER(F37)))),"Type sizes as numbers in metres, e.g. 3.2","")</f>
        <v/>
      </c>
      <c r="M37" s="22" t="n"/>
      <c r="N37" s="23" t="n"/>
    </row>
    <row r="38">
      <c r="A38" s="22" t="n"/>
      <c r="B38" s="22" t="n"/>
      <c r="C38" s="22" t="n"/>
      <c r="D38" s="30" t="n"/>
      <c r="E38" s="30" t="n"/>
      <c r="F38" s="30" t="n"/>
      <c r="G38" s="11">
        <f>IF(AND(ISNUMBER(D38),ISNUMBER(E38)),D38*E38,"")</f>
        <v/>
      </c>
      <c r="H38" s="11">
        <f>IF(OR(G38="",C38="Garage",C38="External"),"",2*(D38+E38))</f>
        <v/>
      </c>
      <c r="I38" s="11">
        <f>IF(OR(G38="",C38="External"),"",2*(D38+E38)*IF(ISNUMBER(F38),F38,Settings!$B$15))</f>
        <v/>
      </c>
      <c r="J38" s="11">
        <f>IF(G38="","",G38*(1+Settings!$B$16))</f>
        <v/>
      </c>
      <c r="K38" s="11">
        <f>IF(OR(G38="",C38="External"),"",G38/9.29)</f>
        <v/>
      </c>
      <c r="L38" s="7">
        <f>IF(OR(AND(D38&lt;&gt;"",NOT(ISNUMBER(D38))),AND(E38&lt;&gt;"",NOT(ISNUMBER(E38))),AND(F38&lt;&gt;"",NOT(ISNUMBER(F38)))),"Type sizes as numbers in metres, e.g. 3.2","")</f>
        <v/>
      </c>
      <c r="M38" s="22" t="n"/>
      <c r="N38" s="23" t="n"/>
    </row>
    <row r="39">
      <c r="A39" s="22" t="n"/>
      <c r="B39" s="22" t="n"/>
      <c r="C39" s="22" t="n"/>
      <c r="D39" s="30" t="n"/>
      <c r="E39" s="30" t="n"/>
      <c r="F39" s="30" t="n"/>
      <c r="G39" s="11">
        <f>IF(AND(ISNUMBER(D39),ISNUMBER(E39)),D39*E39,"")</f>
        <v/>
      </c>
      <c r="H39" s="11">
        <f>IF(OR(G39="",C39="Garage",C39="External"),"",2*(D39+E39))</f>
        <v/>
      </c>
      <c r="I39" s="11">
        <f>IF(OR(G39="",C39="External"),"",2*(D39+E39)*IF(ISNUMBER(F39),F39,Settings!$B$15))</f>
        <v/>
      </c>
      <c r="J39" s="11">
        <f>IF(G39="","",G39*(1+Settings!$B$16))</f>
        <v/>
      </c>
      <c r="K39" s="11">
        <f>IF(OR(G39="",C39="External"),"",G39/9.29)</f>
        <v/>
      </c>
      <c r="L39" s="7">
        <f>IF(OR(AND(D39&lt;&gt;"",NOT(ISNUMBER(D39))),AND(E39&lt;&gt;"",NOT(ISNUMBER(E39))),AND(F39&lt;&gt;"",NOT(ISNUMBER(F39)))),"Type sizes as numbers in metres, e.g. 3.2","")</f>
        <v/>
      </c>
      <c r="M39" s="22" t="n"/>
      <c r="N39" s="23" t="n"/>
    </row>
    <row r="40">
      <c r="A40" s="22" t="n"/>
      <c r="B40" s="22" t="n"/>
      <c r="C40" s="22" t="n"/>
      <c r="D40" s="30" t="n"/>
      <c r="E40" s="30" t="n"/>
      <c r="F40" s="30" t="n"/>
      <c r="G40" s="11">
        <f>IF(AND(ISNUMBER(D40),ISNUMBER(E40)),D40*E40,"")</f>
        <v/>
      </c>
      <c r="H40" s="11">
        <f>IF(OR(G40="",C40="Garage",C40="External"),"",2*(D40+E40))</f>
        <v/>
      </c>
      <c r="I40" s="11">
        <f>IF(OR(G40="",C40="External"),"",2*(D40+E40)*IF(ISNUMBER(F40),F40,Settings!$B$15))</f>
        <v/>
      </c>
      <c r="J40" s="11">
        <f>IF(G40="","",G40*(1+Settings!$B$16))</f>
        <v/>
      </c>
      <c r="K40" s="11">
        <f>IF(OR(G40="",C40="External"),"",G40/9.29)</f>
        <v/>
      </c>
      <c r="L40" s="7">
        <f>IF(OR(AND(D40&lt;&gt;"",NOT(ISNUMBER(D40))),AND(E40&lt;&gt;"",NOT(ISNUMBER(E40))),AND(F40&lt;&gt;"",NOT(ISNUMBER(F40)))),"Type sizes as numbers in metres, e.g. 3.2","")</f>
        <v/>
      </c>
      <c r="M40" s="22" t="n"/>
      <c r="N40" s="23" t="n"/>
    </row>
    <row r="41">
      <c r="A41" s="22" t="n"/>
      <c r="B41" s="22" t="n"/>
      <c r="C41" s="22" t="n"/>
      <c r="D41" s="30" t="n"/>
      <c r="E41" s="30" t="n"/>
      <c r="F41" s="30" t="n"/>
      <c r="G41" s="11">
        <f>IF(AND(ISNUMBER(D41),ISNUMBER(E41)),D41*E41,"")</f>
        <v/>
      </c>
      <c r="H41" s="11">
        <f>IF(OR(G41="",C41="Garage",C41="External"),"",2*(D41+E41))</f>
        <v/>
      </c>
      <c r="I41" s="11">
        <f>IF(OR(G41="",C41="External"),"",2*(D41+E41)*IF(ISNUMBER(F41),F41,Settings!$B$15))</f>
        <v/>
      </c>
      <c r="J41" s="11">
        <f>IF(G41="","",G41*(1+Settings!$B$16))</f>
        <v/>
      </c>
      <c r="K41" s="11">
        <f>IF(OR(G41="",C41="External"),"",G41/9.29)</f>
        <v/>
      </c>
      <c r="L41" s="7">
        <f>IF(OR(AND(D41&lt;&gt;"",NOT(ISNUMBER(D41))),AND(E41&lt;&gt;"",NOT(ISNUMBER(E41))),AND(F41&lt;&gt;"",NOT(ISNUMBER(F41)))),"Type sizes as numbers in metres, e.g. 3.2","")</f>
        <v/>
      </c>
      <c r="M41" s="22" t="n"/>
      <c r="N41" s="23" t="n"/>
    </row>
    <row r="42">
      <c r="A42" s="22" t="n"/>
      <c r="B42" s="22" t="n"/>
      <c r="C42" s="22" t="n"/>
      <c r="D42" s="30" t="n"/>
      <c r="E42" s="30" t="n"/>
      <c r="F42" s="30" t="n"/>
      <c r="G42" s="11">
        <f>IF(AND(ISNUMBER(D42),ISNUMBER(E42)),D42*E42,"")</f>
        <v/>
      </c>
      <c r="H42" s="11">
        <f>IF(OR(G42="",C42="Garage",C42="External"),"",2*(D42+E42))</f>
        <v/>
      </c>
      <c r="I42" s="11">
        <f>IF(OR(G42="",C42="External"),"",2*(D42+E42)*IF(ISNUMBER(F42),F42,Settings!$B$15))</f>
        <v/>
      </c>
      <c r="J42" s="11">
        <f>IF(G42="","",G42*(1+Settings!$B$16))</f>
        <v/>
      </c>
      <c r="K42" s="11">
        <f>IF(OR(G42="",C42="External"),"",G42/9.29)</f>
        <v/>
      </c>
      <c r="L42" s="7">
        <f>IF(OR(AND(D42&lt;&gt;"",NOT(ISNUMBER(D42))),AND(E42&lt;&gt;"",NOT(ISNUMBER(E42))),AND(F42&lt;&gt;"",NOT(ISNUMBER(F42)))),"Type sizes as numbers in metres, e.g. 3.2","")</f>
        <v/>
      </c>
      <c r="M42" s="22" t="n"/>
      <c r="N42" s="23" t="n"/>
    </row>
    <row r="43">
      <c r="A43" s="22" t="n"/>
      <c r="B43" s="22" t="n"/>
      <c r="C43" s="22" t="n"/>
      <c r="D43" s="30" t="n"/>
      <c r="E43" s="30" t="n"/>
      <c r="F43" s="30" t="n"/>
      <c r="G43" s="11">
        <f>IF(AND(ISNUMBER(D43),ISNUMBER(E43)),D43*E43,"")</f>
        <v/>
      </c>
      <c r="H43" s="11">
        <f>IF(OR(G43="",C43="Garage",C43="External"),"",2*(D43+E43))</f>
        <v/>
      </c>
      <c r="I43" s="11">
        <f>IF(OR(G43="",C43="External"),"",2*(D43+E43)*IF(ISNUMBER(F43),F43,Settings!$B$15))</f>
        <v/>
      </c>
      <c r="J43" s="11">
        <f>IF(G43="","",G43*(1+Settings!$B$16))</f>
        <v/>
      </c>
      <c r="K43" s="11">
        <f>IF(OR(G43="",C43="External"),"",G43/9.29)</f>
        <v/>
      </c>
      <c r="L43" s="7">
        <f>IF(OR(AND(D43&lt;&gt;"",NOT(ISNUMBER(D43))),AND(E43&lt;&gt;"",NOT(ISNUMBER(E43))),AND(F43&lt;&gt;"",NOT(ISNUMBER(F43)))),"Type sizes as numbers in metres, e.g. 3.2","")</f>
        <v/>
      </c>
      <c r="M43" s="22" t="n"/>
      <c r="N43" s="23" t="n"/>
    </row>
    <row r="44">
      <c r="A44" s="22" t="n"/>
      <c r="B44" s="22" t="n"/>
      <c r="C44" s="22" t="n"/>
      <c r="D44" s="30" t="n"/>
      <c r="E44" s="30" t="n"/>
      <c r="F44" s="30" t="n"/>
      <c r="G44" s="11">
        <f>IF(AND(ISNUMBER(D44),ISNUMBER(E44)),D44*E44,"")</f>
        <v/>
      </c>
      <c r="H44" s="11">
        <f>IF(OR(G44="",C44="Garage",C44="External"),"",2*(D44+E44))</f>
        <v/>
      </c>
      <c r="I44" s="11">
        <f>IF(OR(G44="",C44="External"),"",2*(D44+E44)*IF(ISNUMBER(F44),F44,Settings!$B$15))</f>
        <v/>
      </c>
      <c r="J44" s="11">
        <f>IF(G44="","",G44*(1+Settings!$B$16))</f>
        <v/>
      </c>
      <c r="K44" s="11">
        <f>IF(OR(G44="",C44="External"),"",G44/9.29)</f>
        <v/>
      </c>
      <c r="L44" s="7">
        <f>IF(OR(AND(D44&lt;&gt;"",NOT(ISNUMBER(D44))),AND(E44&lt;&gt;"",NOT(ISNUMBER(E44))),AND(F44&lt;&gt;"",NOT(ISNUMBER(F44)))),"Type sizes as numbers in metres, e.g. 3.2","")</f>
        <v/>
      </c>
      <c r="M44" s="22" t="n"/>
      <c r="N44" s="23" t="n"/>
    </row>
    <row r="45">
      <c r="A45" s="22" t="n"/>
      <c r="B45" s="22" t="n"/>
      <c r="C45" s="22" t="n"/>
      <c r="D45" s="30" t="n"/>
      <c r="E45" s="30" t="n"/>
      <c r="F45" s="30" t="n"/>
      <c r="G45" s="11">
        <f>IF(AND(ISNUMBER(D45),ISNUMBER(E45)),D45*E45,"")</f>
        <v/>
      </c>
      <c r="H45" s="11">
        <f>IF(OR(G45="",C45="Garage",C45="External"),"",2*(D45+E45))</f>
        <v/>
      </c>
      <c r="I45" s="11">
        <f>IF(OR(G45="",C45="External"),"",2*(D45+E45)*IF(ISNUMBER(F45),F45,Settings!$B$15))</f>
        <v/>
      </c>
      <c r="J45" s="11">
        <f>IF(G45="","",G45*(1+Settings!$B$16))</f>
        <v/>
      </c>
      <c r="K45" s="11">
        <f>IF(OR(G45="",C45="External"),"",G45/9.29)</f>
        <v/>
      </c>
      <c r="L45" s="7">
        <f>IF(OR(AND(D45&lt;&gt;"",NOT(ISNUMBER(D45))),AND(E45&lt;&gt;"",NOT(ISNUMBER(E45))),AND(F45&lt;&gt;"",NOT(ISNUMBER(F45)))),"Type sizes as numbers in metres, e.g. 3.2","")</f>
        <v/>
      </c>
      <c r="M45" s="22" t="n"/>
      <c r="N45" s="23" t="n"/>
    </row>
    <row r="46">
      <c r="A46" s="22" t="n"/>
      <c r="B46" s="22" t="n"/>
      <c r="C46" s="22" t="n"/>
      <c r="D46" s="30" t="n"/>
      <c r="E46" s="30" t="n"/>
      <c r="F46" s="30" t="n"/>
      <c r="G46" s="11">
        <f>IF(AND(ISNUMBER(D46),ISNUMBER(E46)),D46*E46,"")</f>
        <v/>
      </c>
      <c r="H46" s="11">
        <f>IF(OR(G46="",C46="Garage",C46="External"),"",2*(D46+E46))</f>
        <v/>
      </c>
      <c r="I46" s="11">
        <f>IF(OR(G46="",C46="External"),"",2*(D46+E46)*IF(ISNUMBER(F46),F46,Settings!$B$15))</f>
        <v/>
      </c>
      <c r="J46" s="11">
        <f>IF(G46="","",G46*(1+Settings!$B$16))</f>
        <v/>
      </c>
      <c r="K46" s="11">
        <f>IF(OR(G46="",C46="External"),"",G46/9.29)</f>
        <v/>
      </c>
      <c r="L46" s="7">
        <f>IF(OR(AND(D46&lt;&gt;"",NOT(ISNUMBER(D46))),AND(E46&lt;&gt;"",NOT(ISNUMBER(E46))),AND(F46&lt;&gt;"",NOT(ISNUMBER(F46)))),"Type sizes as numbers in metres, e.g. 3.2","")</f>
        <v/>
      </c>
      <c r="M46" s="22" t="n"/>
      <c r="N46" s="23" t="n"/>
    </row>
    <row r="47">
      <c r="A47" s="22" t="n"/>
      <c r="B47" s="22" t="n"/>
      <c r="C47" s="22" t="n"/>
      <c r="D47" s="30" t="n"/>
      <c r="E47" s="30" t="n"/>
      <c r="F47" s="30" t="n"/>
      <c r="G47" s="11">
        <f>IF(AND(ISNUMBER(D47),ISNUMBER(E47)),D47*E47,"")</f>
        <v/>
      </c>
      <c r="H47" s="11">
        <f>IF(OR(G47="",C47="Garage",C47="External"),"",2*(D47+E47))</f>
        <v/>
      </c>
      <c r="I47" s="11">
        <f>IF(OR(G47="",C47="External"),"",2*(D47+E47)*IF(ISNUMBER(F47),F47,Settings!$B$15))</f>
        <v/>
      </c>
      <c r="J47" s="11">
        <f>IF(G47="","",G47*(1+Settings!$B$16))</f>
        <v/>
      </c>
      <c r="K47" s="11">
        <f>IF(OR(G47="",C47="External"),"",G47/9.29)</f>
        <v/>
      </c>
      <c r="L47" s="7">
        <f>IF(OR(AND(D47&lt;&gt;"",NOT(ISNUMBER(D47))),AND(E47&lt;&gt;"",NOT(ISNUMBER(E47))),AND(F47&lt;&gt;"",NOT(ISNUMBER(F47)))),"Type sizes as numbers in metres, e.g. 3.2","")</f>
        <v/>
      </c>
      <c r="M47" s="22" t="n"/>
      <c r="N47" s="23" t="n"/>
    </row>
    <row r="48">
      <c r="A48" s="22" t="n"/>
      <c r="B48" s="22" t="n"/>
      <c r="C48" s="22" t="n"/>
      <c r="D48" s="30" t="n"/>
      <c r="E48" s="30" t="n"/>
      <c r="F48" s="30" t="n"/>
      <c r="G48" s="11">
        <f>IF(AND(ISNUMBER(D48),ISNUMBER(E48)),D48*E48,"")</f>
        <v/>
      </c>
      <c r="H48" s="11">
        <f>IF(OR(G48="",C48="Garage",C48="External"),"",2*(D48+E48))</f>
        <v/>
      </c>
      <c r="I48" s="11">
        <f>IF(OR(G48="",C48="External"),"",2*(D48+E48)*IF(ISNUMBER(F48),F48,Settings!$B$15))</f>
        <v/>
      </c>
      <c r="J48" s="11">
        <f>IF(G48="","",G48*(1+Settings!$B$16))</f>
        <v/>
      </c>
      <c r="K48" s="11">
        <f>IF(OR(G48="",C48="External"),"",G48/9.29)</f>
        <v/>
      </c>
      <c r="L48" s="7">
        <f>IF(OR(AND(D48&lt;&gt;"",NOT(ISNUMBER(D48))),AND(E48&lt;&gt;"",NOT(ISNUMBER(E48))),AND(F48&lt;&gt;"",NOT(ISNUMBER(F48)))),"Type sizes as numbers in metres, e.g. 3.2","")</f>
        <v/>
      </c>
      <c r="M48" s="22" t="n"/>
      <c r="N48" s="23" t="n"/>
    </row>
    <row r="49">
      <c r="A49" s="22" t="n"/>
      <c r="B49" s="22" t="n"/>
      <c r="C49" s="22" t="n"/>
      <c r="D49" s="30" t="n"/>
      <c r="E49" s="30" t="n"/>
      <c r="F49" s="30" t="n"/>
      <c r="G49" s="11">
        <f>IF(AND(ISNUMBER(D49),ISNUMBER(E49)),D49*E49,"")</f>
        <v/>
      </c>
      <c r="H49" s="11">
        <f>IF(OR(G49="",C49="Garage",C49="External"),"",2*(D49+E49))</f>
        <v/>
      </c>
      <c r="I49" s="11">
        <f>IF(OR(G49="",C49="External"),"",2*(D49+E49)*IF(ISNUMBER(F49),F49,Settings!$B$15))</f>
        <v/>
      </c>
      <c r="J49" s="11">
        <f>IF(G49="","",G49*(1+Settings!$B$16))</f>
        <v/>
      </c>
      <c r="K49" s="11">
        <f>IF(OR(G49="",C49="External"),"",G49/9.29)</f>
        <v/>
      </c>
      <c r="L49" s="7">
        <f>IF(OR(AND(D49&lt;&gt;"",NOT(ISNUMBER(D49))),AND(E49&lt;&gt;"",NOT(ISNUMBER(E49))),AND(F49&lt;&gt;"",NOT(ISNUMBER(F49)))),"Type sizes as numbers in metres, e.g. 3.2","")</f>
        <v/>
      </c>
      <c r="M49" s="22" t="n"/>
      <c r="N49" s="23" t="n"/>
    </row>
    <row r="50">
      <c r="A50" s="22" t="n"/>
      <c r="B50" s="22" t="n"/>
      <c r="C50" s="22" t="n"/>
      <c r="D50" s="30" t="n"/>
      <c r="E50" s="30" t="n"/>
      <c r="F50" s="30" t="n"/>
      <c r="G50" s="11">
        <f>IF(AND(ISNUMBER(D50),ISNUMBER(E50)),D50*E50,"")</f>
        <v/>
      </c>
      <c r="H50" s="11">
        <f>IF(OR(G50="",C50="Garage",C50="External"),"",2*(D50+E50))</f>
        <v/>
      </c>
      <c r="I50" s="11">
        <f>IF(OR(G50="",C50="External"),"",2*(D50+E50)*IF(ISNUMBER(F50),F50,Settings!$B$15))</f>
        <v/>
      </c>
      <c r="J50" s="11">
        <f>IF(G50="","",G50*(1+Settings!$B$16))</f>
        <v/>
      </c>
      <c r="K50" s="11">
        <f>IF(OR(G50="",C50="External"),"",G50/9.29)</f>
        <v/>
      </c>
      <c r="L50" s="7">
        <f>IF(OR(AND(D50&lt;&gt;"",NOT(ISNUMBER(D50))),AND(E50&lt;&gt;"",NOT(ISNUMBER(E50))),AND(F50&lt;&gt;"",NOT(ISNUMBER(F50)))),"Type sizes as numbers in metres, e.g. 3.2","")</f>
        <v/>
      </c>
      <c r="M50" s="22" t="n"/>
      <c r="N50" s="23" t="n"/>
    </row>
    <row r="51">
      <c r="A51" s="22" t="n"/>
      <c r="B51" s="22" t="n"/>
      <c r="C51" s="22" t="n"/>
      <c r="D51" s="30" t="n"/>
      <c r="E51" s="30" t="n"/>
      <c r="F51" s="30" t="n"/>
      <c r="G51" s="11">
        <f>IF(AND(ISNUMBER(D51),ISNUMBER(E51)),D51*E51,"")</f>
        <v/>
      </c>
      <c r="H51" s="11">
        <f>IF(OR(G51="",C51="Garage",C51="External"),"",2*(D51+E51))</f>
        <v/>
      </c>
      <c r="I51" s="11">
        <f>IF(OR(G51="",C51="External"),"",2*(D51+E51)*IF(ISNUMBER(F51),F51,Settings!$B$15))</f>
        <v/>
      </c>
      <c r="J51" s="11">
        <f>IF(G51="","",G51*(1+Settings!$B$16))</f>
        <v/>
      </c>
      <c r="K51" s="11">
        <f>IF(OR(G51="",C51="External"),"",G51/9.29)</f>
        <v/>
      </c>
      <c r="L51" s="7">
        <f>IF(OR(AND(D51&lt;&gt;"",NOT(ISNUMBER(D51))),AND(E51&lt;&gt;"",NOT(ISNUMBER(E51))),AND(F51&lt;&gt;"",NOT(ISNUMBER(F51)))),"Type sizes as numbers in metres, e.g. 3.2","")</f>
        <v/>
      </c>
      <c r="M51" s="22" t="n"/>
      <c r="N51" s="23" t="n"/>
    </row>
    <row r="52">
      <c r="A52" s="22" t="n"/>
      <c r="B52" s="22" t="n"/>
      <c r="C52" s="22" t="n"/>
      <c r="D52" s="30" t="n"/>
      <c r="E52" s="30" t="n"/>
      <c r="F52" s="30" t="n"/>
      <c r="G52" s="11">
        <f>IF(AND(ISNUMBER(D52),ISNUMBER(E52)),D52*E52,"")</f>
        <v/>
      </c>
      <c r="H52" s="11">
        <f>IF(OR(G52="",C52="Garage",C52="External"),"",2*(D52+E52))</f>
        <v/>
      </c>
      <c r="I52" s="11">
        <f>IF(OR(G52="",C52="External"),"",2*(D52+E52)*IF(ISNUMBER(F52),F52,Settings!$B$15))</f>
        <v/>
      </c>
      <c r="J52" s="11">
        <f>IF(G52="","",G52*(1+Settings!$B$16))</f>
        <v/>
      </c>
      <c r="K52" s="11">
        <f>IF(OR(G52="",C52="External"),"",G52/9.29)</f>
        <v/>
      </c>
      <c r="L52" s="7">
        <f>IF(OR(AND(D52&lt;&gt;"",NOT(ISNUMBER(D52))),AND(E52&lt;&gt;"",NOT(ISNUMBER(E52))),AND(F52&lt;&gt;"",NOT(ISNUMBER(F52)))),"Type sizes as numbers in metres, e.g. 3.2","")</f>
        <v/>
      </c>
      <c r="M52" s="22" t="n"/>
      <c r="N52" s="23" t="n"/>
    </row>
    <row r="53">
      <c r="A53" s="22" t="n"/>
      <c r="B53" s="22" t="n"/>
      <c r="C53" s="22" t="n"/>
      <c r="D53" s="30" t="n"/>
      <c r="E53" s="30" t="n"/>
      <c r="F53" s="30" t="n"/>
      <c r="G53" s="11">
        <f>IF(AND(ISNUMBER(D53),ISNUMBER(E53)),D53*E53,"")</f>
        <v/>
      </c>
      <c r="H53" s="11">
        <f>IF(OR(G53="",C53="Garage",C53="External"),"",2*(D53+E53))</f>
        <v/>
      </c>
      <c r="I53" s="11">
        <f>IF(OR(G53="",C53="External"),"",2*(D53+E53)*IF(ISNUMBER(F53),F53,Settings!$B$15))</f>
        <v/>
      </c>
      <c r="J53" s="11">
        <f>IF(G53="","",G53*(1+Settings!$B$16))</f>
        <v/>
      </c>
      <c r="K53" s="11">
        <f>IF(OR(G53="",C53="External"),"",G53/9.29)</f>
        <v/>
      </c>
      <c r="L53" s="7">
        <f>IF(OR(AND(D53&lt;&gt;"",NOT(ISNUMBER(D53))),AND(E53&lt;&gt;"",NOT(ISNUMBER(E53))),AND(F53&lt;&gt;"",NOT(ISNUMBER(F53)))),"Type sizes as numbers in metres, e.g. 3.2","")</f>
        <v/>
      </c>
      <c r="M53" s="22" t="n"/>
      <c r="N53" s="23" t="n"/>
    </row>
    <row r="54">
      <c r="A54" s="22" t="n"/>
      <c r="B54" s="22" t="n"/>
      <c r="C54" s="22" t="n"/>
      <c r="D54" s="30" t="n"/>
      <c r="E54" s="30" t="n"/>
      <c r="F54" s="30" t="n"/>
      <c r="G54" s="11">
        <f>IF(AND(ISNUMBER(D54),ISNUMBER(E54)),D54*E54,"")</f>
        <v/>
      </c>
      <c r="H54" s="11">
        <f>IF(OR(G54="",C54="Garage",C54="External"),"",2*(D54+E54))</f>
        <v/>
      </c>
      <c r="I54" s="11">
        <f>IF(OR(G54="",C54="External"),"",2*(D54+E54)*IF(ISNUMBER(F54),F54,Settings!$B$15))</f>
        <v/>
      </c>
      <c r="J54" s="11">
        <f>IF(G54="","",G54*(1+Settings!$B$16))</f>
        <v/>
      </c>
      <c r="K54" s="11">
        <f>IF(OR(G54="",C54="External"),"",G54/9.29)</f>
        <v/>
      </c>
      <c r="L54" s="7">
        <f>IF(OR(AND(D54&lt;&gt;"",NOT(ISNUMBER(D54))),AND(E54&lt;&gt;"",NOT(ISNUMBER(E54))),AND(F54&lt;&gt;"",NOT(ISNUMBER(F54)))),"Type sizes as numbers in metres, e.g. 3.2","")</f>
        <v/>
      </c>
      <c r="M54" s="22" t="n"/>
      <c r="N54" s="23" t="n"/>
    </row>
    <row r="55">
      <c r="A55" s="22" t="n"/>
      <c r="B55" s="22" t="n"/>
      <c r="C55" s="22" t="n"/>
      <c r="D55" s="30" t="n"/>
      <c r="E55" s="30" t="n"/>
      <c r="F55" s="30" t="n"/>
      <c r="G55" s="11">
        <f>IF(AND(ISNUMBER(D55),ISNUMBER(E55)),D55*E55,"")</f>
        <v/>
      </c>
      <c r="H55" s="11">
        <f>IF(OR(G55="",C55="Garage",C55="External"),"",2*(D55+E55))</f>
        <v/>
      </c>
      <c r="I55" s="11">
        <f>IF(OR(G55="",C55="External"),"",2*(D55+E55)*IF(ISNUMBER(F55),F55,Settings!$B$15))</f>
        <v/>
      </c>
      <c r="J55" s="11">
        <f>IF(G55="","",G55*(1+Settings!$B$16))</f>
        <v/>
      </c>
      <c r="K55" s="11">
        <f>IF(OR(G55="",C55="External"),"",G55/9.29)</f>
        <v/>
      </c>
      <c r="L55" s="7">
        <f>IF(OR(AND(D55&lt;&gt;"",NOT(ISNUMBER(D55))),AND(E55&lt;&gt;"",NOT(ISNUMBER(E55))),AND(F55&lt;&gt;"",NOT(ISNUMBER(F55)))),"Type sizes as numbers in metres, e.g. 3.2","")</f>
        <v/>
      </c>
      <c r="M55" s="22" t="n"/>
      <c r="N55" s="23" t="n"/>
    </row>
    <row r="56">
      <c r="A56" s="22" t="n"/>
      <c r="B56" s="22" t="n"/>
      <c r="C56" s="22" t="n"/>
      <c r="D56" s="30" t="n"/>
      <c r="E56" s="30" t="n"/>
      <c r="F56" s="30" t="n"/>
      <c r="G56" s="11">
        <f>IF(AND(ISNUMBER(D56),ISNUMBER(E56)),D56*E56,"")</f>
        <v/>
      </c>
      <c r="H56" s="11">
        <f>IF(OR(G56="",C56="Garage",C56="External"),"",2*(D56+E56))</f>
        <v/>
      </c>
      <c r="I56" s="11">
        <f>IF(OR(G56="",C56="External"),"",2*(D56+E56)*IF(ISNUMBER(F56),F56,Settings!$B$15))</f>
        <v/>
      </c>
      <c r="J56" s="11">
        <f>IF(G56="","",G56*(1+Settings!$B$16))</f>
        <v/>
      </c>
      <c r="K56" s="11">
        <f>IF(OR(G56="",C56="External"),"",G56/9.29)</f>
        <v/>
      </c>
      <c r="L56" s="7">
        <f>IF(OR(AND(D56&lt;&gt;"",NOT(ISNUMBER(D56))),AND(E56&lt;&gt;"",NOT(ISNUMBER(E56))),AND(F56&lt;&gt;"",NOT(ISNUMBER(F56)))),"Type sizes as numbers in metres, e.g. 3.2","")</f>
        <v/>
      </c>
      <c r="M56" s="22" t="n"/>
      <c r="N56" s="23" t="n"/>
    </row>
    <row r="57">
      <c r="A57" s="22" t="n"/>
      <c r="B57" s="22" t="n"/>
      <c r="C57" s="22" t="n"/>
      <c r="D57" s="30" t="n"/>
      <c r="E57" s="30" t="n"/>
      <c r="F57" s="30" t="n"/>
      <c r="G57" s="11">
        <f>IF(AND(ISNUMBER(D57),ISNUMBER(E57)),D57*E57,"")</f>
        <v/>
      </c>
      <c r="H57" s="11">
        <f>IF(OR(G57="",C57="Garage",C57="External"),"",2*(D57+E57))</f>
        <v/>
      </c>
      <c r="I57" s="11">
        <f>IF(OR(G57="",C57="External"),"",2*(D57+E57)*IF(ISNUMBER(F57),F57,Settings!$B$15))</f>
        <v/>
      </c>
      <c r="J57" s="11">
        <f>IF(G57="","",G57*(1+Settings!$B$16))</f>
        <v/>
      </c>
      <c r="K57" s="11">
        <f>IF(OR(G57="",C57="External"),"",G57/9.29)</f>
        <v/>
      </c>
      <c r="L57" s="7">
        <f>IF(OR(AND(D57&lt;&gt;"",NOT(ISNUMBER(D57))),AND(E57&lt;&gt;"",NOT(ISNUMBER(E57))),AND(F57&lt;&gt;"",NOT(ISNUMBER(F57)))),"Type sizes as numbers in metres, e.g. 3.2","")</f>
        <v/>
      </c>
      <c r="M57" s="22" t="n"/>
      <c r="N57" s="23" t="n"/>
    </row>
    <row r="58">
      <c r="A58" s="22" t="n"/>
      <c r="B58" s="22" t="n"/>
      <c r="C58" s="22" t="n"/>
      <c r="D58" s="30" t="n"/>
      <c r="E58" s="30" t="n"/>
      <c r="F58" s="30" t="n"/>
      <c r="G58" s="11">
        <f>IF(AND(ISNUMBER(D58),ISNUMBER(E58)),D58*E58,"")</f>
        <v/>
      </c>
      <c r="H58" s="11">
        <f>IF(OR(G58="",C58="Garage",C58="External"),"",2*(D58+E58))</f>
        <v/>
      </c>
      <c r="I58" s="11">
        <f>IF(OR(G58="",C58="External"),"",2*(D58+E58)*IF(ISNUMBER(F58),F58,Settings!$B$15))</f>
        <v/>
      </c>
      <c r="J58" s="11">
        <f>IF(G58="","",G58*(1+Settings!$B$16))</f>
        <v/>
      </c>
      <c r="K58" s="11">
        <f>IF(OR(G58="",C58="External"),"",G58/9.29)</f>
        <v/>
      </c>
      <c r="L58" s="7">
        <f>IF(OR(AND(D58&lt;&gt;"",NOT(ISNUMBER(D58))),AND(E58&lt;&gt;"",NOT(ISNUMBER(E58))),AND(F58&lt;&gt;"",NOT(ISNUMBER(F58)))),"Type sizes as numbers in metres, e.g. 3.2","")</f>
        <v/>
      </c>
      <c r="M58" s="22" t="n"/>
      <c r="N58" s="23" t="n"/>
    </row>
    <row r="59">
      <c r="A59" s="22" t="n"/>
      <c r="B59" s="22" t="n"/>
      <c r="C59" s="22" t="n"/>
      <c r="D59" s="30" t="n"/>
      <c r="E59" s="30" t="n"/>
      <c r="F59" s="30" t="n"/>
      <c r="G59" s="11">
        <f>IF(AND(ISNUMBER(D59),ISNUMBER(E59)),D59*E59,"")</f>
        <v/>
      </c>
      <c r="H59" s="11">
        <f>IF(OR(G59="",C59="Garage",C59="External"),"",2*(D59+E59))</f>
        <v/>
      </c>
      <c r="I59" s="11">
        <f>IF(OR(G59="",C59="External"),"",2*(D59+E59)*IF(ISNUMBER(F59),F59,Settings!$B$15))</f>
        <v/>
      </c>
      <c r="J59" s="11">
        <f>IF(G59="","",G59*(1+Settings!$B$16))</f>
        <v/>
      </c>
      <c r="K59" s="11">
        <f>IF(OR(G59="",C59="External"),"",G59/9.29)</f>
        <v/>
      </c>
      <c r="L59" s="7">
        <f>IF(OR(AND(D59&lt;&gt;"",NOT(ISNUMBER(D59))),AND(E59&lt;&gt;"",NOT(ISNUMBER(E59))),AND(F59&lt;&gt;"",NOT(ISNUMBER(F59)))),"Type sizes as numbers in metres, e.g. 3.2","")</f>
        <v/>
      </c>
      <c r="M59" s="22" t="n"/>
      <c r="N59" s="23" t="n"/>
    </row>
    <row r="60">
      <c r="A60" s="22" t="n"/>
      <c r="B60" s="22" t="n"/>
      <c r="C60" s="22" t="n"/>
      <c r="D60" s="30" t="n"/>
      <c r="E60" s="30" t="n"/>
      <c r="F60" s="30" t="n"/>
      <c r="G60" s="11">
        <f>IF(AND(ISNUMBER(D60),ISNUMBER(E60)),D60*E60,"")</f>
        <v/>
      </c>
      <c r="H60" s="11">
        <f>IF(OR(G60="",C60="Garage",C60="External"),"",2*(D60+E60))</f>
        <v/>
      </c>
      <c r="I60" s="11">
        <f>IF(OR(G60="",C60="External"),"",2*(D60+E60)*IF(ISNUMBER(F60),F60,Settings!$B$15))</f>
        <v/>
      </c>
      <c r="J60" s="11">
        <f>IF(G60="","",G60*(1+Settings!$B$16))</f>
        <v/>
      </c>
      <c r="K60" s="11">
        <f>IF(OR(G60="",C60="External"),"",G60/9.29)</f>
        <v/>
      </c>
      <c r="L60" s="7">
        <f>IF(OR(AND(D60&lt;&gt;"",NOT(ISNUMBER(D60))),AND(E60&lt;&gt;"",NOT(ISNUMBER(E60))),AND(F60&lt;&gt;"",NOT(ISNUMBER(F60)))),"Type sizes as numbers in metres, e.g. 3.2","")</f>
        <v/>
      </c>
      <c r="M60" s="22" t="n"/>
      <c r="N60" s="23" t="n"/>
    </row>
    <row r="61">
      <c r="A61" s="22" t="n"/>
      <c r="B61" s="22" t="n"/>
      <c r="C61" s="22" t="n"/>
      <c r="D61" s="30" t="n"/>
      <c r="E61" s="30" t="n"/>
      <c r="F61" s="30" t="n"/>
      <c r="G61" s="11">
        <f>IF(AND(ISNUMBER(D61),ISNUMBER(E61)),D61*E61,"")</f>
        <v/>
      </c>
      <c r="H61" s="11">
        <f>IF(OR(G61="",C61="Garage",C61="External"),"",2*(D61+E61))</f>
        <v/>
      </c>
      <c r="I61" s="11">
        <f>IF(OR(G61="",C61="External"),"",2*(D61+E61)*IF(ISNUMBER(F61),F61,Settings!$B$15))</f>
        <v/>
      </c>
      <c r="J61" s="11">
        <f>IF(G61="","",G61*(1+Settings!$B$16))</f>
        <v/>
      </c>
      <c r="K61" s="11">
        <f>IF(OR(G61="",C61="External"),"",G61/9.29)</f>
        <v/>
      </c>
      <c r="L61" s="7">
        <f>IF(OR(AND(D61&lt;&gt;"",NOT(ISNUMBER(D61))),AND(E61&lt;&gt;"",NOT(ISNUMBER(E61))),AND(F61&lt;&gt;"",NOT(ISNUMBER(F61)))),"Type sizes as numbers in metres, e.g. 3.2","")</f>
        <v/>
      </c>
      <c r="M61" s="22" t="n"/>
      <c r="N61" s="23" t="n"/>
    </row>
    <row r="62">
      <c r="A62" s="22" t="n"/>
      <c r="B62" s="22" t="n"/>
      <c r="C62" s="22" t="n"/>
      <c r="D62" s="30" t="n"/>
      <c r="E62" s="30" t="n"/>
      <c r="F62" s="30" t="n"/>
      <c r="G62" s="11">
        <f>IF(AND(ISNUMBER(D62),ISNUMBER(E62)),D62*E62,"")</f>
        <v/>
      </c>
      <c r="H62" s="11">
        <f>IF(OR(G62="",C62="Garage",C62="External"),"",2*(D62+E62))</f>
        <v/>
      </c>
      <c r="I62" s="11">
        <f>IF(OR(G62="",C62="External"),"",2*(D62+E62)*IF(ISNUMBER(F62),F62,Settings!$B$15))</f>
        <v/>
      </c>
      <c r="J62" s="11">
        <f>IF(G62="","",G62*(1+Settings!$B$16))</f>
        <v/>
      </c>
      <c r="K62" s="11">
        <f>IF(OR(G62="",C62="External"),"",G62/9.29)</f>
        <v/>
      </c>
      <c r="L62" s="7">
        <f>IF(OR(AND(D62&lt;&gt;"",NOT(ISNUMBER(D62))),AND(E62&lt;&gt;"",NOT(ISNUMBER(E62))),AND(F62&lt;&gt;"",NOT(ISNUMBER(F62)))),"Type sizes as numbers in metres, e.g. 3.2","")</f>
        <v/>
      </c>
      <c r="M62" s="22" t="n"/>
      <c r="N62" s="23" t="n"/>
    </row>
    <row r="63">
      <c r="A63" s="22" t="n"/>
      <c r="B63" s="22" t="n"/>
      <c r="C63" s="22" t="n"/>
      <c r="D63" s="30" t="n"/>
      <c r="E63" s="30" t="n"/>
      <c r="F63" s="30" t="n"/>
      <c r="G63" s="11">
        <f>IF(AND(ISNUMBER(D63),ISNUMBER(E63)),D63*E63,"")</f>
        <v/>
      </c>
      <c r="H63" s="11">
        <f>IF(OR(G63="",C63="Garage",C63="External"),"",2*(D63+E63))</f>
        <v/>
      </c>
      <c r="I63" s="11">
        <f>IF(OR(G63="",C63="External"),"",2*(D63+E63)*IF(ISNUMBER(F63),F63,Settings!$B$15))</f>
        <v/>
      </c>
      <c r="J63" s="11">
        <f>IF(G63="","",G63*(1+Settings!$B$16))</f>
        <v/>
      </c>
      <c r="K63" s="11">
        <f>IF(OR(G63="",C63="External"),"",G63/9.29)</f>
        <v/>
      </c>
      <c r="L63" s="7">
        <f>IF(OR(AND(D63&lt;&gt;"",NOT(ISNUMBER(D63))),AND(E63&lt;&gt;"",NOT(ISNUMBER(E63))),AND(F63&lt;&gt;"",NOT(ISNUMBER(F63)))),"Type sizes as numbers in metres, e.g. 3.2","")</f>
        <v/>
      </c>
      <c r="M63" s="22" t="n"/>
      <c r="N63" s="23" t="n"/>
    </row>
  </sheetData>
  <sheetProtection selectLockedCells="0" selectUnlockedCells="0" sheet="1" objects="0" insertRows="0" insertHyperlinks="0" autoFilter="0" scenarios="0" formatColumns="0" deleteColumns="1" insertColumns="1" pivotTables="1" deleteRows="0" formatCells="0" formatRows="0" sort="0"/>
  <autoFilter ref="A3:N63"/>
  <conditionalFormatting sqref="L4:L63">
    <cfRule type="expression" priority="1" dxfId="2">
      <formula>LEN(L4)&gt;0</formula>
    </cfRule>
  </conditionalFormatting>
  <dataValidations count="2">
    <dataValidation sqref="B4:B63" showDropDown="0" showInputMessage="0" showErrorMessage="0" allowBlank="1" error="Pick a value from the list." type="list" errorStyle="warning">
      <formula1>=Lists!$V$2:$V$6</formula1>
    </dataValidation>
    <dataValidation sqref="C4:C63" showDropDown="0" showInputMessage="0" showErrorMessage="0" allowBlank="1" error="Pick a value from the list." type="list" errorStyle="warning">
      <formula1>=Lists!$W$2:$W$4</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15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26" customWidth="1" min="1" max="1"/>
    <col width="14" customWidth="1" min="2" max="2"/>
    <col width="18" customWidth="1" min="3" max="3"/>
    <col width="34" customWidth="1" min="4" max="4"/>
    <col width="18" customWidth="1" min="5" max="5"/>
    <col width="7" customWidth="1" min="6" max="6"/>
    <col width="7" customWidth="1" min="7" max="7"/>
    <col width="12" customWidth="1" min="8" max="8"/>
    <col width="12" customWidth="1" min="9" max="9"/>
    <col width="12" customWidth="1" min="10" max="10"/>
    <col width="10" customWidth="1" min="11" max="11"/>
    <col width="12" customWidth="1" min="12" max="12"/>
    <col width="12" customWidth="1" min="13" max="13"/>
    <col width="15" customWidth="1" min="14" max="14"/>
    <col width="32" customWidth="1" min="15" max="15"/>
  </cols>
  <sheetData>
    <row r="1" ht="24" customHeight="1">
      <c r="A1" s="1" t="inlineStr">
        <is>
          <t>Selections &amp; specs</t>
        </is>
      </c>
    </row>
    <row r="2">
      <c r="A2" s="2" t="inlineStr">
        <is>
          <t>Every product decision in one list. Lock them all in before G6 (fit-out). File spec sheets in 05 Selections &amp; Specs.</t>
        </is>
      </c>
      <c r="B2" t="inlineStr">
        <is>
          <t>Note: You may have a separate spec sheet from your contract but keep this here to track</t>
        </is>
      </c>
    </row>
    <row r="3" ht="32" customHeight="1">
      <c r="A3" s="20" t="inlineStr">
        <is>
          <t>Item</t>
        </is>
      </c>
      <c r="B3" s="20" t="inlineStr">
        <is>
          <t>Category</t>
        </is>
      </c>
      <c r="C3" s="20" t="inlineStr">
        <is>
          <t>Room</t>
        </is>
      </c>
      <c r="D3" s="20" t="inlineStr">
        <is>
          <t>Spec / model / colour</t>
        </is>
      </c>
      <c r="E3" s="20" t="inlineStr">
        <is>
          <t>Supplier</t>
        </is>
      </c>
      <c r="F3" s="20" t="inlineStr">
        <is>
          <t>Qty</t>
        </is>
      </c>
      <c r="G3" s="20" t="inlineStr">
        <is>
          <t>Unit</t>
        </is>
      </c>
      <c r="H3" s="20" t="inlineStr">
        <is>
          <t>Unit price ($)</t>
        </is>
      </c>
      <c r="I3" s="21" t="inlineStr">
        <is>
          <t>Total ($)</t>
        </is>
      </c>
      <c r="J3" s="20" t="inlineStr">
        <is>
          <t>Status</t>
        </is>
      </c>
      <c r="K3" s="20" t="inlineStr">
        <is>
          <t>Needed by</t>
        </is>
      </c>
      <c r="L3" s="20" t="inlineStr">
        <is>
          <t>Order date</t>
        </is>
      </c>
      <c r="M3" s="20" t="inlineStr">
        <is>
          <t>Delivery date</t>
        </is>
      </c>
      <c r="N3" s="20" t="inlineStr">
        <is>
          <t>Spec Doc ID</t>
        </is>
      </c>
      <c r="O3" s="20" t="inlineStr">
        <is>
          <t>Notes</t>
        </is>
      </c>
    </row>
    <row r="4">
      <c r="A4" s="27" t="inlineStr">
        <is>
          <t>Kitchen mixer tap</t>
        </is>
      </c>
      <c r="B4" s="27" t="inlineStr">
        <is>
          <t>Fit-out</t>
        </is>
      </c>
      <c r="C4" s="27" t="inlineStr">
        <is>
          <t>Kitchen / living</t>
        </is>
      </c>
      <c r="D4" s="29" t="inlineStr">
        <is>
          <t>Gooseneck, brushed nickel, WELS 5-star</t>
        </is>
      </c>
      <c r="E4" s="27" t="inlineStr">
        <is>
          <t>Plumbing supplier</t>
        </is>
      </c>
      <c r="F4" s="27" t="n">
        <v>1</v>
      </c>
      <c r="G4" s="27" t="inlineStr">
        <is>
          <t>ea</t>
        </is>
      </c>
      <c r="H4" s="31" t="n">
        <v>420</v>
      </c>
      <c r="I4" s="9">
        <f>IF(H4="","",H4*IF(F4="",1,F4))</f>
        <v/>
      </c>
      <c r="J4" s="27" t="inlineStr">
        <is>
          <t>Selected</t>
        </is>
      </c>
      <c r="K4" s="27" t="inlineStr">
        <is>
          <t>G6</t>
        </is>
      </c>
      <c r="L4" s="32" t="n"/>
      <c r="M4" s="32" t="n"/>
      <c r="N4" s="27" t="n"/>
      <c r="O4" s="29" t="inlineStr">
        <is>
          <t>EXAMPLE: delete this row</t>
        </is>
      </c>
    </row>
    <row r="5">
      <c r="A5" s="22" t="n"/>
      <c r="B5" s="22" t="n"/>
      <c r="C5" s="22" t="n"/>
      <c r="D5" s="23" t="n"/>
      <c r="E5" s="22" t="n"/>
      <c r="F5" s="22" t="n"/>
      <c r="G5" s="22" t="n"/>
      <c r="H5" s="33" t="n"/>
      <c r="I5" s="9">
        <f>IF(H5="","",H5*IF(F5="",1,F5))</f>
        <v/>
      </c>
      <c r="J5" s="22" t="n"/>
      <c r="K5" s="22" t="n"/>
      <c r="L5" s="24" t="n"/>
      <c r="M5" s="24" t="n"/>
      <c r="N5" s="22" t="n"/>
      <c r="O5" s="23" t="n"/>
    </row>
    <row r="6">
      <c r="A6" s="22" t="n"/>
      <c r="B6" s="22" t="n"/>
      <c r="C6" s="22" t="n"/>
      <c r="D6" s="23" t="n"/>
      <c r="E6" s="22" t="n"/>
      <c r="F6" s="22" t="n"/>
      <c r="G6" s="22" t="n"/>
      <c r="H6" s="33" t="n"/>
      <c r="I6" s="9">
        <f>IF(H6="","",H6*IF(F6="",1,F6))</f>
        <v/>
      </c>
      <c r="J6" s="22" t="n"/>
      <c r="K6" s="22" t="n"/>
      <c r="L6" s="24" t="n"/>
      <c r="M6" s="24" t="n"/>
      <c r="N6" s="22" t="n"/>
      <c r="O6" s="23" t="n"/>
    </row>
    <row r="7">
      <c r="A7" s="22" t="n"/>
      <c r="B7" s="22" t="n"/>
      <c r="C7" s="22" t="n"/>
      <c r="D7" s="23" t="n"/>
      <c r="E7" s="22" t="n"/>
      <c r="F7" s="22" t="n"/>
      <c r="G7" s="22" t="n"/>
      <c r="H7" s="33" t="n"/>
      <c r="I7" s="9">
        <f>IF(H7="","",H7*IF(F7="",1,F7))</f>
        <v/>
      </c>
      <c r="J7" s="22" t="n"/>
      <c r="K7" s="22" t="n"/>
      <c r="L7" s="24" t="n"/>
      <c r="M7" s="24" t="n"/>
      <c r="N7" s="22" t="n"/>
      <c r="O7" s="23" t="n"/>
    </row>
    <row r="8">
      <c r="A8" s="22" t="n"/>
      <c r="B8" s="22" t="n"/>
      <c r="C8" s="22" t="n"/>
      <c r="D8" s="23" t="n"/>
      <c r="E8" s="22" t="n"/>
      <c r="F8" s="22" t="n"/>
      <c r="G8" s="22" t="n"/>
      <c r="H8" s="33" t="n"/>
      <c r="I8" s="9">
        <f>IF(H8="","",H8*IF(F8="",1,F8))</f>
        <v/>
      </c>
      <c r="J8" s="22" t="n"/>
      <c r="K8" s="22" t="n"/>
      <c r="L8" s="24" t="n"/>
      <c r="M8" s="24" t="n"/>
      <c r="N8" s="22" t="n"/>
      <c r="O8" s="23" t="n"/>
    </row>
    <row r="9">
      <c r="A9" s="22" t="n"/>
      <c r="B9" s="22" t="n"/>
      <c r="C9" s="22" t="n"/>
      <c r="D9" s="23" t="n"/>
      <c r="E9" s="22" t="n"/>
      <c r="F9" s="22" t="n"/>
      <c r="G9" s="22" t="n"/>
      <c r="H9" s="33" t="n"/>
      <c r="I9" s="9">
        <f>IF(H9="","",H9*IF(F9="",1,F9))</f>
        <v/>
      </c>
      <c r="J9" s="22" t="n"/>
      <c r="K9" s="22" t="n"/>
      <c r="L9" s="24" t="n"/>
      <c r="M9" s="24" t="n"/>
      <c r="N9" s="22" t="n"/>
      <c r="O9" s="23" t="n"/>
    </row>
    <row r="10">
      <c r="A10" s="22" t="n"/>
      <c r="B10" s="22" t="n"/>
      <c r="C10" s="22" t="n"/>
      <c r="D10" s="23" t="n"/>
      <c r="E10" s="22" t="n"/>
      <c r="F10" s="22" t="n"/>
      <c r="G10" s="22" t="n"/>
      <c r="H10" s="33" t="n"/>
      <c r="I10" s="9">
        <f>IF(H10="","",H10*IF(F10="",1,F10))</f>
        <v/>
      </c>
      <c r="J10" s="22" t="n"/>
      <c r="K10" s="22" t="n"/>
      <c r="L10" s="24" t="n"/>
      <c r="M10" s="24" t="n"/>
      <c r="N10" s="22" t="n"/>
      <c r="O10" s="23" t="n"/>
    </row>
    <row r="11">
      <c r="A11" s="22" t="n"/>
      <c r="B11" s="22" t="n"/>
      <c r="C11" s="22" t="n"/>
      <c r="D11" s="23" t="n"/>
      <c r="E11" s="22" t="n"/>
      <c r="F11" s="22" t="n"/>
      <c r="G11" s="22" t="n"/>
      <c r="H11" s="33" t="n"/>
      <c r="I11" s="9">
        <f>IF(H11="","",H11*IF(F11="",1,F11))</f>
        <v/>
      </c>
      <c r="J11" s="22" t="n"/>
      <c r="K11" s="22" t="n"/>
      <c r="L11" s="24" t="n"/>
      <c r="M11" s="24" t="n"/>
      <c r="N11" s="22" t="n"/>
      <c r="O11" s="23" t="n"/>
    </row>
    <row r="12">
      <c r="A12" s="22" t="n"/>
      <c r="B12" s="22" t="n"/>
      <c r="C12" s="22" t="n"/>
      <c r="D12" s="23" t="n"/>
      <c r="E12" s="22" t="n"/>
      <c r="F12" s="22" t="n"/>
      <c r="G12" s="22" t="n"/>
      <c r="H12" s="33" t="n"/>
      <c r="I12" s="9">
        <f>IF(H12="","",H12*IF(F12="",1,F12))</f>
        <v/>
      </c>
      <c r="J12" s="22" t="n"/>
      <c r="K12" s="22" t="n"/>
      <c r="L12" s="24" t="n"/>
      <c r="M12" s="24" t="n"/>
      <c r="N12" s="22" t="n"/>
      <c r="O12" s="23" t="n"/>
    </row>
    <row r="13">
      <c r="A13" s="22" t="n"/>
      <c r="B13" s="22" t="n"/>
      <c r="C13" s="22" t="n"/>
      <c r="D13" s="23" t="n"/>
      <c r="E13" s="22" t="n"/>
      <c r="F13" s="22" t="n"/>
      <c r="G13" s="22" t="n"/>
      <c r="H13" s="33" t="n"/>
      <c r="I13" s="9">
        <f>IF(H13="","",H13*IF(F13="",1,F13))</f>
        <v/>
      </c>
      <c r="J13" s="22" t="n"/>
      <c r="K13" s="22" t="n"/>
      <c r="L13" s="24" t="n"/>
      <c r="M13" s="24" t="n"/>
      <c r="N13" s="22" t="n"/>
      <c r="O13" s="23" t="n"/>
    </row>
    <row r="14">
      <c r="A14" s="22" t="n"/>
      <c r="B14" s="22" t="n"/>
      <c r="C14" s="22" t="n"/>
      <c r="D14" s="23" t="n"/>
      <c r="E14" s="22" t="n"/>
      <c r="F14" s="22" t="n"/>
      <c r="G14" s="22" t="n"/>
      <c r="H14" s="33" t="n"/>
      <c r="I14" s="9">
        <f>IF(H14="","",H14*IF(F14="",1,F14))</f>
        <v/>
      </c>
      <c r="J14" s="22" t="n"/>
      <c r="K14" s="22" t="n"/>
      <c r="L14" s="24" t="n"/>
      <c r="M14" s="24" t="n"/>
      <c r="N14" s="22" t="n"/>
      <c r="O14" s="23" t="n"/>
    </row>
    <row r="15">
      <c r="A15" s="22" t="n"/>
      <c r="B15" s="22" t="n"/>
      <c r="C15" s="22" t="n"/>
      <c r="D15" s="23" t="n"/>
      <c r="E15" s="22" t="n"/>
      <c r="F15" s="22" t="n"/>
      <c r="G15" s="22" t="n"/>
      <c r="H15" s="33" t="n"/>
      <c r="I15" s="9">
        <f>IF(H15="","",H15*IF(F15="",1,F15))</f>
        <v/>
      </c>
      <c r="J15" s="22" t="n"/>
      <c r="K15" s="22" t="n"/>
      <c r="L15" s="24" t="n"/>
      <c r="M15" s="24" t="n"/>
      <c r="N15" s="22" t="n"/>
      <c r="O15" s="23" t="n"/>
    </row>
    <row r="16">
      <c r="A16" s="22" t="n"/>
      <c r="B16" s="22" t="n"/>
      <c r="C16" s="22" t="n"/>
      <c r="D16" s="23" t="n"/>
      <c r="E16" s="22" t="n"/>
      <c r="F16" s="22" t="n"/>
      <c r="G16" s="22" t="n"/>
      <c r="H16" s="33" t="n"/>
      <c r="I16" s="9">
        <f>IF(H16="","",H16*IF(F16="",1,F16))</f>
        <v/>
      </c>
      <c r="J16" s="22" t="n"/>
      <c r="K16" s="22" t="n"/>
      <c r="L16" s="24" t="n"/>
      <c r="M16" s="24" t="n"/>
      <c r="N16" s="22" t="n"/>
      <c r="O16" s="23" t="n"/>
    </row>
    <row r="17">
      <c r="A17" s="22" t="n"/>
      <c r="B17" s="22" t="n"/>
      <c r="C17" s="22" t="n"/>
      <c r="D17" s="23" t="n"/>
      <c r="E17" s="22" t="n"/>
      <c r="F17" s="22" t="n"/>
      <c r="G17" s="22" t="n"/>
      <c r="H17" s="33" t="n"/>
      <c r="I17" s="9">
        <f>IF(H17="","",H17*IF(F17="",1,F17))</f>
        <v/>
      </c>
      <c r="J17" s="22" t="n"/>
      <c r="K17" s="22" t="n"/>
      <c r="L17" s="24" t="n"/>
      <c r="M17" s="24" t="n"/>
      <c r="N17" s="22" t="n"/>
      <c r="O17" s="23" t="n"/>
    </row>
    <row r="18">
      <c r="A18" s="22" t="n"/>
      <c r="B18" s="22" t="n"/>
      <c r="C18" s="22" t="n"/>
      <c r="D18" s="23" t="n"/>
      <c r="E18" s="22" t="n"/>
      <c r="F18" s="22" t="n"/>
      <c r="G18" s="22" t="n"/>
      <c r="H18" s="33" t="n"/>
      <c r="I18" s="9">
        <f>IF(H18="","",H18*IF(F18="",1,F18))</f>
        <v/>
      </c>
      <c r="J18" s="22" t="n"/>
      <c r="K18" s="22" t="n"/>
      <c r="L18" s="24" t="n"/>
      <c r="M18" s="24" t="n"/>
      <c r="N18" s="22" t="n"/>
      <c r="O18" s="23" t="n"/>
    </row>
    <row r="19">
      <c r="A19" s="22" t="n"/>
      <c r="B19" s="22" t="n"/>
      <c r="C19" s="22" t="n"/>
      <c r="D19" s="23" t="n"/>
      <c r="E19" s="22" t="n"/>
      <c r="F19" s="22" t="n"/>
      <c r="G19" s="22" t="n"/>
      <c r="H19" s="33" t="n"/>
      <c r="I19" s="9">
        <f>IF(H19="","",H19*IF(F19="",1,F19))</f>
        <v/>
      </c>
      <c r="J19" s="22" t="n"/>
      <c r="K19" s="22" t="n"/>
      <c r="L19" s="24" t="n"/>
      <c r="M19" s="24" t="n"/>
      <c r="N19" s="22" t="n"/>
      <c r="O19" s="23" t="n"/>
    </row>
    <row r="20">
      <c r="A20" s="22" t="n"/>
      <c r="B20" s="22" t="n"/>
      <c r="C20" s="22" t="n"/>
      <c r="D20" s="23" t="n"/>
      <c r="E20" s="22" t="n"/>
      <c r="F20" s="22" t="n"/>
      <c r="G20" s="22" t="n"/>
      <c r="H20" s="33" t="n"/>
      <c r="I20" s="9">
        <f>IF(H20="","",H20*IF(F20="",1,F20))</f>
        <v/>
      </c>
      <c r="J20" s="22" t="n"/>
      <c r="K20" s="22" t="n"/>
      <c r="L20" s="24" t="n"/>
      <c r="M20" s="24" t="n"/>
      <c r="N20" s="22" t="n"/>
      <c r="O20" s="23" t="n"/>
    </row>
    <row r="21">
      <c r="A21" s="22" t="n"/>
      <c r="B21" s="22" t="n"/>
      <c r="C21" s="22" t="n"/>
      <c r="D21" s="23" t="n"/>
      <c r="E21" s="22" t="n"/>
      <c r="F21" s="22" t="n"/>
      <c r="G21" s="22" t="n"/>
      <c r="H21" s="33" t="n"/>
      <c r="I21" s="9">
        <f>IF(H21="","",H21*IF(F21="",1,F21))</f>
        <v/>
      </c>
      <c r="J21" s="22" t="n"/>
      <c r="K21" s="22" t="n"/>
      <c r="L21" s="24" t="n"/>
      <c r="M21" s="24" t="n"/>
      <c r="N21" s="22" t="n"/>
      <c r="O21" s="23" t="n"/>
    </row>
    <row r="22">
      <c r="A22" s="22" t="n"/>
      <c r="B22" s="22" t="n"/>
      <c r="C22" s="22" t="n"/>
      <c r="D22" s="23" t="n"/>
      <c r="E22" s="22" t="n"/>
      <c r="F22" s="22" t="n"/>
      <c r="G22" s="22" t="n"/>
      <c r="H22" s="33" t="n"/>
      <c r="I22" s="9">
        <f>IF(H22="","",H22*IF(F22="",1,F22))</f>
        <v/>
      </c>
      <c r="J22" s="22" t="n"/>
      <c r="K22" s="22" t="n"/>
      <c r="L22" s="24" t="n"/>
      <c r="M22" s="24" t="n"/>
      <c r="N22" s="22" t="n"/>
      <c r="O22" s="23" t="n"/>
    </row>
    <row r="23">
      <c r="A23" s="22" t="n"/>
      <c r="B23" s="22" t="n"/>
      <c r="C23" s="22" t="n"/>
      <c r="D23" s="23" t="n"/>
      <c r="E23" s="22" t="n"/>
      <c r="F23" s="22" t="n"/>
      <c r="G23" s="22" t="n"/>
      <c r="H23" s="33" t="n"/>
      <c r="I23" s="9">
        <f>IF(H23="","",H23*IF(F23="",1,F23))</f>
        <v/>
      </c>
      <c r="J23" s="22" t="n"/>
      <c r="K23" s="22" t="n"/>
      <c r="L23" s="24" t="n"/>
      <c r="M23" s="24" t="n"/>
      <c r="N23" s="22" t="n"/>
      <c r="O23" s="23" t="n"/>
    </row>
    <row r="24">
      <c r="A24" s="22" t="n"/>
      <c r="B24" s="22" t="n"/>
      <c r="C24" s="22" t="n"/>
      <c r="D24" s="23" t="n"/>
      <c r="E24" s="22" t="n"/>
      <c r="F24" s="22" t="n"/>
      <c r="G24" s="22" t="n"/>
      <c r="H24" s="33" t="n"/>
      <c r="I24" s="9">
        <f>IF(H24="","",H24*IF(F24="",1,F24))</f>
        <v/>
      </c>
      <c r="J24" s="22" t="n"/>
      <c r="K24" s="22" t="n"/>
      <c r="L24" s="24" t="n"/>
      <c r="M24" s="24" t="n"/>
      <c r="N24" s="22" t="n"/>
      <c r="O24" s="23" t="n"/>
    </row>
    <row r="25">
      <c r="A25" s="22" t="n"/>
      <c r="B25" s="22" t="n"/>
      <c r="C25" s="22" t="n"/>
      <c r="D25" s="23" t="n"/>
      <c r="E25" s="22" t="n"/>
      <c r="F25" s="22" t="n"/>
      <c r="G25" s="22" t="n"/>
      <c r="H25" s="33" t="n"/>
      <c r="I25" s="9">
        <f>IF(H25="","",H25*IF(F25="",1,F25))</f>
        <v/>
      </c>
      <c r="J25" s="22" t="n"/>
      <c r="K25" s="22" t="n"/>
      <c r="L25" s="24" t="n"/>
      <c r="M25" s="24" t="n"/>
      <c r="N25" s="22" t="n"/>
      <c r="O25" s="23" t="n"/>
    </row>
    <row r="26">
      <c r="A26" s="22" t="n"/>
      <c r="B26" s="22" t="n"/>
      <c r="C26" s="22" t="n"/>
      <c r="D26" s="23" t="n"/>
      <c r="E26" s="22" t="n"/>
      <c r="F26" s="22" t="n"/>
      <c r="G26" s="22" t="n"/>
      <c r="H26" s="33" t="n"/>
      <c r="I26" s="9">
        <f>IF(H26="","",H26*IF(F26="",1,F26))</f>
        <v/>
      </c>
      <c r="J26" s="22" t="n"/>
      <c r="K26" s="22" t="n"/>
      <c r="L26" s="24" t="n"/>
      <c r="M26" s="24" t="n"/>
      <c r="N26" s="22" t="n"/>
      <c r="O26" s="23" t="n"/>
    </row>
    <row r="27">
      <c r="A27" s="22" t="n"/>
      <c r="B27" s="22" t="n"/>
      <c r="C27" s="22" t="n"/>
      <c r="D27" s="23" t="n"/>
      <c r="E27" s="22" t="n"/>
      <c r="F27" s="22" t="n"/>
      <c r="G27" s="22" t="n"/>
      <c r="H27" s="33" t="n"/>
      <c r="I27" s="9">
        <f>IF(H27="","",H27*IF(F27="",1,F27))</f>
        <v/>
      </c>
      <c r="J27" s="22" t="n"/>
      <c r="K27" s="22" t="n"/>
      <c r="L27" s="24" t="n"/>
      <c r="M27" s="24" t="n"/>
      <c r="N27" s="22" t="n"/>
      <c r="O27" s="23" t="n"/>
    </row>
    <row r="28">
      <c r="A28" s="22" t="n"/>
      <c r="B28" s="22" t="n"/>
      <c r="C28" s="22" t="n"/>
      <c r="D28" s="23" t="n"/>
      <c r="E28" s="22" t="n"/>
      <c r="F28" s="22" t="n"/>
      <c r="G28" s="22" t="n"/>
      <c r="H28" s="33" t="n"/>
      <c r="I28" s="9">
        <f>IF(H28="","",H28*IF(F28="",1,F28))</f>
        <v/>
      </c>
      <c r="J28" s="22" t="n"/>
      <c r="K28" s="22" t="n"/>
      <c r="L28" s="24" t="n"/>
      <c r="M28" s="24" t="n"/>
      <c r="N28" s="22" t="n"/>
      <c r="O28" s="23" t="n"/>
    </row>
    <row r="29">
      <c r="A29" s="22" t="n"/>
      <c r="B29" s="22" t="n"/>
      <c r="C29" s="22" t="n"/>
      <c r="D29" s="23" t="n"/>
      <c r="E29" s="22" t="n"/>
      <c r="F29" s="22" t="n"/>
      <c r="G29" s="22" t="n"/>
      <c r="H29" s="33" t="n"/>
      <c r="I29" s="9">
        <f>IF(H29="","",H29*IF(F29="",1,F29))</f>
        <v/>
      </c>
      <c r="J29" s="22" t="n"/>
      <c r="K29" s="22" t="n"/>
      <c r="L29" s="24" t="n"/>
      <c r="M29" s="24" t="n"/>
      <c r="N29" s="22" t="n"/>
      <c r="O29" s="23" t="n"/>
    </row>
    <row r="30">
      <c r="A30" s="22" t="n"/>
      <c r="B30" s="22" t="n"/>
      <c r="C30" s="22" t="n"/>
      <c r="D30" s="23" t="n"/>
      <c r="E30" s="22" t="n"/>
      <c r="F30" s="22" t="n"/>
      <c r="G30" s="22" t="n"/>
      <c r="H30" s="33" t="n"/>
      <c r="I30" s="9">
        <f>IF(H30="","",H30*IF(F30="",1,F30))</f>
        <v/>
      </c>
      <c r="J30" s="22" t="n"/>
      <c r="K30" s="22" t="n"/>
      <c r="L30" s="24" t="n"/>
      <c r="M30" s="24" t="n"/>
      <c r="N30" s="22" t="n"/>
      <c r="O30" s="23" t="n"/>
    </row>
    <row r="31">
      <c r="A31" s="22" t="n"/>
      <c r="B31" s="22" t="n"/>
      <c r="C31" s="22" t="n"/>
      <c r="D31" s="23" t="n"/>
      <c r="E31" s="22" t="n"/>
      <c r="F31" s="22" t="n"/>
      <c r="G31" s="22" t="n"/>
      <c r="H31" s="33" t="n"/>
      <c r="I31" s="9">
        <f>IF(H31="","",H31*IF(F31="",1,F31))</f>
        <v/>
      </c>
      <c r="J31" s="22" t="n"/>
      <c r="K31" s="22" t="n"/>
      <c r="L31" s="24" t="n"/>
      <c r="M31" s="24" t="n"/>
      <c r="N31" s="22" t="n"/>
      <c r="O31" s="23" t="n"/>
    </row>
    <row r="32">
      <c r="A32" s="22" t="n"/>
      <c r="B32" s="22" t="n"/>
      <c r="C32" s="22" t="n"/>
      <c r="D32" s="23" t="n"/>
      <c r="E32" s="22" t="n"/>
      <c r="F32" s="22" t="n"/>
      <c r="G32" s="22" t="n"/>
      <c r="H32" s="33" t="n"/>
      <c r="I32" s="9">
        <f>IF(H32="","",H32*IF(F32="",1,F32))</f>
        <v/>
      </c>
      <c r="J32" s="22" t="n"/>
      <c r="K32" s="22" t="n"/>
      <c r="L32" s="24" t="n"/>
      <c r="M32" s="24" t="n"/>
      <c r="N32" s="22" t="n"/>
      <c r="O32" s="23" t="n"/>
    </row>
    <row r="33">
      <c r="A33" s="22" t="n"/>
      <c r="B33" s="22" t="n"/>
      <c r="C33" s="22" t="n"/>
      <c r="D33" s="23" t="n"/>
      <c r="E33" s="22" t="n"/>
      <c r="F33" s="22" t="n"/>
      <c r="G33" s="22" t="n"/>
      <c r="H33" s="33" t="n"/>
      <c r="I33" s="9">
        <f>IF(H33="","",H33*IF(F33="",1,F33))</f>
        <v/>
      </c>
      <c r="J33" s="22" t="n"/>
      <c r="K33" s="22" t="n"/>
      <c r="L33" s="24" t="n"/>
      <c r="M33" s="24" t="n"/>
      <c r="N33" s="22" t="n"/>
      <c r="O33" s="23" t="n"/>
    </row>
    <row r="34">
      <c r="A34" s="22" t="n"/>
      <c r="B34" s="22" t="n"/>
      <c r="C34" s="22" t="n"/>
      <c r="D34" s="23" t="n"/>
      <c r="E34" s="22" t="n"/>
      <c r="F34" s="22" t="n"/>
      <c r="G34" s="22" t="n"/>
      <c r="H34" s="33" t="n"/>
      <c r="I34" s="9">
        <f>IF(H34="","",H34*IF(F34="",1,F34))</f>
        <v/>
      </c>
      <c r="J34" s="22" t="n"/>
      <c r="K34" s="22" t="n"/>
      <c r="L34" s="24" t="n"/>
      <c r="M34" s="24" t="n"/>
      <c r="N34" s="22" t="n"/>
      <c r="O34" s="23" t="n"/>
    </row>
    <row r="35">
      <c r="A35" s="22" t="n"/>
      <c r="B35" s="22" t="n"/>
      <c r="C35" s="22" t="n"/>
      <c r="D35" s="23" t="n"/>
      <c r="E35" s="22" t="n"/>
      <c r="F35" s="22" t="n"/>
      <c r="G35" s="22" t="n"/>
      <c r="H35" s="33" t="n"/>
      <c r="I35" s="9">
        <f>IF(H35="","",H35*IF(F35="",1,F35))</f>
        <v/>
      </c>
      <c r="J35" s="22" t="n"/>
      <c r="K35" s="22" t="n"/>
      <c r="L35" s="24" t="n"/>
      <c r="M35" s="24" t="n"/>
      <c r="N35" s="22" t="n"/>
      <c r="O35" s="23" t="n"/>
    </row>
    <row r="36">
      <c r="A36" s="22" t="n"/>
      <c r="B36" s="22" t="n"/>
      <c r="C36" s="22" t="n"/>
      <c r="D36" s="23" t="n"/>
      <c r="E36" s="22" t="n"/>
      <c r="F36" s="22" t="n"/>
      <c r="G36" s="22" t="n"/>
      <c r="H36" s="33" t="n"/>
      <c r="I36" s="9">
        <f>IF(H36="","",H36*IF(F36="",1,F36))</f>
        <v/>
      </c>
      <c r="J36" s="22" t="n"/>
      <c r="K36" s="22" t="n"/>
      <c r="L36" s="24" t="n"/>
      <c r="M36" s="24" t="n"/>
      <c r="N36" s="22" t="n"/>
      <c r="O36" s="23" t="n"/>
    </row>
    <row r="37">
      <c r="A37" s="22" t="n"/>
      <c r="B37" s="22" t="n"/>
      <c r="C37" s="22" t="n"/>
      <c r="D37" s="23" t="n"/>
      <c r="E37" s="22" t="n"/>
      <c r="F37" s="22" t="n"/>
      <c r="G37" s="22" t="n"/>
      <c r="H37" s="33" t="n"/>
      <c r="I37" s="9">
        <f>IF(H37="","",H37*IF(F37="",1,F37))</f>
        <v/>
      </c>
      <c r="J37" s="22" t="n"/>
      <c r="K37" s="22" t="n"/>
      <c r="L37" s="24" t="n"/>
      <c r="M37" s="24" t="n"/>
      <c r="N37" s="22" t="n"/>
      <c r="O37" s="23" t="n"/>
    </row>
    <row r="38">
      <c r="A38" s="22" t="n"/>
      <c r="B38" s="22" t="n"/>
      <c r="C38" s="22" t="n"/>
      <c r="D38" s="23" t="n"/>
      <c r="E38" s="22" t="n"/>
      <c r="F38" s="22" t="n"/>
      <c r="G38" s="22" t="n"/>
      <c r="H38" s="33" t="n"/>
      <c r="I38" s="9">
        <f>IF(H38="","",H38*IF(F38="",1,F38))</f>
        <v/>
      </c>
      <c r="J38" s="22" t="n"/>
      <c r="K38" s="22" t="n"/>
      <c r="L38" s="24" t="n"/>
      <c r="M38" s="24" t="n"/>
      <c r="N38" s="22" t="n"/>
      <c r="O38" s="23" t="n"/>
    </row>
    <row r="39">
      <c r="A39" s="22" t="n"/>
      <c r="B39" s="22" t="n"/>
      <c r="C39" s="22" t="n"/>
      <c r="D39" s="23" t="n"/>
      <c r="E39" s="22" t="n"/>
      <c r="F39" s="22" t="n"/>
      <c r="G39" s="22" t="n"/>
      <c r="H39" s="33" t="n"/>
      <c r="I39" s="9">
        <f>IF(H39="","",H39*IF(F39="",1,F39))</f>
        <v/>
      </c>
      <c r="J39" s="22" t="n"/>
      <c r="K39" s="22" t="n"/>
      <c r="L39" s="24" t="n"/>
      <c r="M39" s="24" t="n"/>
      <c r="N39" s="22" t="n"/>
      <c r="O39" s="23" t="n"/>
    </row>
    <row r="40">
      <c r="A40" s="22" t="n"/>
      <c r="B40" s="22" t="n"/>
      <c r="C40" s="22" t="n"/>
      <c r="D40" s="23" t="n"/>
      <c r="E40" s="22" t="n"/>
      <c r="F40" s="22" t="n"/>
      <c r="G40" s="22" t="n"/>
      <c r="H40" s="33" t="n"/>
      <c r="I40" s="9">
        <f>IF(H40="","",H40*IF(F40="",1,F40))</f>
        <v/>
      </c>
      <c r="J40" s="22" t="n"/>
      <c r="K40" s="22" t="n"/>
      <c r="L40" s="24" t="n"/>
      <c r="M40" s="24" t="n"/>
      <c r="N40" s="22" t="n"/>
      <c r="O40" s="23" t="n"/>
    </row>
    <row r="41">
      <c r="A41" s="22" t="n"/>
      <c r="B41" s="22" t="n"/>
      <c r="C41" s="22" t="n"/>
      <c r="D41" s="23" t="n"/>
      <c r="E41" s="22" t="n"/>
      <c r="F41" s="22" t="n"/>
      <c r="G41" s="22" t="n"/>
      <c r="H41" s="33" t="n"/>
      <c r="I41" s="9">
        <f>IF(H41="","",H41*IF(F41="",1,F41))</f>
        <v/>
      </c>
      <c r="J41" s="22" t="n"/>
      <c r="K41" s="22" t="n"/>
      <c r="L41" s="24" t="n"/>
      <c r="M41" s="24" t="n"/>
      <c r="N41" s="22" t="n"/>
      <c r="O41" s="23" t="n"/>
    </row>
    <row r="42">
      <c r="A42" s="22" t="n"/>
      <c r="B42" s="22" t="n"/>
      <c r="C42" s="22" t="n"/>
      <c r="D42" s="23" t="n"/>
      <c r="E42" s="22" t="n"/>
      <c r="F42" s="22" t="n"/>
      <c r="G42" s="22" t="n"/>
      <c r="H42" s="33" t="n"/>
      <c r="I42" s="9">
        <f>IF(H42="","",H42*IF(F42="",1,F42))</f>
        <v/>
      </c>
      <c r="J42" s="22" t="n"/>
      <c r="K42" s="22" t="n"/>
      <c r="L42" s="24" t="n"/>
      <c r="M42" s="24" t="n"/>
      <c r="N42" s="22" t="n"/>
      <c r="O42" s="23" t="n"/>
    </row>
    <row r="43">
      <c r="A43" s="22" t="n"/>
      <c r="B43" s="22" t="n"/>
      <c r="C43" s="22" t="n"/>
      <c r="D43" s="23" t="n"/>
      <c r="E43" s="22" t="n"/>
      <c r="F43" s="22" t="n"/>
      <c r="G43" s="22" t="n"/>
      <c r="H43" s="33" t="n"/>
      <c r="I43" s="9">
        <f>IF(H43="","",H43*IF(F43="",1,F43))</f>
        <v/>
      </c>
      <c r="J43" s="22" t="n"/>
      <c r="K43" s="22" t="n"/>
      <c r="L43" s="24" t="n"/>
      <c r="M43" s="24" t="n"/>
      <c r="N43" s="22" t="n"/>
      <c r="O43" s="23" t="n"/>
    </row>
    <row r="44">
      <c r="A44" s="22" t="n"/>
      <c r="B44" s="22" t="n"/>
      <c r="C44" s="22" t="n"/>
      <c r="D44" s="23" t="n"/>
      <c r="E44" s="22" t="n"/>
      <c r="F44" s="22" t="n"/>
      <c r="G44" s="22" t="n"/>
      <c r="H44" s="33" t="n"/>
      <c r="I44" s="9">
        <f>IF(H44="","",H44*IF(F44="",1,F44))</f>
        <v/>
      </c>
      <c r="J44" s="22" t="n"/>
      <c r="K44" s="22" t="n"/>
      <c r="L44" s="24" t="n"/>
      <c r="M44" s="24" t="n"/>
      <c r="N44" s="22" t="n"/>
      <c r="O44" s="23" t="n"/>
    </row>
    <row r="45">
      <c r="A45" s="22" t="n"/>
      <c r="B45" s="22" t="n"/>
      <c r="C45" s="22" t="n"/>
      <c r="D45" s="23" t="n"/>
      <c r="E45" s="22" t="n"/>
      <c r="F45" s="22" t="n"/>
      <c r="G45" s="22" t="n"/>
      <c r="H45" s="33" t="n"/>
      <c r="I45" s="9">
        <f>IF(H45="","",H45*IF(F45="",1,F45))</f>
        <v/>
      </c>
      <c r="J45" s="22" t="n"/>
      <c r="K45" s="22" t="n"/>
      <c r="L45" s="24" t="n"/>
      <c r="M45" s="24" t="n"/>
      <c r="N45" s="22" t="n"/>
      <c r="O45" s="23" t="n"/>
    </row>
    <row r="46">
      <c r="A46" s="22" t="n"/>
      <c r="B46" s="22" t="n"/>
      <c r="C46" s="22" t="n"/>
      <c r="D46" s="23" t="n"/>
      <c r="E46" s="22" t="n"/>
      <c r="F46" s="22" t="n"/>
      <c r="G46" s="22" t="n"/>
      <c r="H46" s="33" t="n"/>
      <c r="I46" s="9">
        <f>IF(H46="","",H46*IF(F46="",1,F46))</f>
        <v/>
      </c>
      <c r="J46" s="22" t="n"/>
      <c r="K46" s="22" t="n"/>
      <c r="L46" s="24" t="n"/>
      <c r="M46" s="24" t="n"/>
      <c r="N46" s="22" t="n"/>
      <c r="O46" s="23" t="n"/>
    </row>
    <row r="47">
      <c r="A47" s="22" t="n"/>
      <c r="B47" s="22" t="n"/>
      <c r="C47" s="22" t="n"/>
      <c r="D47" s="23" t="n"/>
      <c r="E47" s="22" t="n"/>
      <c r="F47" s="22" t="n"/>
      <c r="G47" s="22" t="n"/>
      <c r="H47" s="33" t="n"/>
      <c r="I47" s="9">
        <f>IF(H47="","",H47*IF(F47="",1,F47))</f>
        <v/>
      </c>
      <c r="J47" s="22" t="n"/>
      <c r="K47" s="22" t="n"/>
      <c r="L47" s="24" t="n"/>
      <c r="M47" s="24" t="n"/>
      <c r="N47" s="22" t="n"/>
      <c r="O47" s="23" t="n"/>
    </row>
    <row r="48">
      <c r="A48" s="22" t="n"/>
      <c r="B48" s="22" t="n"/>
      <c r="C48" s="22" t="n"/>
      <c r="D48" s="23" t="n"/>
      <c r="E48" s="22" t="n"/>
      <c r="F48" s="22" t="n"/>
      <c r="G48" s="22" t="n"/>
      <c r="H48" s="33" t="n"/>
      <c r="I48" s="9">
        <f>IF(H48="","",H48*IF(F48="",1,F48))</f>
        <v/>
      </c>
      <c r="J48" s="22" t="n"/>
      <c r="K48" s="22" t="n"/>
      <c r="L48" s="24" t="n"/>
      <c r="M48" s="24" t="n"/>
      <c r="N48" s="22" t="n"/>
      <c r="O48" s="23" t="n"/>
    </row>
    <row r="49">
      <c r="A49" s="22" t="n"/>
      <c r="B49" s="22" t="n"/>
      <c r="C49" s="22" t="n"/>
      <c r="D49" s="23" t="n"/>
      <c r="E49" s="22" t="n"/>
      <c r="F49" s="22" t="n"/>
      <c r="G49" s="22" t="n"/>
      <c r="H49" s="33" t="n"/>
      <c r="I49" s="9">
        <f>IF(H49="","",H49*IF(F49="",1,F49))</f>
        <v/>
      </c>
      <c r="J49" s="22" t="n"/>
      <c r="K49" s="22" t="n"/>
      <c r="L49" s="24" t="n"/>
      <c r="M49" s="24" t="n"/>
      <c r="N49" s="22" t="n"/>
      <c r="O49" s="23" t="n"/>
    </row>
    <row r="50">
      <c r="A50" s="22" t="n"/>
      <c r="B50" s="22" t="n"/>
      <c r="C50" s="22" t="n"/>
      <c r="D50" s="23" t="n"/>
      <c r="E50" s="22" t="n"/>
      <c r="F50" s="22" t="n"/>
      <c r="G50" s="22" t="n"/>
      <c r="H50" s="33" t="n"/>
      <c r="I50" s="9">
        <f>IF(H50="","",H50*IF(F50="",1,F50))</f>
        <v/>
      </c>
      <c r="J50" s="22" t="n"/>
      <c r="K50" s="22" t="n"/>
      <c r="L50" s="24" t="n"/>
      <c r="M50" s="24" t="n"/>
      <c r="N50" s="22" t="n"/>
      <c r="O50" s="23" t="n"/>
    </row>
    <row r="51">
      <c r="A51" s="22" t="n"/>
      <c r="B51" s="22" t="n"/>
      <c r="C51" s="22" t="n"/>
      <c r="D51" s="23" t="n"/>
      <c r="E51" s="22" t="n"/>
      <c r="F51" s="22" t="n"/>
      <c r="G51" s="22" t="n"/>
      <c r="H51" s="33" t="n"/>
      <c r="I51" s="9">
        <f>IF(H51="","",H51*IF(F51="",1,F51))</f>
        <v/>
      </c>
      <c r="J51" s="22" t="n"/>
      <c r="K51" s="22" t="n"/>
      <c r="L51" s="24" t="n"/>
      <c r="M51" s="24" t="n"/>
      <c r="N51" s="22" t="n"/>
      <c r="O51" s="23" t="n"/>
    </row>
    <row r="52">
      <c r="A52" s="22" t="n"/>
      <c r="B52" s="22" t="n"/>
      <c r="C52" s="22" t="n"/>
      <c r="D52" s="23" t="n"/>
      <c r="E52" s="22" t="n"/>
      <c r="F52" s="22" t="n"/>
      <c r="G52" s="22" t="n"/>
      <c r="H52" s="33" t="n"/>
      <c r="I52" s="9">
        <f>IF(H52="","",H52*IF(F52="",1,F52))</f>
        <v/>
      </c>
      <c r="J52" s="22" t="n"/>
      <c r="K52" s="22" t="n"/>
      <c r="L52" s="24" t="n"/>
      <c r="M52" s="24" t="n"/>
      <c r="N52" s="22" t="n"/>
      <c r="O52" s="23" t="n"/>
    </row>
    <row r="53">
      <c r="A53" s="22" t="n"/>
      <c r="B53" s="22" t="n"/>
      <c r="C53" s="22" t="n"/>
      <c r="D53" s="23" t="n"/>
      <c r="E53" s="22" t="n"/>
      <c r="F53" s="22" t="n"/>
      <c r="G53" s="22" t="n"/>
      <c r="H53" s="33" t="n"/>
      <c r="I53" s="9">
        <f>IF(H53="","",H53*IF(F53="",1,F53))</f>
        <v/>
      </c>
      <c r="J53" s="22" t="n"/>
      <c r="K53" s="22" t="n"/>
      <c r="L53" s="24" t="n"/>
      <c r="M53" s="24" t="n"/>
      <c r="N53" s="22" t="n"/>
      <c r="O53" s="23" t="n"/>
    </row>
    <row r="54">
      <c r="A54" s="22" t="n"/>
      <c r="B54" s="22" t="n"/>
      <c r="C54" s="22" t="n"/>
      <c r="D54" s="23" t="n"/>
      <c r="E54" s="22" t="n"/>
      <c r="F54" s="22" t="n"/>
      <c r="G54" s="22" t="n"/>
      <c r="H54" s="33" t="n"/>
      <c r="I54" s="9">
        <f>IF(H54="","",H54*IF(F54="",1,F54))</f>
        <v/>
      </c>
      <c r="J54" s="22" t="n"/>
      <c r="K54" s="22" t="n"/>
      <c r="L54" s="24" t="n"/>
      <c r="M54" s="24" t="n"/>
      <c r="N54" s="22" t="n"/>
      <c r="O54" s="23" t="n"/>
    </row>
    <row r="55">
      <c r="A55" s="22" t="n"/>
      <c r="B55" s="22" t="n"/>
      <c r="C55" s="22" t="n"/>
      <c r="D55" s="23" t="n"/>
      <c r="E55" s="22" t="n"/>
      <c r="F55" s="22" t="n"/>
      <c r="G55" s="22" t="n"/>
      <c r="H55" s="33" t="n"/>
      <c r="I55" s="9">
        <f>IF(H55="","",H55*IF(F55="",1,F55))</f>
        <v/>
      </c>
      <c r="J55" s="22" t="n"/>
      <c r="K55" s="22" t="n"/>
      <c r="L55" s="24" t="n"/>
      <c r="M55" s="24" t="n"/>
      <c r="N55" s="22" t="n"/>
      <c r="O55" s="23" t="n"/>
    </row>
    <row r="56">
      <c r="A56" s="22" t="n"/>
      <c r="B56" s="22" t="n"/>
      <c r="C56" s="22" t="n"/>
      <c r="D56" s="23" t="n"/>
      <c r="E56" s="22" t="n"/>
      <c r="F56" s="22" t="n"/>
      <c r="G56" s="22" t="n"/>
      <c r="H56" s="33" t="n"/>
      <c r="I56" s="9">
        <f>IF(H56="","",H56*IF(F56="",1,F56))</f>
        <v/>
      </c>
      <c r="J56" s="22" t="n"/>
      <c r="K56" s="22" t="n"/>
      <c r="L56" s="24" t="n"/>
      <c r="M56" s="24" t="n"/>
      <c r="N56" s="22" t="n"/>
      <c r="O56" s="23" t="n"/>
    </row>
    <row r="57">
      <c r="A57" s="22" t="n"/>
      <c r="B57" s="22" t="n"/>
      <c r="C57" s="22" t="n"/>
      <c r="D57" s="23" t="n"/>
      <c r="E57" s="22" t="n"/>
      <c r="F57" s="22" t="n"/>
      <c r="G57" s="22" t="n"/>
      <c r="H57" s="33" t="n"/>
      <c r="I57" s="9">
        <f>IF(H57="","",H57*IF(F57="",1,F57))</f>
        <v/>
      </c>
      <c r="J57" s="22" t="n"/>
      <c r="K57" s="22" t="n"/>
      <c r="L57" s="24" t="n"/>
      <c r="M57" s="24" t="n"/>
      <c r="N57" s="22" t="n"/>
      <c r="O57" s="23" t="n"/>
    </row>
    <row r="58">
      <c r="A58" s="22" t="n"/>
      <c r="B58" s="22" t="n"/>
      <c r="C58" s="22" t="n"/>
      <c r="D58" s="23" t="n"/>
      <c r="E58" s="22" t="n"/>
      <c r="F58" s="22" t="n"/>
      <c r="G58" s="22" t="n"/>
      <c r="H58" s="33" t="n"/>
      <c r="I58" s="9">
        <f>IF(H58="","",H58*IF(F58="",1,F58))</f>
        <v/>
      </c>
      <c r="J58" s="22" t="n"/>
      <c r="K58" s="22" t="n"/>
      <c r="L58" s="24" t="n"/>
      <c r="M58" s="24" t="n"/>
      <c r="N58" s="22" t="n"/>
      <c r="O58" s="23" t="n"/>
    </row>
    <row r="59">
      <c r="A59" s="22" t="n"/>
      <c r="B59" s="22" t="n"/>
      <c r="C59" s="22" t="n"/>
      <c r="D59" s="23" t="n"/>
      <c r="E59" s="22" t="n"/>
      <c r="F59" s="22" t="n"/>
      <c r="G59" s="22" t="n"/>
      <c r="H59" s="33" t="n"/>
      <c r="I59" s="9">
        <f>IF(H59="","",H59*IF(F59="",1,F59))</f>
        <v/>
      </c>
      <c r="J59" s="22" t="n"/>
      <c r="K59" s="22" t="n"/>
      <c r="L59" s="24" t="n"/>
      <c r="M59" s="24" t="n"/>
      <c r="N59" s="22" t="n"/>
      <c r="O59" s="23" t="n"/>
    </row>
    <row r="60">
      <c r="A60" s="22" t="n"/>
      <c r="B60" s="22" t="n"/>
      <c r="C60" s="22" t="n"/>
      <c r="D60" s="23" t="n"/>
      <c r="E60" s="22" t="n"/>
      <c r="F60" s="22" t="n"/>
      <c r="G60" s="22" t="n"/>
      <c r="H60" s="33" t="n"/>
      <c r="I60" s="9">
        <f>IF(H60="","",H60*IF(F60="",1,F60))</f>
        <v/>
      </c>
      <c r="J60" s="22" t="n"/>
      <c r="K60" s="22" t="n"/>
      <c r="L60" s="24" t="n"/>
      <c r="M60" s="24" t="n"/>
      <c r="N60" s="22" t="n"/>
      <c r="O60" s="23" t="n"/>
    </row>
    <row r="61">
      <c r="A61" s="22" t="n"/>
      <c r="B61" s="22" t="n"/>
      <c r="C61" s="22" t="n"/>
      <c r="D61" s="23" t="n"/>
      <c r="E61" s="22" t="n"/>
      <c r="F61" s="22" t="n"/>
      <c r="G61" s="22" t="n"/>
      <c r="H61" s="33" t="n"/>
      <c r="I61" s="9">
        <f>IF(H61="","",H61*IF(F61="",1,F61))</f>
        <v/>
      </c>
      <c r="J61" s="22" t="n"/>
      <c r="K61" s="22" t="n"/>
      <c r="L61" s="24" t="n"/>
      <c r="M61" s="24" t="n"/>
      <c r="N61" s="22" t="n"/>
      <c r="O61" s="23" t="n"/>
    </row>
    <row r="62">
      <c r="A62" s="22" t="n"/>
      <c r="B62" s="22" t="n"/>
      <c r="C62" s="22" t="n"/>
      <c r="D62" s="23" t="n"/>
      <c r="E62" s="22" t="n"/>
      <c r="F62" s="22" t="n"/>
      <c r="G62" s="22" t="n"/>
      <c r="H62" s="33" t="n"/>
      <c r="I62" s="9">
        <f>IF(H62="","",H62*IF(F62="",1,F62))</f>
        <v/>
      </c>
      <c r="J62" s="22" t="n"/>
      <c r="K62" s="22" t="n"/>
      <c r="L62" s="24" t="n"/>
      <c r="M62" s="24" t="n"/>
      <c r="N62" s="22" t="n"/>
      <c r="O62" s="23" t="n"/>
    </row>
    <row r="63">
      <c r="A63" s="22" t="n"/>
      <c r="B63" s="22" t="n"/>
      <c r="C63" s="22" t="n"/>
      <c r="D63" s="23" t="n"/>
      <c r="E63" s="22" t="n"/>
      <c r="F63" s="22" t="n"/>
      <c r="G63" s="22" t="n"/>
      <c r="H63" s="33" t="n"/>
      <c r="I63" s="9">
        <f>IF(H63="","",H63*IF(F63="",1,F63))</f>
        <v/>
      </c>
      <c r="J63" s="22" t="n"/>
      <c r="K63" s="22" t="n"/>
      <c r="L63" s="24" t="n"/>
      <c r="M63" s="24" t="n"/>
      <c r="N63" s="22" t="n"/>
      <c r="O63" s="23" t="n"/>
    </row>
    <row r="64">
      <c r="A64" s="22" t="n"/>
      <c r="B64" s="22" t="n"/>
      <c r="C64" s="22" t="n"/>
      <c r="D64" s="23" t="n"/>
      <c r="E64" s="22" t="n"/>
      <c r="F64" s="22" t="n"/>
      <c r="G64" s="22" t="n"/>
      <c r="H64" s="33" t="n"/>
      <c r="I64" s="9">
        <f>IF(H64="","",H64*IF(F64="",1,F64))</f>
        <v/>
      </c>
      <c r="J64" s="22" t="n"/>
      <c r="K64" s="22" t="n"/>
      <c r="L64" s="24" t="n"/>
      <c r="M64" s="24" t="n"/>
      <c r="N64" s="22" t="n"/>
      <c r="O64" s="23" t="n"/>
    </row>
    <row r="65">
      <c r="A65" s="22" t="n"/>
      <c r="B65" s="22" t="n"/>
      <c r="C65" s="22" t="n"/>
      <c r="D65" s="23" t="n"/>
      <c r="E65" s="22" t="n"/>
      <c r="F65" s="22" t="n"/>
      <c r="G65" s="22" t="n"/>
      <c r="H65" s="33" t="n"/>
      <c r="I65" s="9">
        <f>IF(H65="","",H65*IF(F65="",1,F65))</f>
        <v/>
      </c>
      <c r="J65" s="22" t="n"/>
      <c r="K65" s="22" t="n"/>
      <c r="L65" s="24" t="n"/>
      <c r="M65" s="24" t="n"/>
      <c r="N65" s="22" t="n"/>
      <c r="O65" s="23" t="n"/>
    </row>
    <row r="66">
      <c r="A66" s="22" t="n"/>
      <c r="B66" s="22" t="n"/>
      <c r="C66" s="22" t="n"/>
      <c r="D66" s="23" t="n"/>
      <c r="E66" s="22" t="n"/>
      <c r="F66" s="22" t="n"/>
      <c r="G66" s="22" t="n"/>
      <c r="H66" s="33" t="n"/>
      <c r="I66" s="9">
        <f>IF(H66="","",H66*IF(F66="",1,F66))</f>
        <v/>
      </c>
      <c r="J66" s="22" t="n"/>
      <c r="K66" s="22" t="n"/>
      <c r="L66" s="24" t="n"/>
      <c r="M66" s="24" t="n"/>
      <c r="N66" s="22" t="n"/>
      <c r="O66" s="23" t="n"/>
    </row>
    <row r="67">
      <c r="A67" s="22" t="n"/>
      <c r="B67" s="22" t="n"/>
      <c r="C67" s="22" t="n"/>
      <c r="D67" s="23" t="n"/>
      <c r="E67" s="22" t="n"/>
      <c r="F67" s="22" t="n"/>
      <c r="G67" s="22" t="n"/>
      <c r="H67" s="33" t="n"/>
      <c r="I67" s="9">
        <f>IF(H67="","",H67*IF(F67="",1,F67))</f>
        <v/>
      </c>
      <c r="J67" s="22" t="n"/>
      <c r="K67" s="22" t="n"/>
      <c r="L67" s="24" t="n"/>
      <c r="M67" s="24" t="n"/>
      <c r="N67" s="22" t="n"/>
      <c r="O67" s="23" t="n"/>
    </row>
    <row r="68">
      <c r="A68" s="22" t="n"/>
      <c r="B68" s="22" t="n"/>
      <c r="C68" s="22" t="n"/>
      <c r="D68" s="23" t="n"/>
      <c r="E68" s="22" t="n"/>
      <c r="F68" s="22" t="n"/>
      <c r="G68" s="22" t="n"/>
      <c r="H68" s="33" t="n"/>
      <c r="I68" s="9">
        <f>IF(H68="","",H68*IF(F68="",1,F68))</f>
        <v/>
      </c>
      <c r="J68" s="22" t="n"/>
      <c r="K68" s="22" t="n"/>
      <c r="L68" s="24" t="n"/>
      <c r="M68" s="24" t="n"/>
      <c r="N68" s="22" t="n"/>
      <c r="O68" s="23" t="n"/>
    </row>
    <row r="69">
      <c r="A69" s="22" t="n"/>
      <c r="B69" s="22" t="n"/>
      <c r="C69" s="22" t="n"/>
      <c r="D69" s="23" t="n"/>
      <c r="E69" s="22" t="n"/>
      <c r="F69" s="22" t="n"/>
      <c r="G69" s="22" t="n"/>
      <c r="H69" s="33" t="n"/>
      <c r="I69" s="9">
        <f>IF(H69="","",H69*IF(F69="",1,F69))</f>
        <v/>
      </c>
      <c r="J69" s="22" t="n"/>
      <c r="K69" s="22" t="n"/>
      <c r="L69" s="24" t="n"/>
      <c r="M69" s="24" t="n"/>
      <c r="N69" s="22" t="n"/>
      <c r="O69" s="23" t="n"/>
    </row>
    <row r="70">
      <c r="A70" s="22" t="n"/>
      <c r="B70" s="22" t="n"/>
      <c r="C70" s="22" t="n"/>
      <c r="D70" s="23" t="n"/>
      <c r="E70" s="22" t="n"/>
      <c r="F70" s="22" t="n"/>
      <c r="G70" s="22" t="n"/>
      <c r="H70" s="33" t="n"/>
      <c r="I70" s="9">
        <f>IF(H70="","",H70*IF(F70="",1,F70))</f>
        <v/>
      </c>
      <c r="J70" s="22" t="n"/>
      <c r="K70" s="22" t="n"/>
      <c r="L70" s="24" t="n"/>
      <c r="M70" s="24" t="n"/>
      <c r="N70" s="22" t="n"/>
      <c r="O70" s="23" t="n"/>
    </row>
    <row r="71">
      <c r="A71" s="22" t="n"/>
      <c r="B71" s="22" t="n"/>
      <c r="C71" s="22" t="n"/>
      <c r="D71" s="23" t="n"/>
      <c r="E71" s="22" t="n"/>
      <c r="F71" s="22" t="n"/>
      <c r="G71" s="22" t="n"/>
      <c r="H71" s="33" t="n"/>
      <c r="I71" s="9">
        <f>IF(H71="","",H71*IF(F71="",1,F71))</f>
        <v/>
      </c>
      <c r="J71" s="22" t="n"/>
      <c r="K71" s="22" t="n"/>
      <c r="L71" s="24" t="n"/>
      <c r="M71" s="24" t="n"/>
      <c r="N71" s="22" t="n"/>
      <c r="O71" s="23" t="n"/>
    </row>
    <row r="72">
      <c r="A72" s="22" t="n"/>
      <c r="B72" s="22" t="n"/>
      <c r="C72" s="22" t="n"/>
      <c r="D72" s="23" t="n"/>
      <c r="E72" s="22" t="n"/>
      <c r="F72" s="22" t="n"/>
      <c r="G72" s="22" t="n"/>
      <c r="H72" s="33" t="n"/>
      <c r="I72" s="9">
        <f>IF(H72="","",H72*IF(F72="",1,F72))</f>
        <v/>
      </c>
      <c r="J72" s="22" t="n"/>
      <c r="K72" s="22" t="n"/>
      <c r="L72" s="24" t="n"/>
      <c r="M72" s="24" t="n"/>
      <c r="N72" s="22" t="n"/>
      <c r="O72" s="23" t="n"/>
    </row>
    <row r="73">
      <c r="A73" s="22" t="n"/>
      <c r="B73" s="22" t="n"/>
      <c r="C73" s="22" t="n"/>
      <c r="D73" s="23" t="n"/>
      <c r="E73" s="22" t="n"/>
      <c r="F73" s="22" t="n"/>
      <c r="G73" s="22" t="n"/>
      <c r="H73" s="33" t="n"/>
      <c r="I73" s="9">
        <f>IF(H73="","",H73*IF(F73="",1,F73))</f>
        <v/>
      </c>
      <c r="J73" s="22" t="n"/>
      <c r="K73" s="22" t="n"/>
      <c r="L73" s="24" t="n"/>
      <c r="M73" s="24" t="n"/>
      <c r="N73" s="22" t="n"/>
      <c r="O73" s="23" t="n"/>
    </row>
    <row r="74">
      <c r="A74" s="22" t="n"/>
      <c r="B74" s="22" t="n"/>
      <c r="C74" s="22" t="n"/>
      <c r="D74" s="23" t="n"/>
      <c r="E74" s="22" t="n"/>
      <c r="F74" s="22" t="n"/>
      <c r="G74" s="22" t="n"/>
      <c r="H74" s="33" t="n"/>
      <c r="I74" s="9">
        <f>IF(H74="","",H74*IF(F74="",1,F74))</f>
        <v/>
      </c>
      <c r="J74" s="22" t="n"/>
      <c r="K74" s="22" t="n"/>
      <c r="L74" s="24" t="n"/>
      <c r="M74" s="24" t="n"/>
      <c r="N74" s="22" t="n"/>
      <c r="O74" s="23" t="n"/>
    </row>
    <row r="75">
      <c r="A75" s="22" t="n"/>
      <c r="B75" s="22" t="n"/>
      <c r="C75" s="22" t="n"/>
      <c r="D75" s="23" t="n"/>
      <c r="E75" s="22" t="n"/>
      <c r="F75" s="22" t="n"/>
      <c r="G75" s="22" t="n"/>
      <c r="H75" s="33" t="n"/>
      <c r="I75" s="9">
        <f>IF(H75="","",H75*IF(F75="",1,F75))</f>
        <v/>
      </c>
      <c r="J75" s="22" t="n"/>
      <c r="K75" s="22" t="n"/>
      <c r="L75" s="24" t="n"/>
      <c r="M75" s="24" t="n"/>
      <c r="N75" s="22" t="n"/>
      <c r="O75" s="23" t="n"/>
    </row>
    <row r="76">
      <c r="A76" s="22" t="n"/>
      <c r="B76" s="22" t="n"/>
      <c r="C76" s="22" t="n"/>
      <c r="D76" s="23" t="n"/>
      <c r="E76" s="22" t="n"/>
      <c r="F76" s="22" t="n"/>
      <c r="G76" s="22" t="n"/>
      <c r="H76" s="33" t="n"/>
      <c r="I76" s="9">
        <f>IF(H76="","",H76*IF(F76="",1,F76))</f>
        <v/>
      </c>
      <c r="J76" s="22" t="n"/>
      <c r="K76" s="22" t="n"/>
      <c r="L76" s="24" t="n"/>
      <c r="M76" s="24" t="n"/>
      <c r="N76" s="22" t="n"/>
      <c r="O76" s="23" t="n"/>
    </row>
    <row r="77">
      <c r="A77" s="22" t="n"/>
      <c r="B77" s="22" t="n"/>
      <c r="C77" s="22" t="n"/>
      <c r="D77" s="23" t="n"/>
      <c r="E77" s="22" t="n"/>
      <c r="F77" s="22" t="n"/>
      <c r="G77" s="22" t="n"/>
      <c r="H77" s="33" t="n"/>
      <c r="I77" s="9">
        <f>IF(H77="","",H77*IF(F77="",1,F77))</f>
        <v/>
      </c>
      <c r="J77" s="22" t="n"/>
      <c r="K77" s="22" t="n"/>
      <c r="L77" s="24" t="n"/>
      <c r="M77" s="24" t="n"/>
      <c r="N77" s="22" t="n"/>
      <c r="O77" s="23" t="n"/>
    </row>
    <row r="78">
      <c r="A78" s="22" t="n"/>
      <c r="B78" s="22" t="n"/>
      <c r="C78" s="22" t="n"/>
      <c r="D78" s="23" t="n"/>
      <c r="E78" s="22" t="n"/>
      <c r="F78" s="22" t="n"/>
      <c r="G78" s="22" t="n"/>
      <c r="H78" s="33" t="n"/>
      <c r="I78" s="9">
        <f>IF(H78="","",H78*IF(F78="",1,F78))</f>
        <v/>
      </c>
      <c r="J78" s="22" t="n"/>
      <c r="K78" s="22" t="n"/>
      <c r="L78" s="24" t="n"/>
      <c r="M78" s="24" t="n"/>
      <c r="N78" s="22" t="n"/>
      <c r="O78" s="23" t="n"/>
    </row>
    <row r="79">
      <c r="A79" s="22" t="n"/>
      <c r="B79" s="22" t="n"/>
      <c r="C79" s="22" t="n"/>
      <c r="D79" s="23" t="n"/>
      <c r="E79" s="22" t="n"/>
      <c r="F79" s="22" t="n"/>
      <c r="G79" s="22" t="n"/>
      <c r="H79" s="33" t="n"/>
      <c r="I79" s="9">
        <f>IF(H79="","",H79*IF(F79="",1,F79))</f>
        <v/>
      </c>
      <c r="J79" s="22" t="n"/>
      <c r="K79" s="22" t="n"/>
      <c r="L79" s="24" t="n"/>
      <c r="M79" s="24" t="n"/>
      <c r="N79" s="22" t="n"/>
      <c r="O79" s="23" t="n"/>
    </row>
    <row r="80">
      <c r="A80" s="22" t="n"/>
      <c r="B80" s="22" t="n"/>
      <c r="C80" s="22" t="n"/>
      <c r="D80" s="23" t="n"/>
      <c r="E80" s="22" t="n"/>
      <c r="F80" s="22" t="n"/>
      <c r="G80" s="22" t="n"/>
      <c r="H80" s="33" t="n"/>
      <c r="I80" s="9">
        <f>IF(H80="","",H80*IF(F80="",1,F80))</f>
        <v/>
      </c>
      <c r="J80" s="22" t="n"/>
      <c r="K80" s="22" t="n"/>
      <c r="L80" s="24" t="n"/>
      <c r="M80" s="24" t="n"/>
      <c r="N80" s="22" t="n"/>
      <c r="O80" s="23" t="n"/>
    </row>
    <row r="81">
      <c r="A81" s="22" t="n"/>
      <c r="B81" s="22" t="n"/>
      <c r="C81" s="22" t="n"/>
      <c r="D81" s="23" t="n"/>
      <c r="E81" s="22" t="n"/>
      <c r="F81" s="22" t="n"/>
      <c r="G81" s="22" t="n"/>
      <c r="H81" s="33" t="n"/>
      <c r="I81" s="9">
        <f>IF(H81="","",H81*IF(F81="",1,F81))</f>
        <v/>
      </c>
      <c r="J81" s="22" t="n"/>
      <c r="K81" s="22" t="n"/>
      <c r="L81" s="24" t="n"/>
      <c r="M81" s="24" t="n"/>
      <c r="N81" s="22" t="n"/>
      <c r="O81" s="23" t="n"/>
    </row>
    <row r="82">
      <c r="A82" s="22" t="n"/>
      <c r="B82" s="22" t="n"/>
      <c r="C82" s="22" t="n"/>
      <c r="D82" s="23" t="n"/>
      <c r="E82" s="22" t="n"/>
      <c r="F82" s="22" t="n"/>
      <c r="G82" s="22" t="n"/>
      <c r="H82" s="33" t="n"/>
      <c r="I82" s="9">
        <f>IF(H82="","",H82*IF(F82="",1,F82))</f>
        <v/>
      </c>
      <c r="J82" s="22" t="n"/>
      <c r="K82" s="22" t="n"/>
      <c r="L82" s="24" t="n"/>
      <c r="M82" s="24" t="n"/>
      <c r="N82" s="22" t="n"/>
      <c r="O82" s="23" t="n"/>
    </row>
    <row r="83">
      <c r="A83" s="22" t="n"/>
      <c r="B83" s="22" t="n"/>
      <c r="C83" s="22" t="n"/>
      <c r="D83" s="23" t="n"/>
      <c r="E83" s="22" t="n"/>
      <c r="F83" s="22" t="n"/>
      <c r="G83" s="22" t="n"/>
      <c r="H83" s="33" t="n"/>
      <c r="I83" s="9">
        <f>IF(H83="","",H83*IF(F83="",1,F83))</f>
        <v/>
      </c>
      <c r="J83" s="22" t="n"/>
      <c r="K83" s="22" t="n"/>
      <c r="L83" s="24" t="n"/>
      <c r="M83" s="24" t="n"/>
      <c r="N83" s="22" t="n"/>
      <c r="O83" s="23" t="n"/>
    </row>
    <row r="84">
      <c r="A84" s="22" t="n"/>
      <c r="B84" s="22" t="n"/>
      <c r="C84" s="22" t="n"/>
      <c r="D84" s="23" t="n"/>
      <c r="E84" s="22" t="n"/>
      <c r="F84" s="22" t="n"/>
      <c r="G84" s="22" t="n"/>
      <c r="H84" s="33" t="n"/>
      <c r="I84" s="9">
        <f>IF(H84="","",H84*IF(F84="",1,F84))</f>
        <v/>
      </c>
      <c r="J84" s="22" t="n"/>
      <c r="K84" s="22" t="n"/>
      <c r="L84" s="24" t="n"/>
      <c r="M84" s="24" t="n"/>
      <c r="N84" s="22" t="n"/>
      <c r="O84" s="23" t="n"/>
    </row>
    <row r="85">
      <c r="A85" s="22" t="n"/>
      <c r="B85" s="22" t="n"/>
      <c r="C85" s="22" t="n"/>
      <c r="D85" s="23" t="n"/>
      <c r="E85" s="22" t="n"/>
      <c r="F85" s="22" t="n"/>
      <c r="G85" s="22" t="n"/>
      <c r="H85" s="33" t="n"/>
      <c r="I85" s="9">
        <f>IF(H85="","",H85*IF(F85="",1,F85))</f>
        <v/>
      </c>
      <c r="J85" s="22" t="n"/>
      <c r="K85" s="22" t="n"/>
      <c r="L85" s="24" t="n"/>
      <c r="M85" s="24" t="n"/>
      <c r="N85" s="22" t="n"/>
      <c r="O85" s="23" t="n"/>
    </row>
    <row r="86">
      <c r="A86" s="22" t="n"/>
      <c r="B86" s="22" t="n"/>
      <c r="C86" s="22" t="n"/>
      <c r="D86" s="23" t="n"/>
      <c r="E86" s="22" t="n"/>
      <c r="F86" s="22" t="n"/>
      <c r="G86" s="22" t="n"/>
      <c r="H86" s="33" t="n"/>
      <c r="I86" s="9">
        <f>IF(H86="","",H86*IF(F86="",1,F86))</f>
        <v/>
      </c>
      <c r="J86" s="22" t="n"/>
      <c r="K86" s="22" t="n"/>
      <c r="L86" s="24" t="n"/>
      <c r="M86" s="24" t="n"/>
      <c r="N86" s="22" t="n"/>
      <c r="O86" s="23" t="n"/>
    </row>
    <row r="87">
      <c r="A87" s="22" t="n"/>
      <c r="B87" s="22" t="n"/>
      <c r="C87" s="22" t="n"/>
      <c r="D87" s="23" t="n"/>
      <c r="E87" s="22" t="n"/>
      <c r="F87" s="22" t="n"/>
      <c r="G87" s="22" t="n"/>
      <c r="H87" s="33" t="n"/>
      <c r="I87" s="9">
        <f>IF(H87="","",H87*IF(F87="",1,F87))</f>
        <v/>
      </c>
      <c r="J87" s="22" t="n"/>
      <c r="K87" s="22" t="n"/>
      <c r="L87" s="24" t="n"/>
      <c r="M87" s="24" t="n"/>
      <c r="N87" s="22" t="n"/>
      <c r="O87" s="23" t="n"/>
    </row>
    <row r="88">
      <c r="A88" s="22" t="n"/>
      <c r="B88" s="22" t="n"/>
      <c r="C88" s="22" t="n"/>
      <c r="D88" s="23" t="n"/>
      <c r="E88" s="22" t="n"/>
      <c r="F88" s="22" t="n"/>
      <c r="G88" s="22" t="n"/>
      <c r="H88" s="33" t="n"/>
      <c r="I88" s="9">
        <f>IF(H88="","",H88*IF(F88="",1,F88))</f>
        <v/>
      </c>
      <c r="J88" s="22" t="n"/>
      <c r="K88" s="22" t="n"/>
      <c r="L88" s="24" t="n"/>
      <c r="M88" s="24" t="n"/>
      <c r="N88" s="22" t="n"/>
      <c r="O88" s="23" t="n"/>
    </row>
    <row r="89">
      <c r="A89" s="22" t="n"/>
      <c r="B89" s="22" t="n"/>
      <c r="C89" s="22" t="n"/>
      <c r="D89" s="23" t="n"/>
      <c r="E89" s="22" t="n"/>
      <c r="F89" s="22" t="n"/>
      <c r="G89" s="22" t="n"/>
      <c r="H89" s="33" t="n"/>
      <c r="I89" s="9">
        <f>IF(H89="","",H89*IF(F89="",1,F89))</f>
        <v/>
      </c>
      <c r="J89" s="22" t="n"/>
      <c r="K89" s="22" t="n"/>
      <c r="L89" s="24" t="n"/>
      <c r="M89" s="24" t="n"/>
      <c r="N89" s="22" t="n"/>
      <c r="O89" s="23" t="n"/>
    </row>
    <row r="90">
      <c r="A90" s="22" t="n"/>
      <c r="B90" s="22" t="n"/>
      <c r="C90" s="22" t="n"/>
      <c r="D90" s="23" t="n"/>
      <c r="E90" s="22" t="n"/>
      <c r="F90" s="22" t="n"/>
      <c r="G90" s="22" t="n"/>
      <c r="H90" s="33" t="n"/>
      <c r="I90" s="9">
        <f>IF(H90="","",H90*IF(F90="",1,F90))</f>
        <v/>
      </c>
      <c r="J90" s="22" t="n"/>
      <c r="K90" s="22" t="n"/>
      <c r="L90" s="24" t="n"/>
      <c r="M90" s="24" t="n"/>
      <c r="N90" s="22" t="n"/>
      <c r="O90" s="23" t="n"/>
    </row>
    <row r="91">
      <c r="A91" s="22" t="n"/>
      <c r="B91" s="22" t="n"/>
      <c r="C91" s="22" t="n"/>
      <c r="D91" s="23" t="n"/>
      <c r="E91" s="22" t="n"/>
      <c r="F91" s="22" t="n"/>
      <c r="G91" s="22" t="n"/>
      <c r="H91" s="33" t="n"/>
      <c r="I91" s="9">
        <f>IF(H91="","",H91*IF(F91="",1,F91))</f>
        <v/>
      </c>
      <c r="J91" s="22" t="n"/>
      <c r="K91" s="22" t="n"/>
      <c r="L91" s="24" t="n"/>
      <c r="M91" s="24" t="n"/>
      <c r="N91" s="22" t="n"/>
      <c r="O91" s="23" t="n"/>
    </row>
    <row r="92">
      <c r="A92" s="22" t="n"/>
      <c r="B92" s="22" t="n"/>
      <c r="C92" s="22" t="n"/>
      <c r="D92" s="23" t="n"/>
      <c r="E92" s="22" t="n"/>
      <c r="F92" s="22" t="n"/>
      <c r="G92" s="22" t="n"/>
      <c r="H92" s="33" t="n"/>
      <c r="I92" s="9">
        <f>IF(H92="","",H92*IF(F92="",1,F92))</f>
        <v/>
      </c>
      <c r="J92" s="22" t="n"/>
      <c r="K92" s="22" t="n"/>
      <c r="L92" s="24" t="n"/>
      <c r="M92" s="24" t="n"/>
      <c r="N92" s="22" t="n"/>
      <c r="O92" s="23" t="n"/>
    </row>
    <row r="93">
      <c r="A93" s="22" t="n"/>
      <c r="B93" s="22" t="n"/>
      <c r="C93" s="22" t="n"/>
      <c r="D93" s="23" t="n"/>
      <c r="E93" s="22" t="n"/>
      <c r="F93" s="22" t="n"/>
      <c r="G93" s="22" t="n"/>
      <c r="H93" s="33" t="n"/>
      <c r="I93" s="9">
        <f>IF(H93="","",H93*IF(F93="",1,F93))</f>
        <v/>
      </c>
      <c r="J93" s="22" t="n"/>
      <c r="K93" s="22" t="n"/>
      <c r="L93" s="24" t="n"/>
      <c r="M93" s="24" t="n"/>
      <c r="N93" s="22" t="n"/>
      <c r="O93" s="23" t="n"/>
    </row>
    <row r="94">
      <c r="A94" s="22" t="n"/>
      <c r="B94" s="22" t="n"/>
      <c r="C94" s="22" t="n"/>
      <c r="D94" s="23" t="n"/>
      <c r="E94" s="22" t="n"/>
      <c r="F94" s="22" t="n"/>
      <c r="G94" s="22" t="n"/>
      <c r="H94" s="33" t="n"/>
      <c r="I94" s="9">
        <f>IF(H94="","",H94*IF(F94="",1,F94))</f>
        <v/>
      </c>
      <c r="J94" s="22" t="n"/>
      <c r="K94" s="22" t="n"/>
      <c r="L94" s="24" t="n"/>
      <c r="M94" s="24" t="n"/>
      <c r="N94" s="22" t="n"/>
      <c r="O94" s="23" t="n"/>
    </row>
    <row r="95">
      <c r="A95" s="22" t="n"/>
      <c r="B95" s="22" t="n"/>
      <c r="C95" s="22" t="n"/>
      <c r="D95" s="23" t="n"/>
      <c r="E95" s="22" t="n"/>
      <c r="F95" s="22" t="n"/>
      <c r="G95" s="22" t="n"/>
      <c r="H95" s="33" t="n"/>
      <c r="I95" s="9">
        <f>IF(H95="","",H95*IF(F95="",1,F95))</f>
        <v/>
      </c>
      <c r="J95" s="22" t="n"/>
      <c r="K95" s="22" t="n"/>
      <c r="L95" s="24" t="n"/>
      <c r="M95" s="24" t="n"/>
      <c r="N95" s="22" t="n"/>
      <c r="O95" s="23" t="n"/>
    </row>
    <row r="96">
      <c r="A96" s="22" t="n"/>
      <c r="B96" s="22" t="n"/>
      <c r="C96" s="22" t="n"/>
      <c r="D96" s="23" t="n"/>
      <c r="E96" s="22" t="n"/>
      <c r="F96" s="22" t="n"/>
      <c r="G96" s="22" t="n"/>
      <c r="H96" s="33" t="n"/>
      <c r="I96" s="9">
        <f>IF(H96="","",H96*IF(F96="",1,F96))</f>
        <v/>
      </c>
      <c r="J96" s="22" t="n"/>
      <c r="K96" s="22" t="n"/>
      <c r="L96" s="24" t="n"/>
      <c r="M96" s="24" t="n"/>
      <c r="N96" s="22" t="n"/>
      <c r="O96" s="23" t="n"/>
    </row>
    <row r="97">
      <c r="A97" s="22" t="n"/>
      <c r="B97" s="22" t="n"/>
      <c r="C97" s="22" t="n"/>
      <c r="D97" s="23" t="n"/>
      <c r="E97" s="22" t="n"/>
      <c r="F97" s="22" t="n"/>
      <c r="G97" s="22" t="n"/>
      <c r="H97" s="33" t="n"/>
      <c r="I97" s="9">
        <f>IF(H97="","",H97*IF(F97="",1,F97))</f>
        <v/>
      </c>
      <c r="J97" s="22" t="n"/>
      <c r="K97" s="22" t="n"/>
      <c r="L97" s="24" t="n"/>
      <c r="M97" s="24" t="n"/>
      <c r="N97" s="22" t="n"/>
      <c r="O97" s="23" t="n"/>
    </row>
    <row r="98">
      <c r="A98" s="22" t="n"/>
      <c r="B98" s="22" t="n"/>
      <c r="C98" s="22" t="n"/>
      <c r="D98" s="23" t="n"/>
      <c r="E98" s="22" t="n"/>
      <c r="F98" s="22" t="n"/>
      <c r="G98" s="22" t="n"/>
      <c r="H98" s="33" t="n"/>
      <c r="I98" s="9">
        <f>IF(H98="","",H98*IF(F98="",1,F98))</f>
        <v/>
      </c>
      <c r="J98" s="22" t="n"/>
      <c r="K98" s="22" t="n"/>
      <c r="L98" s="24" t="n"/>
      <c r="M98" s="24" t="n"/>
      <c r="N98" s="22" t="n"/>
      <c r="O98" s="23" t="n"/>
    </row>
    <row r="99">
      <c r="A99" s="22" t="n"/>
      <c r="B99" s="22" t="n"/>
      <c r="C99" s="22" t="n"/>
      <c r="D99" s="23" t="n"/>
      <c r="E99" s="22" t="n"/>
      <c r="F99" s="22" t="n"/>
      <c r="G99" s="22" t="n"/>
      <c r="H99" s="33" t="n"/>
      <c r="I99" s="9">
        <f>IF(H99="","",H99*IF(F99="",1,F99))</f>
        <v/>
      </c>
      <c r="J99" s="22" t="n"/>
      <c r="K99" s="22" t="n"/>
      <c r="L99" s="24" t="n"/>
      <c r="M99" s="24" t="n"/>
      <c r="N99" s="22" t="n"/>
      <c r="O99" s="23" t="n"/>
    </row>
    <row r="100">
      <c r="A100" s="22" t="n"/>
      <c r="B100" s="22" t="n"/>
      <c r="C100" s="22" t="n"/>
      <c r="D100" s="23" t="n"/>
      <c r="E100" s="22" t="n"/>
      <c r="F100" s="22" t="n"/>
      <c r="G100" s="22" t="n"/>
      <c r="H100" s="33" t="n"/>
      <c r="I100" s="9">
        <f>IF(H100="","",H100*IF(F100="",1,F100))</f>
        <v/>
      </c>
      <c r="J100" s="22" t="n"/>
      <c r="K100" s="22" t="n"/>
      <c r="L100" s="24" t="n"/>
      <c r="M100" s="24" t="n"/>
      <c r="N100" s="22" t="n"/>
      <c r="O100" s="23" t="n"/>
    </row>
    <row r="101">
      <c r="A101" s="22" t="n"/>
      <c r="B101" s="22" t="n"/>
      <c r="C101" s="22" t="n"/>
      <c r="D101" s="23" t="n"/>
      <c r="E101" s="22" t="n"/>
      <c r="F101" s="22" t="n"/>
      <c r="G101" s="22" t="n"/>
      <c r="H101" s="33" t="n"/>
      <c r="I101" s="9">
        <f>IF(H101="","",H101*IF(F101="",1,F101))</f>
        <v/>
      </c>
      <c r="J101" s="22" t="n"/>
      <c r="K101" s="22" t="n"/>
      <c r="L101" s="24" t="n"/>
      <c r="M101" s="24" t="n"/>
      <c r="N101" s="22" t="n"/>
      <c r="O101" s="23" t="n"/>
    </row>
    <row r="102">
      <c r="A102" s="22" t="n"/>
      <c r="B102" s="22" t="n"/>
      <c r="C102" s="22" t="n"/>
      <c r="D102" s="23" t="n"/>
      <c r="E102" s="22" t="n"/>
      <c r="F102" s="22" t="n"/>
      <c r="G102" s="22" t="n"/>
      <c r="H102" s="33" t="n"/>
      <c r="I102" s="9">
        <f>IF(H102="","",H102*IF(F102="",1,F102))</f>
        <v/>
      </c>
      <c r="J102" s="22" t="n"/>
      <c r="K102" s="22" t="n"/>
      <c r="L102" s="24" t="n"/>
      <c r="M102" s="24" t="n"/>
      <c r="N102" s="22" t="n"/>
      <c r="O102" s="23" t="n"/>
    </row>
    <row r="103">
      <c r="A103" s="22" t="n"/>
      <c r="B103" s="22" t="n"/>
      <c r="C103" s="22" t="n"/>
      <c r="D103" s="23" t="n"/>
      <c r="E103" s="22" t="n"/>
      <c r="F103" s="22" t="n"/>
      <c r="G103" s="22" t="n"/>
      <c r="H103" s="33" t="n"/>
      <c r="I103" s="9">
        <f>IF(H103="","",H103*IF(F103="",1,F103))</f>
        <v/>
      </c>
      <c r="J103" s="22" t="n"/>
      <c r="K103" s="22" t="n"/>
      <c r="L103" s="24" t="n"/>
      <c r="M103" s="24" t="n"/>
      <c r="N103" s="22" t="n"/>
      <c r="O103" s="23" t="n"/>
    </row>
    <row r="104">
      <c r="A104" s="22" t="n"/>
      <c r="B104" s="22" t="n"/>
      <c r="C104" s="22" t="n"/>
      <c r="D104" s="23" t="n"/>
      <c r="E104" s="22" t="n"/>
      <c r="F104" s="22" t="n"/>
      <c r="G104" s="22" t="n"/>
      <c r="H104" s="33" t="n"/>
      <c r="I104" s="9">
        <f>IF(H104="","",H104*IF(F104="",1,F104))</f>
        <v/>
      </c>
      <c r="J104" s="22" t="n"/>
      <c r="K104" s="22" t="n"/>
      <c r="L104" s="24" t="n"/>
      <c r="M104" s="24" t="n"/>
      <c r="N104" s="22" t="n"/>
      <c r="O104" s="23" t="n"/>
    </row>
    <row r="105">
      <c r="A105" s="22" t="n"/>
      <c r="B105" s="22" t="n"/>
      <c r="C105" s="22" t="n"/>
      <c r="D105" s="23" t="n"/>
      <c r="E105" s="22" t="n"/>
      <c r="F105" s="22" t="n"/>
      <c r="G105" s="22" t="n"/>
      <c r="H105" s="33" t="n"/>
      <c r="I105" s="9">
        <f>IF(H105="","",H105*IF(F105="",1,F105))</f>
        <v/>
      </c>
      <c r="J105" s="22" t="n"/>
      <c r="K105" s="22" t="n"/>
      <c r="L105" s="24" t="n"/>
      <c r="M105" s="24" t="n"/>
      <c r="N105" s="22" t="n"/>
      <c r="O105" s="23" t="n"/>
    </row>
    <row r="106">
      <c r="A106" s="22" t="n"/>
      <c r="B106" s="22" t="n"/>
      <c r="C106" s="22" t="n"/>
      <c r="D106" s="23" t="n"/>
      <c r="E106" s="22" t="n"/>
      <c r="F106" s="22" t="n"/>
      <c r="G106" s="22" t="n"/>
      <c r="H106" s="33" t="n"/>
      <c r="I106" s="9">
        <f>IF(H106="","",H106*IF(F106="",1,F106))</f>
        <v/>
      </c>
      <c r="J106" s="22" t="n"/>
      <c r="K106" s="22" t="n"/>
      <c r="L106" s="24" t="n"/>
      <c r="M106" s="24" t="n"/>
      <c r="N106" s="22" t="n"/>
      <c r="O106" s="23" t="n"/>
    </row>
    <row r="107">
      <c r="A107" s="22" t="n"/>
      <c r="B107" s="22" t="n"/>
      <c r="C107" s="22" t="n"/>
      <c r="D107" s="23" t="n"/>
      <c r="E107" s="22" t="n"/>
      <c r="F107" s="22" t="n"/>
      <c r="G107" s="22" t="n"/>
      <c r="H107" s="33" t="n"/>
      <c r="I107" s="9">
        <f>IF(H107="","",H107*IF(F107="",1,F107))</f>
        <v/>
      </c>
      <c r="J107" s="22" t="n"/>
      <c r="K107" s="22" t="n"/>
      <c r="L107" s="24" t="n"/>
      <c r="M107" s="24" t="n"/>
      <c r="N107" s="22" t="n"/>
      <c r="O107" s="23" t="n"/>
    </row>
    <row r="108">
      <c r="A108" s="22" t="n"/>
      <c r="B108" s="22" t="n"/>
      <c r="C108" s="22" t="n"/>
      <c r="D108" s="23" t="n"/>
      <c r="E108" s="22" t="n"/>
      <c r="F108" s="22" t="n"/>
      <c r="G108" s="22" t="n"/>
      <c r="H108" s="33" t="n"/>
      <c r="I108" s="9">
        <f>IF(H108="","",H108*IF(F108="",1,F108))</f>
        <v/>
      </c>
      <c r="J108" s="22" t="n"/>
      <c r="K108" s="22" t="n"/>
      <c r="L108" s="24" t="n"/>
      <c r="M108" s="24" t="n"/>
      <c r="N108" s="22" t="n"/>
      <c r="O108" s="23" t="n"/>
    </row>
    <row r="109">
      <c r="A109" s="22" t="n"/>
      <c r="B109" s="22" t="n"/>
      <c r="C109" s="22" t="n"/>
      <c r="D109" s="23" t="n"/>
      <c r="E109" s="22" t="n"/>
      <c r="F109" s="22" t="n"/>
      <c r="G109" s="22" t="n"/>
      <c r="H109" s="33" t="n"/>
      <c r="I109" s="9">
        <f>IF(H109="","",H109*IF(F109="",1,F109))</f>
        <v/>
      </c>
      <c r="J109" s="22" t="n"/>
      <c r="K109" s="22" t="n"/>
      <c r="L109" s="24" t="n"/>
      <c r="M109" s="24" t="n"/>
      <c r="N109" s="22" t="n"/>
      <c r="O109" s="23" t="n"/>
    </row>
    <row r="110">
      <c r="A110" s="22" t="n"/>
      <c r="B110" s="22" t="n"/>
      <c r="C110" s="22" t="n"/>
      <c r="D110" s="23" t="n"/>
      <c r="E110" s="22" t="n"/>
      <c r="F110" s="22" t="n"/>
      <c r="G110" s="22" t="n"/>
      <c r="H110" s="33" t="n"/>
      <c r="I110" s="9">
        <f>IF(H110="","",H110*IF(F110="",1,F110))</f>
        <v/>
      </c>
      <c r="J110" s="22" t="n"/>
      <c r="K110" s="22" t="n"/>
      <c r="L110" s="24" t="n"/>
      <c r="M110" s="24" t="n"/>
      <c r="N110" s="22" t="n"/>
      <c r="O110" s="23" t="n"/>
    </row>
    <row r="111">
      <c r="A111" s="22" t="n"/>
      <c r="B111" s="22" t="n"/>
      <c r="C111" s="22" t="n"/>
      <c r="D111" s="23" t="n"/>
      <c r="E111" s="22" t="n"/>
      <c r="F111" s="22" t="n"/>
      <c r="G111" s="22" t="n"/>
      <c r="H111" s="33" t="n"/>
      <c r="I111" s="9">
        <f>IF(H111="","",H111*IF(F111="",1,F111))</f>
        <v/>
      </c>
      <c r="J111" s="22" t="n"/>
      <c r="K111" s="22" t="n"/>
      <c r="L111" s="24" t="n"/>
      <c r="M111" s="24" t="n"/>
      <c r="N111" s="22" t="n"/>
      <c r="O111" s="23" t="n"/>
    </row>
    <row r="112">
      <c r="A112" s="22" t="n"/>
      <c r="B112" s="22" t="n"/>
      <c r="C112" s="22" t="n"/>
      <c r="D112" s="23" t="n"/>
      <c r="E112" s="22" t="n"/>
      <c r="F112" s="22" t="n"/>
      <c r="G112" s="22" t="n"/>
      <c r="H112" s="33" t="n"/>
      <c r="I112" s="9">
        <f>IF(H112="","",H112*IF(F112="",1,F112))</f>
        <v/>
      </c>
      <c r="J112" s="22" t="n"/>
      <c r="K112" s="22" t="n"/>
      <c r="L112" s="24" t="n"/>
      <c r="M112" s="24" t="n"/>
      <c r="N112" s="22" t="n"/>
      <c r="O112" s="23" t="n"/>
    </row>
    <row r="113">
      <c r="A113" s="22" t="n"/>
      <c r="B113" s="22" t="n"/>
      <c r="C113" s="22" t="n"/>
      <c r="D113" s="23" t="n"/>
      <c r="E113" s="22" t="n"/>
      <c r="F113" s="22" t="n"/>
      <c r="G113" s="22" t="n"/>
      <c r="H113" s="33" t="n"/>
      <c r="I113" s="9">
        <f>IF(H113="","",H113*IF(F113="",1,F113))</f>
        <v/>
      </c>
      <c r="J113" s="22" t="n"/>
      <c r="K113" s="22" t="n"/>
      <c r="L113" s="24" t="n"/>
      <c r="M113" s="24" t="n"/>
      <c r="N113" s="22" t="n"/>
      <c r="O113" s="23" t="n"/>
    </row>
    <row r="114">
      <c r="A114" s="22" t="n"/>
      <c r="B114" s="22" t="n"/>
      <c r="C114" s="22" t="n"/>
      <c r="D114" s="23" t="n"/>
      <c r="E114" s="22" t="n"/>
      <c r="F114" s="22" t="n"/>
      <c r="G114" s="22" t="n"/>
      <c r="H114" s="33" t="n"/>
      <c r="I114" s="9">
        <f>IF(H114="","",H114*IF(F114="",1,F114))</f>
        <v/>
      </c>
      <c r="J114" s="22" t="n"/>
      <c r="K114" s="22" t="n"/>
      <c r="L114" s="24" t="n"/>
      <c r="M114" s="24" t="n"/>
      <c r="N114" s="22" t="n"/>
      <c r="O114" s="23" t="n"/>
    </row>
    <row r="115">
      <c r="A115" s="22" t="n"/>
      <c r="B115" s="22" t="n"/>
      <c r="C115" s="22" t="n"/>
      <c r="D115" s="23" t="n"/>
      <c r="E115" s="22" t="n"/>
      <c r="F115" s="22" t="n"/>
      <c r="G115" s="22" t="n"/>
      <c r="H115" s="33" t="n"/>
      <c r="I115" s="9">
        <f>IF(H115="","",H115*IF(F115="",1,F115))</f>
        <v/>
      </c>
      <c r="J115" s="22" t="n"/>
      <c r="K115" s="22" t="n"/>
      <c r="L115" s="24" t="n"/>
      <c r="M115" s="24" t="n"/>
      <c r="N115" s="22" t="n"/>
      <c r="O115" s="23" t="n"/>
    </row>
    <row r="116">
      <c r="A116" s="22" t="n"/>
      <c r="B116" s="22" t="n"/>
      <c r="C116" s="22" t="n"/>
      <c r="D116" s="23" t="n"/>
      <c r="E116" s="22" t="n"/>
      <c r="F116" s="22" t="n"/>
      <c r="G116" s="22" t="n"/>
      <c r="H116" s="33" t="n"/>
      <c r="I116" s="9">
        <f>IF(H116="","",H116*IF(F116="",1,F116))</f>
        <v/>
      </c>
      <c r="J116" s="22" t="n"/>
      <c r="K116" s="22" t="n"/>
      <c r="L116" s="24" t="n"/>
      <c r="M116" s="24" t="n"/>
      <c r="N116" s="22" t="n"/>
      <c r="O116" s="23" t="n"/>
    </row>
    <row r="117">
      <c r="A117" s="22" t="n"/>
      <c r="B117" s="22" t="n"/>
      <c r="C117" s="22" t="n"/>
      <c r="D117" s="23" t="n"/>
      <c r="E117" s="22" t="n"/>
      <c r="F117" s="22" t="n"/>
      <c r="G117" s="22" t="n"/>
      <c r="H117" s="33" t="n"/>
      <c r="I117" s="9">
        <f>IF(H117="","",H117*IF(F117="",1,F117))</f>
        <v/>
      </c>
      <c r="J117" s="22" t="n"/>
      <c r="K117" s="22" t="n"/>
      <c r="L117" s="24" t="n"/>
      <c r="M117" s="24" t="n"/>
      <c r="N117" s="22" t="n"/>
      <c r="O117" s="23" t="n"/>
    </row>
    <row r="118">
      <c r="A118" s="22" t="n"/>
      <c r="B118" s="22" t="n"/>
      <c r="C118" s="22" t="n"/>
      <c r="D118" s="23" t="n"/>
      <c r="E118" s="22" t="n"/>
      <c r="F118" s="22" t="n"/>
      <c r="G118" s="22" t="n"/>
      <c r="H118" s="33" t="n"/>
      <c r="I118" s="9">
        <f>IF(H118="","",H118*IF(F118="",1,F118))</f>
        <v/>
      </c>
      <c r="J118" s="22" t="n"/>
      <c r="K118" s="22" t="n"/>
      <c r="L118" s="24" t="n"/>
      <c r="M118" s="24" t="n"/>
      <c r="N118" s="22" t="n"/>
      <c r="O118" s="23" t="n"/>
    </row>
    <row r="119">
      <c r="A119" s="22" t="n"/>
      <c r="B119" s="22" t="n"/>
      <c r="C119" s="22" t="n"/>
      <c r="D119" s="23" t="n"/>
      <c r="E119" s="22" t="n"/>
      <c r="F119" s="22" t="n"/>
      <c r="G119" s="22" t="n"/>
      <c r="H119" s="33" t="n"/>
      <c r="I119" s="9">
        <f>IF(H119="","",H119*IF(F119="",1,F119))</f>
        <v/>
      </c>
      <c r="J119" s="22" t="n"/>
      <c r="K119" s="22" t="n"/>
      <c r="L119" s="24" t="n"/>
      <c r="M119" s="24" t="n"/>
      <c r="N119" s="22" t="n"/>
      <c r="O119" s="23" t="n"/>
    </row>
    <row r="120">
      <c r="A120" s="22" t="n"/>
      <c r="B120" s="22" t="n"/>
      <c r="C120" s="22" t="n"/>
      <c r="D120" s="23" t="n"/>
      <c r="E120" s="22" t="n"/>
      <c r="F120" s="22" t="n"/>
      <c r="G120" s="22" t="n"/>
      <c r="H120" s="33" t="n"/>
      <c r="I120" s="9">
        <f>IF(H120="","",H120*IF(F120="",1,F120))</f>
        <v/>
      </c>
      <c r="J120" s="22" t="n"/>
      <c r="K120" s="22" t="n"/>
      <c r="L120" s="24" t="n"/>
      <c r="M120" s="24" t="n"/>
      <c r="N120" s="22" t="n"/>
      <c r="O120" s="23" t="n"/>
    </row>
    <row r="121">
      <c r="A121" s="22" t="n"/>
      <c r="B121" s="22" t="n"/>
      <c r="C121" s="22" t="n"/>
      <c r="D121" s="23" t="n"/>
      <c r="E121" s="22" t="n"/>
      <c r="F121" s="22" t="n"/>
      <c r="G121" s="22" t="n"/>
      <c r="H121" s="33" t="n"/>
      <c r="I121" s="9">
        <f>IF(H121="","",H121*IF(F121="",1,F121))</f>
        <v/>
      </c>
      <c r="J121" s="22" t="n"/>
      <c r="K121" s="22" t="n"/>
      <c r="L121" s="24" t="n"/>
      <c r="M121" s="24" t="n"/>
      <c r="N121" s="22" t="n"/>
      <c r="O121" s="23" t="n"/>
    </row>
    <row r="122">
      <c r="A122" s="22" t="n"/>
      <c r="B122" s="22" t="n"/>
      <c r="C122" s="22" t="n"/>
      <c r="D122" s="23" t="n"/>
      <c r="E122" s="22" t="n"/>
      <c r="F122" s="22" t="n"/>
      <c r="G122" s="22" t="n"/>
      <c r="H122" s="33" t="n"/>
      <c r="I122" s="9">
        <f>IF(H122="","",H122*IF(F122="",1,F122))</f>
        <v/>
      </c>
      <c r="J122" s="22" t="n"/>
      <c r="K122" s="22" t="n"/>
      <c r="L122" s="24" t="n"/>
      <c r="M122" s="24" t="n"/>
      <c r="N122" s="22" t="n"/>
      <c r="O122" s="23" t="n"/>
    </row>
    <row r="123">
      <c r="A123" s="22" t="n"/>
      <c r="B123" s="22" t="n"/>
      <c r="C123" s="22" t="n"/>
      <c r="D123" s="23" t="n"/>
      <c r="E123" s="22" t="n"/>
      <c r="F123" s="22" t="n"/>
      <c r="G123" s="22" t="n"/>
      <c r="H123" s="33" t="n"/>
      <c r="I123" s="9">
        <f>IF(H123="","",H123*IF(F123="",1,F123))</f>
        <v/>
      </c>
      <c r="J123" s="22" t="n"/>
      <c r="K123" s="22" t="n"/>
      <c r="L123" s="24" t="n"/>
      <c r="M123" s="24" t="n"/>
      <c r="N123" s="22" t="n"/>
      <c r="O123" s="23" t="n"/>
    </row>
    <row r="124">
      <c r="A124" s="22" t="n"/>
      <c r="B124" s="22" t="n"/>
      <c r="C124" s="22" t="n"/>
      <c r="D124" s="23" t="n"/>
      <c r="E124" s="22" t="n"/>
      <c r="F124" s="22" t="n"/>
      <c r="G124" s="22" t="n"/>
      <c r="H124" s="33" t="n"/>
      <c r="I124" s="9">
        <f>IF(H124="","",H124*IF(F124="",1,F124))</f>
        <v/>
      </c>
      <c r="J124" s="22" t="n"/>
      <c r="K124" s="22" t="n"/>
      <c r="L124" s="24" t="n"/>
      <c r="M124" s="24" t="n"/>
      <c r="N124" s="22" t="n"/>
      <c r="O124" s="23" t="n"/>
    </row>
    <row r="125">
      <c r="A125" s="22" t="n"/>
      <c r="B125" s="22" t="n"/>
      <c r="C125" s="22" t="n"/>
      <c r="D125" s="23" t="n"/>
      <c r="E125" s="22" t="n"/>
      <c r="F125" s="22" t="n"/>
      <c r="G125" s="22" t="n"/>
      <c r="H125" s="33" t="n"/>
      <c r="I125" s="9">
        <f>IF(H125="","",H125*IF(F125="",1,F125))</f>
        <v/>
      </c>
      <c r="J125" s="22" t="n"/>
      <c r="K125" s="22" t="n"/>
      <c r="L125" s="24" t="n"/>
      <c r="M125" s="24" t="n"/>
      <c r="N125" s="22" t="n"/>
      <c r="O125" s="23" t="n"/>
    </row>
    <row r="126">
      <c r="A126" s="22" t="n"/>
      <c r="B126" s="22" t="n"/>
      <c r="C126" s="22" t="n"/>
      <c r="D126" s="23" t="n"/>
      <c r="E126" s="22" t="n"/>
      <c r="F126" s="22" t="n"/>
      <c r="G126" s="22" t="n"/>
      <c r="H126" s="33" t="n"/>
      <c r="I126" s="9">
        <f>IF(H126="","",H126*IF(F126="",1,F126))</f>
        <v/>
      </c>
      <c r="J126" s="22" t="n"/>
      <c r="K126" s="22" t="n"/>
      <c r="L126" s="24" t="n"/>
      <c r="M126" s="24" t="n"/>
      <c r="N126" s="22" t="n"/>
      <c r="O126" s="23" t="n"/>
    </row>
    <row r="127">
      <c r="A127" s="22" t="n"/>
      <c r="B127" s="22" t="n"/>
      <c r="C127" s="22" t="n"/>
      <c r="D127" s="23" t="n"/>
      <c r="E127" s="22" t="n"/>
      <c r="F127" s="22" t="n"/>
      <c r="G127" s="22" t="n"/>
      <c r="H127" s="33" t="n"/>
      <c r="I127" s="9">
        <f>IF(H127="","",H127*IF(F127="",1,F127))</f>
        <v/>
      </c>
      <c r="J127" s="22" t="n"/>
      <c r="K127" s="22" t="n"/>
      <c r="L127" s="24" t="n"/>
      <c r="M127" s="24" t="n"/>
      <c r="N127" s="22" t="n"/>
      <c r="O127" s="23" t="n"/>
    </row>
    <row r="128">
      <c r="A128" s="22" t="n"/>
      <c r="B128" s="22" t="n"/>
      <c r="C128" s="22" t="n"/>
      <c r="D128" s="23" t="n"/>
      <c r="E128" s="22" t="n"/>
      <c r="F128" s="22" t="n"/>
      <c r="G128" s="22" t="n"/>
      <c r="H128" s="33" t="n"/>
      <c r="I128" s="9">
        <f>IF(H128="","",H128*IF(F128="",1,F128))</f>
        <v/>
      </c>
      <c r="J128" s="22" t="n"/>
      <c r="K128" s="22" t="n"/>
      <c r="L128" s="24" t="n"/>
      <c r="M128" s="24" t="n"/>
      <c r="N128" s="22" t="n"/>
      <c r="O128" s="23" t="n"/>
    </row>
    <row r="129">
      <c r="A129" s="22" t="n"/>
      <c r="B129" s="22" t="n"/>
      <c r="C129" s="22" t="n"/>
      <c r="D129" s="23" t="n"/>
      <c r="E129" s="22" t="n"/>
      <c r="F129" s="22" t="n"/>
      <c r="G129" s="22" t="n"/>
      <c r="H129" s="33" t="n"/>
      <c r="I129" s="9">
        <f>IF(H129="","",H129*IF(F129="",1,F129))</f>
        <v/>
      </c>
      <c r="J129" s="22" t="n"/>
      <c r="K129" s="22" t="n"/>
      <c r="L129" s="24" t="n"/>
      <c r="M129" s="24" t="n"/>
      <c r="N129" s="22" t="n"/>
      <c r="O129" s="23" t="n"/>
    </row>
    <row r="130">
      <c r="A130" s="22" t="n"/>
      <c r="B130" s="22" t="n"/>
      <c r="C130" s="22" t="n"/>
      <c r="D130" s="23" t="n"/>
      <c r="E130" s="22" t="n"/>
      <c r="F130" s="22" t="n"/>
      <c r="G130" s="22" t="n"/>
      <c r="H130" s="33" t="n"/>
      <c r="I130" s="9">
        <f>IF(H130="","",H130*IF(F130="",1,F130))</f>
        <v/>
      </c>
      <c r="J130" s="22" t="n"/>
      <c r="K130" s="22" t="n"/>
      <c r="L130" s="24" t="n"/>
      <c r="M130" s="24" t="n"/>
      <c r="N130" s="22" t="n"/>
      <c r="O130" s="23" t="n"/>
    </row>
    <row r="131">
      <c r="A131" s="22" t="n"/>
      <c r="B131" s="22" t="n"/>
      <c r="C131" s="22" t="n"/>
      <c r="D131" s="23" t="n"/>
      <c r="E131" s="22" t="n"/>
      <c r="F131" s="22" t="n"/>
      <c r="G131" s="22" t="n"/>
      <c r="H131" s="33" t="n"/>
      <c r="I131" s="9">
        <f>IF(H131="","",H131*IF(F131="",1,F131))</f>
        <v/>
      </c>
      <c r="J131" s="22" t="n"/>
      <c r="K131" s="22" t="n"/>
      <c r="L131" s="24" t="n"/>
      <c r="M131" s="24" t="n"/>
      <c r="N131" s="22" t="n"/>
      <c r="O131" s="23" t="n"/>
    </row>
    <row r="132">
      <c r="A132" s="22" t="n"/>
      <c r="B132" s="22" t="n"/>
      <c r="C132" s="22" t="n"/>
      <c r="D132" s="23" t="n"/>
      <c r="E132" s="22" t="n"/>
      <c r="F132" s="22" t="n"/>
      <c r="G132" s="22" t="n"/>
      <c r="H132" s="33" t="n"/>
      <c r="I132" s="9">
        <f>IF(H132="","",H132*IF(F132="",1,F132))</f>
        <v/>
      </c>
      <c r="J132" s="22" t="n"/>
      <c r="K132" s="22" t="n"/>
      <c r="L132" s="24" t="n"/>
      <c r="M132" s="24" t="n"/>
      <c r="N132" s="22" t="n"/>
      <c r="O132" s="23" t="n"/>
    </row>
    <row r="133">
      <c r="A133" s="22" t="n"/>
      <c r="B133" s="22" t="n"/>
      <c r="C133" s="22" t="n"/>
      <c r="D133" s="23" t="n"/>
      <c r="E133" s="22" t="n"/>
      <c r="F133" s="22" t="n"/>
      <c r="G133" s="22" t="n"/>
      <c r="H133" s="33" t="n"/>
      <c r="I133" s="9">
        <f>IF(H133="","",H133*IF(F133="",1,F133))</f>
        <v/>
      </c>
      <c r="J133" s="22" t="n"/>
      <c r="K133" s="22" t="n"/>
      <c r="L133" s="24" t="n"/>
      <c r="M133" s="24" t="n"/>
      <c r="N133" s="22" t="n"/>
      <c r="O133" s="23" t="n"/>
    </row>
    <row r="134">
      <c r="A134" s="22" t="n"/>
      <c r="B134" s="22" t="n"/>
      <c r="C134" s="22" t="n"/>
      <c r="D134" s="23" t="n"/>
      <c r="E134" s="22" t="n"/>
      <c r="F134" s="22" t="n"/>
      <c r="G134" s="22" t="n"/>
      <c r="H134" s="33" t="n"/>
      <c r="I134" s="9">
        <f>IF(H134="","",H134*IF(F134="",1,F134))</f>
        <v/>
      </c>
      <c r="J134" s="22" t="n"/>
      <c r="K134" s="22" t="n"/>
      <c r="L134" s="24" t="n"/>
      <c r="M134" s="24" t="n"/>
      <c r="N134" s="22" t="n"/>
      <c r="O134" s="23" t="n"/>
    </row>
    <row r="135">
      <c r="A135" s="22" t="n"/>
      <c r="B135" s="22" t="n"/>
      <c r="C135" s="22" t="n"/>
      <c r="D135" s="23" t="n"/>
      <c r="E135" s="22" t="n"/>
      <c r="F135" s="22" t="n"/>
      <c r="G135" s="22" t="n"/>
      <c r="H135" s="33" t="n"/>
      <c r="I135" s="9">
        <f>IF(H135="","",H135*IF(F135="",1,F135))</f>
        <v/>
      </c>
      <c r="J135" s="22" t="n"/>
      <c r="K135" s="22" t="n"/>
      <c r="L135" s="24" t="n"/>
      <c r="M135" s="24" t="n"/>
      <c r="N135" s="22" t="n"/>
      <c r="O135" s="23" t="n"/>
    </row>
    <row r="136">
      <c r="A136" s="22" t="n"/>
      <c r="B136" s="22" t="n"/>
      <c r="C136" s="22" t="n"/>
      <c r="D136" s="23" t="n"/>
      <c r="E136" s="22" t="n"/>
      <c r="F136" s="22" t="n"/>
      <c r="G136" s="22" t="n"/>
      <c r="H136" s="33" t="n"/>
      <c r="I136" s="9">
        <f>IF(H136="","",H136*IF(F136="",1,F136))</f>
        <v/>
      </c>
      <c r="J136" s="22" t="n"/>
      <c r="K136" s="22" t="n"/>
      <c r="L136" s="24" t="n"/>
      <c r="M136" s="24" t="n"/>
      <c r="N136" s="22" t="n"/>
      <c r="O136" s="23" t="n"/>
    </row>
    <row r="137">
      <c r="A137" s="22" t="n"/>
      <c r="B137" s="22" t="n"/>
      <c r="C137" s="22" t="n"/>
      <c r="D137" s="23" t="n"/>
      <c r="E137" s="22" t="n"/>
      <c r="F137" s="22" t="n"/>
      <c r="G137" s="22" t="n"/>
      <c r="H137" s="33" t="n"/>
      <c r="I137" s="9">
        <f>IF(H137="","",H137*IF(F137="",1,F137))</f>
        <v/>
      </c>
      <c r="J137" s="22" t="n"/>
      <c r="K137" s="22" t="n"/>
      <c r="L137" s="24" t="n"/>
      <c r="M137" s="24" t="n"/>
      <c r="N137" s="22" t="n"/>
      <c r="O137" s="23" t="n"/>
    </row>
    <row r="138">
      <c r="A138" s="22" t="n"/>
      <c r="B138" s="22" t="n"/>
      <c r="C138" s="22" t="n"/>
      <c r="D138" s="23" t="n"/>
      <c r="E138" s="22" t="n"/>
      <c r="F138" s="22" t="n"/>
      <c r="G138" s="22" t="n"/>
      <c r="H138" s="33" t="n"/>
      <c r="I138" s="9">
        <f>IF(H138="","",H138*IF(F138="",1,F138))</f>
        <v/>
      </c>
      <c r="J138" s="22" t="n"/>
      <c r="K138" s="22" t="n"/>
      <c r="L138" s="24" t="n"/>
      <c r="M138" s="24" t="n"/>
      <c r="N138" s="22" t="n"/>
      <c r="O138" s="23" t="n"/>
    </row>
    <row r="139">
      <c r="A139" s="22" t="n"/>
      <c r="B139" s="22" t="n"/>
      <c r="C139" s="22" t="n"/>
      <c r="D139" s="23" t="n"/>
      <c r="E139" s="22" t="n"/>
      <c r="F139" s="22" t="n"/>
      <c r="G139" s="22" t="n"/>
      <c r="H139" s="33" t="n"/>
      <c r="I139" s="9">
        <f>IF(H139="","",H139*IF(F139="",1,F139))</f>
        <v/>
      </c>
      <c r="J139" s="22" t="n"/>
      <c r="K139" s="22" t="n"/>
      <c r="L139" s="24" t="n"/>
      <c r="M139" s="24" t="n"/>
      <c r="N139" s="22" t="n"/>
      <c r="O139" s="23" t="n"/>
    </row>
    <row r="140">
      <c r="A140" s="22" t="n"/>
      <c r="B140" s="22" t="n"/>
      <c r="C140" s="22" t="n"/>
      <c r="D140" s="23" t="n"/>
      <c r="E140" s="22" t="n"/>
      <c r="F140" s="22" t="n"/>
      <c r="G140" s="22" t="n"/>
      <c r="H140" s="33" t="n"/>
      <c r="I140" s="9">
        <f>IF(H140="","",H140*IF(F140="",1,F140))</f>
        <v/>
      </c>
      <c r="J140" s="22" t="n"/>
      <c r="K140" s="22" t="n"/>
      <c r="L140" s="24" t="n"/>
      <c r="M140" s="24" t="n"/>
      <c r="N140" s="22" t="n"/>
      <c r="O140" s="23" t="n"/>
    </row>
    <row r="141">
      <c r="A141" s="22" t="n"/>
      <c r="B141" s="22" t="n"/>
      <c r="C141" s="22" t="n"/>
      <c r="D141" s="23" t="n"/>
      <c r="E141" s="22" t="n"/>
      <c r="F141" s="22" t="n"/>
      <c r="G141" s="22" t="n"/>
      <c r="H141" s="33" t="n"/>
      <c r="I141" s="9">
        <f>IF(H141="","",H141*IF(F141="",1,F141))</f>
        <v/>
      </c>
      <c r="J141" s="22" t="n"/>
      <c r="K141" s="22" t="n"/>
      <c r="L141" s="24" t="n"/>
      <c r="M141" s="24" t="n"/>
      <c r="N141" s="22" t="n"/>
      <c r="O141" s="23" t="n"/>
    </row>
    <row r="142">
      <c r="A142" s="22" t="n"/>
      <c r="B142" s="22" t="n"/>
      <c r="C142" s="22" t="n"/>
      <c r="D142" s="23" t="n"/>
      <c r="E142" s="22" t="n"/>
      <c r="F142" s="22" t="n"/>
      <c r="G142" s="22" t="n"/>
      <c r="H142" s="33" t="n"/>
      <c r="I142" s="9">
        <f>IF(H142="","",H142*IF(F142="",1,F142))</f>
        <v/>
      </c>
      <c r="J142" s="22" t="n"/>
      <c r="K142" s="22" t="n"/>
      <c r="L142" s="24" t="n"/>
      <c r="M142" s="24" t="n"/>
      <c r="N142" s="22" t="n"/>
      <c r="O142" s="23" t="n"/>
    </row>
    <row r="143">
      <c r="A143" s="22" t="n"/>
      <c r="B143" s="22" t="n"/>
      <c r="C143" s="22" t="n"/>
      <c r="D143" s="23" t="n"/>
      <c r="E143" s="22" t="n"/>
      <c r="F143" s="22" t="n"/>
      <c r="G143" s="22" t="n"/>
      <c r="H143" s="33" t="n"/>
      <c r="I143" s="9">
        <f>IF(H143="","",H143*IF(F143="",1,F143))</f>
        <v/>
      </c>
      <c r="J143" s="22" t="n"/>
      <c r="K143" s="22" t="n"/>
      <c r="L143" s="24" t="n"/>
      <c r="M143" s="24" t="n"/>
      <c r="N143" s="22" t="n"/>
      <c r="O143" s="23" t="n"/>
    </row>
    <row r="144">
      <c r="A144" s="22" t="n"/>
      <c r="B144" s="22" t="n"/>
      <c r="C144" s="22" t="n"/>
      <c r="D144" s="23" t="n"/>
      <c r="E144" s="22" t="n"/>
      <c r="F144" s="22" t="n"/>
      <c r="G144" s="22" t="n"/>
      <c r="H144" s="33" t="n"/>
      <c r="I144" s="9">
        <f>IF(H144="","",H144*IF(F144="",1,F144))</f>
        <v/>
      </c>
      <c r="J144" s="22" t="n"/>
      <c r="K144" s="22" t="n"/>
      <c r="L144" s="24" t="n"/>
      <c r="M144" s="24" t="n"/>
      <c r="N144" s="22" t="n"/>
      <c r="O144" s="23" t="n"/>
    </row>
    <row r="145">
      <c r="A145" s="22" t="n"/>
      <c r="B145" s="22" t="n"/>
      <c r="C145" s="22" t="n"/>
      <c r="D145" s="23" t="n"/>
      <c r="E145" s="22" t="n"/>
      <c r="F145" s="22" t="n"/>
      <c r="G145" s="22" t="n"/>
      <c r="H145" s="33" t="n"/>
      <c r="I145" s="9">
        <f>IF(H145="","",H145*IF(F145="",1,F145))</f>
        <v/>
      </c>
      <c r="J145" s="22" t="n"/>
      <c r="K145" s="22" t="n"/>
      <c r="L145" s="24" t="n"/>
      <c r="M145" s="24" t="n"/>
      <c r="N145" s="22" t="n"/>
      <c r="O145" s="23" t="n"/>
    </row>
    <row r="146">
      <c r="A146" s="22" t="n"/>
      <c r="B146" s="22" t="n"/>
      <c r="C146" s="22" t="n"/>
      <c r="D146" s="23" t="n"/>
      <c r="E146" s="22" t="n"/>
      <c r="F146" s="22" t="n"/>
      <c r="G146" s="22" t="n"/>
      <c r="H146" s="33" t="n"/>
      <c r="I146" s="9">
        <f>IF(H146="","",H146*IF(F146="",1,F146))</f>
        <v/>
      </c>
      <c r="J146" s="22" t="n"/>
      <c r="K146" s="22" t="n"/>
      <c r="L146" s="24" t="n"/>
      <c r="M146" s="24" t="n"/>
      <c r="N146" s="22" t="n"/>
      <c r="O146" s="23" t="n"/>
    </row>
    <row r="147">
      <c r="A147" s="22" t="n"/>
      <c r="B147" s="22" t="n"/>
      <c r="C147" s="22" t="n"/>
      <c r="D147" s="23" t="n"/>
      <c r="E147" s="22" t="n"/>
      <c r="F147" s="22" t="n"/>
      <c r="G147" s="22" t="n"/>
      <c r="H147" s="33" t="n"/>
      <c r="I147" s="9">
        <f>IF(H147="","",H147*IF(F147="",1,F147))</f>
        <v/>
      </c>
      <c r="J147" s="22" t="n"/>
      <c r="K147" s="22" t="n"/>
      <c r="L147" s="24" t="n"/>
      <c r="M147" s="24" t="n"/>
      <c r="N147" s="22" t="n"/>
      <c r="O147" s="23" t="n"/>
    </row>
    <row r="148">
      <c r="A148" s="22" t="n"/>
      <c r="B148" s="22" t="n"/>
      <c r="C148" s="22" t="n"/>
      <c r="D148" s="23" t="n"/>
      <c r="E148" s="22" t="n"/>
      <c r="F148" s="22" t="n"/>
      <c r="G148" s="22" t="n"/>
      <c r="H148" s="33" t="n"/>
      <c r="I148" s="9">
        <f>IF(H148="","",H148*IF(F148="",1,F148))</f>
        <v/>
      </c>
      <c r="J148" s="22" t="n"/>
      <c r="K148" s="22" t="n"/>
      <c r="L148" s="24" t="n"/>
      <c r="M148" s="24" t="n"/>
      <c r="N148" s="22" t="n"/>
      <c r="O148" s="23" t="n"/>
    </row>
    <row r="149">
      <c r="A149" s="22" t="n"/>
      <c r="B149" s="22" t="n"/>
      <c r="C149" s="22" t="n"/>
      <c r="D149" s="23" t="n"/>
      <c r="E149" s="22" t="n"/>
      <c r="F149" s="22" t="n"/>
      <c r="G149" s="22" t="n"/>
      <c r="H149" s="33" t="n"/>
      <c r="I149" s="9">
        <f>IF(H149="","",H149*IF(F149="",1,F149))</f>
        <v/>
      </c>
      <c r="J149" s="22" t="n"/>
      <c r="K149" s="22" t="n"/>
      <c r="L149" s="24" t="n"/>
      <c r="M149" s="24" t="n"/>
      <c r="N149" s="22" t="n"/>
      <c r="O149" s="23" t="n"/>
    </row>
    <row r="150">
      <c r="A150" s="22" t="n"/>
      <c r="B150" s="22" t="n"/>
      <c r="C150" s="22" t="n"/>
      <c r="D150" s="23" t="n"/>
      <c r="E150" s="22" t="n"/>
      <c r="F150" s="22" t="n"/>
      <c r="G150" s="22" t="n"/>
      <c r="H150" s="33" t="n"/>
      <c r="I150" s="9">
        <f>IF(H150="","",H150*IF(F150="",1,F150))</f>
        <v/>
      </c>
      <c r="J150" s="22" t="n"/>
      <c r="K150" s="22" t="n"/>
      <c r="L150" s="24" t="n"/>
      <c r="M150" s="24" t="n"/>
      <c r="N150" s="22" t="n"/>
      <c r="O150" s="23" t="n"/>
    </row>
    <row r="151">
      <c r="A151" s="22" t="n"/>
      <c r="B151" s="22" t="n"/>
      <c r="C151" s="22" t="n"/>
      <c r="D151" s="23" t="n"/>
      <c r="E151" s="22" t="n"/>
      <c r="F151" s="22" t="n"/>
      <c r="G151" s="22" t="n"/>
      <c r="H151" s="33" t="n"/>
      <c r="I151" s="9">
        <f>IF(H151="","",H151*IF(F151="",1,F151))</f>
        <v/>
      </c>
      <c r="J151" s="22" t="n"/>
      <c r="K151" s="22" t="n"/>
      <c r="L151" s="24" t="n"/>
      <c r="M151" s="24" t="n"/>
      <c r="N151" s="22" t="n"/>
      <c r="O151" s="23" t="n"/>
    </row>
    <row r="152">
      <c r="A152" s="22" t="n"/>
      <c r="B152" s="22" t="n"/>
      <c r="C152" s="22" t="n"/>
      <c r="D152" s="23" t="n"/>
      <c r="E152" s="22" t="n"/>
      <c r="F152" s="22" t="n"/>
      <c r="G152" s="22" t="n"/>
      <c r="H152" s="33" t="n"/>
      <c r="I152" s="9">
        <f>IF(H152="","",H152*IF(F152="",1,F152))</f>
        <v/>
      </c>
      <c r="J152" s="22" t="n"/>
      <c r="K152" s="22" t="n"/>
      <c r="L152" s="24" t="n"/>
      <c r="M152" s="24" t="n"/>
      <c r="N152" s="22" t="n"/>
      <c r="O152" s="23" t="n"/>
    </row>
    <row r="153">
      <c r="A153" s="22" t="n"/>
      <c r="B153" s="22" t="n"/>
      <c r="C153" s="22" t="n"/>
      <c r="D153" s="23" t="n"/>
      <c r="E153" s="22" t="n"/>
      <c r="F153" s="22" t="n"/>
      <c r="G153" s="22" t="n"/>
      <c r="H153" s="33" t="n"/>
      <c r="I153" s="9">
        <f>IF(H153="","",H153*IF(F153="",1,F153))</f>
        <v/>
      </c>
      <c r="J153" s="22" t="n"/>
      <c r="K153" s="22" t="n"/>
      <c r="L153" s="24" t="n"/>
      <c r="M153" s="24" t="n"/>
      <c r="N153" s="22" t="n"/>
      <c r="O153" s="23" t="n"/>
    </row>
  </sheetData>
  <sheetProtection selectLockedCells="0" selectUnlockedCells="0" sheet="1" objects="0" insertRows="0" insertHyperlinks="0" autoFilter="0" scenarios="0" formatColumns="0" deleteColumns="1" insertColumns="1" pivotTables="1" deleteRows="0" formatCells="0" formatRows="0" sort="0"/>
  <autoFilter ref="A3:O153"/>
  <conditionalFormatting sqref="J4:J153">
    <cfRule type="cellIs" priority="1" operator="equal" dxfId="2">
      <formula>"To choose"</formula>
    </cfRule>
    <cfRule type="cellIs" priority="2" operator="equal" dxfId="0">
      <formula>"Installed"</formula>
    </cfRule>
  </conditionalFormatting>
  <dataValidations count="4">
    <dataValidation sqref="B4:B153" showDropDown="0" showInputMessage="0" showErrorMessage="0" allowBlank="1" error="Pick a value from the list." type="list" errorStyle="warning">
      <formula1>=Lists!$I$2:$I$9</formula1>
    </dataValidation>
    <dataValidation sqref="C4:C153" showDropDown="0" showInputMessage="0" showErrorMessage="0" allowBlank="1" error="Pick a value from the list." type="list" errorStyle="warning">
      <formula1>='Rooms'!$A$4:$A$63</formula1>
    </dataValidation>
    <dataValidation sqref="J4:J153" showDropDown="0" showInputMessage="0" showErrorMessage="0" allowBlank="1" error="Pick a value from the list." type="list" errorStyle="warning">
      <formula1>=Lists!$H$2:$H$6</formula1>
    </dataValidation>
    <dataValidation sqref="K4:K153" showDropDown="0" showInputMessage="0" showErrorMessage="0" allowBlank="1" error="Pick a value from the list." type="list" errorStyle="warning">
      <formula1>=Lists!$A$2:$A$9</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30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2" customWidth="1" min="1" max="1"/>
    <col width="18" customWidth="1" min="2" max="2"/>
    <col width="15" customWidth="1" min="3" max="3"/>
    <col width="50" customWidth="1" min="4" max="4"/>
    <col width="22" customWidth="1" min="5" max="5"/>
    <col width="12" customWidth="1" min="6" max="6"/>
    <col width="20" customWidth="1" min="7" max="7"/>
    <col width="14" customWidth="1" min="8" max="8"/>
    <col width="12" customWidth="1" min="9" max="9"/>
    <col width="9" customWidth="1" min="10" max="10"/>
    <col width="18" customWidth="1" min="11" max="11"/>
    <col width="30" customWidth="1" min="12" max="12"/>
  </cols>
  <sheetData>
    <row r="1" ht="24" customHeight="1">
      <c r="A1" s="1" t="inlineStr">
        <is>
          <t>Plan notes &amp; site diary</t>
        </is>
      </c>
    </row>
    <row r="2">
      <c r="A2" s="2" t="inlineStr">
        <is>
          <t>Who was on site, weather, deliveries, instructions, defects and questions for the building surveyor. Link notes to a drawing sheet.</t>
        </is>
      </c>
    </row>
    <row r="3" ht="32" customHeight="1">
      <c r="A3" s="20" t="inlineStr">
        <is>
          <t>Date</t>
        </is>
      </c>
      <c r="B3" s="20" t="inlineStr">
        <is>
          <t>Type</t>
        </is>
      </c>
      <c r="C3" s="20" t="inlineStr">
        <is>
          <t>Drawing / sheet ref</t>
        </is>
      </c>
      <c r="D3" s="20" t="inlineStr">
        <is>
          <t>Note</t>
        </is>
      </c>
      <c r="E3" s="20" t="inlineStr">
        <is>
          <t>On site</t>
        </is>
      </c>
      <c r="F3" s="20" t="inlineStr">
        <is>
          <t>Weather</t>
        </is>
      </c>
      <c r="G3" s="20" t="inlineStr">
        <is>
          <t>Trade / package</t>
        </is>
      </c>
      <c r="H3" s="20" t="inlineStr">
        <is>
          <t>Action by</t>
        </is>
      </c>
      <c r="I3" s="20" t="inlineStr">
        <is>
          <t>Due</t>
        </is>
      </c>
      <c r="J3" s="20" t="inlineStr">
        <is>
          <t>Closed?</t>
        </is>
      </c>
      <c r="K3" s="20" t="inlineStr">
        <is>
          <t>Photo Doc IDs</t>
        </is>
      </c>
      <c r="L3" s="20" t="inlineStr">
        <is>
          <t>Notes</t>
        </is>
      </c>
    </row>
    <row r="4">
      <c r="A4" s="32" t="n"/>
      <c r="B4" s="27" t="inlineStr">
        <is>
          <t>Instruction to trade</t>
        </is>
      </c>
      <c r="C4" s="27" t="inlineStr">
        <is>
          <t>A102</t>
        </is>
      </c>
      <c r="D4" s="29" t="inlineStr">
        <is>
          <t>Move kitchen power point 300 mm left of window as marked on site.</t>
        </is>
      </c>
      <c r="E4" s="29" t="n"/>
      <c r="F4" s="27" t="n"/>
      <c r="G4" s="27" t="inlineStr">
        <is>
          <t>11 Electrician</t>
        </is>
      </c>
      <c r="H4" s="27" t="inlineStr">
        <is>
          <t>Electrician</t>
        </is>
      </c>
      <c r="I4" s="32" t="n"/>
      <c r="J4" s="27" t="inlineStr">
        <is>
          <t>No</t>
        </is>
      </c>
      <c r="K4" s="27" t="n"/>
      <c r="L4" s="29" t="inlineStr">
        <is>
          <t>EXAMPLE: delete this row</t>
        </is>
      </c>
    </row>
    <row r="5">
      <c r="A5" s="24" t="n"/>
      <c r="B5" s="22" t="n"/>
      <c r="C5" s="22" t="n"/>
      <c r="D5" s="23" t="n"/>
      <c r="E5" s="23" t="n"/>
      <c r="F5" s="22" t="n"/>
      <c r="G5" s="22" t="n"/>
      <c r="H5" s="22" t="n"/>
      <c r="I5" s="24" t="n"/>
      <c r="J5" s="22" t="n"/>
      <c r="K5" s="22" t="n"/>
      <c r="L5" s="23" t="n"/>
    </row>
    <row r="6">
      <c r="A6" s="24" t="n"/>
      <c r="B6" s="22" t="n"/>
      <c r="C6" s="22" t="n"/>
      <c r="D6" s="23" t="n"/>
      <c r="E6" s="23" t="n"/>
      <c r="F6" s="22" t="n"/>
      <c r="G6" s="22" t="n"/>
      <c r="H6" s="22" t="n"/>
      <c r="I6" s="24" t="n"/>
      <c r="J6" s="22" t="n"/>
      <c r="K6" s="22" t="n"/>
      <c r="L6" s="23" t="n"/>
    </row>
    <row r="7">
      <c r="A7" s="24" t="n"/>
      <c r="B7" s="22" t="n"/>
      <c r="C7" s="22" t="n"/>
      <c r="D7" s="23" t="n"/>
      <c r="E7" s="23" t="n"/>
      <c r="F7" s="22" t="n"/>
      <c r="G7" s="22" t="n"/>
      <c r="H7" s="22" t="n"/>
      <c r="I7" s="24" t="n"/>
      <c r="J7" s="22" t="n"/>
      <c r="K7" s="22" t="n"/>
      <c r="L7" s="23" t="n"/>
    </row>
    <row r="8">
      <c r="A8" s="24" t="n"/>
      <c r="B8" s="22" t="n"/>
      <c r="C8" s="22" t="n"/>
      <c r="D8" s="23" t="n"/>
      <c r="E8" s="23" t="n"/>
      <c r="F8" s="22" t="n"/>
      <c r="G8" s="22" t="n"/>
      <c r="H8" s="22" t="n"/>
      <c r="I8" s="24" t="n"/>
      <c r="J8" s="22" t="n"/>
      <c r="K8" s="22" t="n"/>
      <c r="L8" s="23" t="n"/>
    </row>
    <row r="9">
      <c r="A9" s="24" t="n"/>
      <c r="B9" s="22" t="n"/>
      <c r="C9" s="22" t="n"/>
      <c r="D9" s="23" t="n"/>
      <c r="E9" s="23" t="n"/>
      <c r="F9" s="22" t="n"/>
      <c r="G9" s="22" t="n"/>
      <c r="H9" s="22" t="n"/>
      <c r="I9" s="24" t="n"/>
      <c r="J9" s="22" t="n"/>
      <c r="K9" s="22" t="n"/>
      <c r="L9" s="23" t="n"/>
    </row>
    <row r="10">
      <c r="A10" s="24" t="n"/>
      <c r="B10" s="22" t="n"/>
      <c r="C10" s="22" t="n"/>
      <c r="D10" s="23" t="n"/>
      <c r="E10" s="23" t="n"/>
      <c r="F10" s="22" t="n"/>
      <c r="G10" s="22" t="n"/>
      <c r="H10" s="22" t="n"/>
      <c r="I10" s="24" t="n"/>
      <c r="J10" s="22" t="n"/>
      <c r="K10" s="22" t="n"/>
      <c r="L10" s="23" t="n"/>
    </row>
    <row r="11">
      <c r="A11" s="24" t="n"/>
      <c r="B11" s="22" t="n"/>
      <c r="C11" s="22" t="n"/>
      <c r="D11" s="23" t="n"/>
      <c r="E11" s="23" t="n"/>
      <c r="F11" s="22" t="n"/>
      <c r="G11" s="22" t="n"/>
      <c r="H11" s="22" t="n"/>
      <c r="I11" s="24" t="n"/>
      <c r="J11" s="22" t="n"/>
      <c r="K11" s="22" t="n"/>
      <c r="L11" s="23" t="n"/>
    </row>
    <row r="12">
      <c r="A12" s="24" t="n"/>
      <c r="B12" s="22" t="n"/>
      <c r="C12" s="22" t="n"/>
      <c r="D12" s="23" t="n"/>
      <c r="E12" s="23" t="n"/>
      <c r="F12" s="22" t="n"/>
      <c r="G12" s="22" t="n"/>
      <c r="H12" s="22" t="n"/>
      <c r="I12" s="24" t="n"/>
      <c r="J12" s="22" t="n"/>
      <c r="K12" s="22" t="n"/>
      <c r="L12" s="23" t="n"/>
    </row>
    <row r="13">
      <c r="A13" s="24" t="n"/>
      <c r="B13" s="22" t="n"/>
      <c r="C13" s="22" t="n"/>
      <c r="D13" s="23" t="n"/>
      <c r="E13" s="23" t="n"/>
      <c r="F13" s="22" t="n"/>
      <c r="G13" s="22" t="n"/>
      <c r="H13" s="22" t="n"/>
      <c r="I13" s="24" t="n"/>
      <c r="J13" s="22" t="n"/>
      <c r="K13" s="22" t="n"/>
      <c r="L13" s="23" t="n"/>
    </row>
    <row r="14">
      <c r="A14" s="24" t="n"/>
      <c r="B14" s="22" t="n"/>
      <c r="C14" s="22" t="n"/>
      <c r="D14" s="23" t="n"/>
      <c r="E14" s="23" t="n"/>
      <c r="F14" s="22" t="n"/>
      <c r="G14" s="22" t="n"/>
      <c r="H14" s="22" t="n"/>
      <c r="I14" s="24" t="n"/>
      <c r="J14" s="22" t="n"/>
      <c r="K14" s="22" t="n"/>
      <c r="L14" s="23" t="n"/>
    </row>
    <row r="15">
      <c r="A15" s="24" t="n"/>
      <c r="B15" s="22" t="n"/>
      <c r="C15" s="22" t="n"/>
      <c r="D15" s="23" t="n"/>
      <c r="E15" s="23" t="n"/>
      <c r="F15" s="22" t="n"/>
      <c r="G15" s="22" t="n"/>
      <c r="H15" s="22" t="n"/>
      <c r="I15" s="24" t="n"/>
      <c r="J15" s="22" t="n"/>
      <c r="K15" s="22" t="n"/>
      <c r="L15" s="23" t="n"/>
    </row>
    <row r="16">
      <c r="A16" s="24" t="n"/>
      <c r="B16" s="22" t="n"/>
      <c r="C16" s="22" t="n"/>
      <c r="D16" s="23" t="n"/>
      <c r="E16" s="23" t="n"/>
      <c r="F16" s="22" t="n"/>
      <c r="G16" s="22" t="n"/>
      <c r="H16" s="22" t="n"/>
      <c r="I16" s="24" t="n"/>
      <c r="J16" s="22" t="n"/>
      <c r="K16" s="22" t="n"/>
      <c r="L16" s="23" t="n"/>
    </row>
    <row r="17">
      <c r="A17" s="24" t="n"/>
      <c r="B17" s="22" t="n"/>
      <c r="C17" s="22" t="n"/>
      <c r="D17" s="23" t="n"/>
      <c r="E17" s="23" t="n"/>
      <c r="F17" s="22" t="n"/>
      <c r="G17" s="22" t="n"/>
      <c r="H17" s="22" t="n"/>
      <c r="I17" s="24" t="n"/>
      <c r="J17" s="22" t="n"/>
      <c r="K17" s="22" t="n"/>
      <c r="L17" s="23" t="n"/>
    </row>
    <row r="18">
      <c r="A18" s="24" t="n"/>
      <c r="B18" s="22" t="n"/>
      <c r="C18" s="22" t="n"/>
      <c r="D18" s="23" t="n"/>
      <c r="E18" s="23" t="n"/>
      <c r="F18" s="22" t="n"/>
      <c r="G18" s="22" t="n"/>
      <c r="H18" s="22" t="n"/>
      <c r="I18" s="24" t="n"/>
      <c r="J18" s="22" t="n"/>
      <c r="K18" s="22" t="n"/>
      <c r="L18" s="23" t="n"/>
    </row>
    <row r="19">
      <c r="A19" s="24" t="n"/>
      <c r="B19" s="22" t="n"/>
      <c r="C19" s="22" t="n"/>
      <c r="D19" s="23" t="n"/>
      <c r="E19" s="23" t="n"/>
      <c r="F19" s="22" t="n"/>
      <c r="G19" s="22" t="n"/>
      <c r="H19" s="22" t="n"/>
      <c r="I19" s="24" t="n"/>
      <c r="J19" s="22" t="n"/>
      <c r="K19" s="22" t="n"/>
      <c r="L19" s="23" t="n"/>
    </row>
    <row r="20">
      <c r="A20" s="24" t="n"/>
      <c r="B20" s="22" t="n"/>
      <c r="C20" s="22" t="n"/>
      <c r="D20" s="23" t="n"/>
      <c r="E20" s="23" t="n"/>
      <c r="F20" s="22" t="n"/>
      <c r="G20" s="22" t="n"/>
      <c r="H20" s="22" t="n"/>
      <c r="I20" s="24" t="n"/>
      <c r="J20" s="22" t="n"/>
      <c r="K20" s="22" t="n"/>
      <c r="L20" s="23" t="n"/>
    </row>
    <row r="21">
      <c r="A21" s="24" t="n"/>
      <c r="B21" s="22" t="n"/>
      <c r="C21" s="22" t="n"/>
      <c r="D21" s="23" t="n"/>
      <c r="E21" s="23" t="n"/>
      <c r="F21" s="22" t="n"/>
      <c r="G21" s="22" t="n"/>
      <c r="H21" s="22" t="n"/>
      <c r="I21" s="24" t="n"/>
      <c r="J21" s="22" t="n"/>
      <c r="K21" s="22" t="n"/>
      <c r="L21" s="23" t="n"/>
    </row>
    <row r="22">
      <c r="A22" s="24" t="n"/>
      <c r="B22" s="22" t="n"/>
      <c r="C22" s="22" t="n"/>
      <c r="D22" s="23" t="n"/>
      <c r="E22" s="23" t="n"/>
      <c r="F22" s="22" t="n"/>
      <c r="G22" s="22" t="n"/>
      <c r="H22" s="22" t="n"/>
      <c r="I22" s="24" t="n"/>
      <c r="J22" s="22" t="n"/>
      <c r="K22" s="22" t="n"/>
      <c r="L22" s="23" t="n"/>
    </row>
    <row r="23">
      <c r="A23" s="24" t="n"/>
      <c r="B23" s="22" t="n"/>
      <c r="C23" s="22" t="n"/>
      <c r="D23" s="23" t="n"/>
      <c r="E23" s="23" t="n"/>
      <c r="F23" s="22" t="n"/>
      <c r="G23" s="22" t="n"/>
      <c r="H23" s="22" t="n"/>
      <c r="I23" s="24" t="n"/>
      <c r="J23" s="22" t="n"/>
      <c r="K23" s="22" t="n"/>
      <c r="L23" s="23" t="n"/>
    </row>
    <row r="24">
      <c r="A24" s="24" t="n"/>
      <c r="B24" s="22" t="n"/>
      <c r="C24" s="22" t="n"/>
      <c r="D24" s="23" t="n"/>
      <c r="E24" s="23" t="n"/>
      <c r="F24" s="22" t="n"/>
      <c r="G24" s="22" t="n"/>
      <c r="H24" s="22" t="n"/>
      <c r="I24" s="24" t="n"/>
      <c r="J24" s="22" t="n"/>
      <c r="K24" s="22" t="n"/>
      <c r="L24" s="23" t="n"/>
    </row>
    <row r="25">
      <c r="A25" s="24" t="n"/>
      <c r="B25" s="22" t="n"/>
      <c r="C25" s="22" t="n"/>
      <c r="D25" s="23" t="n"/>
      <c r="E25" s="23" t="n"/>
      <c r="F25" s="22" t="n"/>
      <c r="G25" s="22" t="n"/>
      <c r="H25" s="22" t="n"/>
      <c r="I25" s="24" t="n"/>
      <c r="J25" s="22" t="n"/>
      <c r="K25" s="22" t="n"/>
      <c r="L25" s="23" t="n"/>
    </row>
    <row r="26">
      <c r="A26" s="24" t="n"/>
      <c r="B26" s="22" t="n"/>
      <c r="C26" s="22" t="n"/>
      <c r="D26" s="23" t="n"/>
      <c r="E26" s="23" t="n"/>
      <c r="F26" s="22" t="n"/>
      <c r="G26" s="22" t="n"/>
      <c r="H26" s="22" t="n"/>
      <c r="I26" s="24" t="n"/>
      <c r="J26" s="22" t="n"/>
      <c r="K26" s="22" t="n"/>
      <c r="L26" s="23" t="n"/>
    </row>
    <row r="27">
      <c r="A27" s="24" t="n"/>
      <c r="B27" s="22" t="n"/>
      <c r="C27" s="22" t="n"/>
      <c r="D27" s="23" t="n"/>
      <c r="E27" s="23" t="n"/>
      <c r="F27" s="22" t="n"/>
      <c r="G27" s="22" t="n"/>
      <c r="H27" s="22" t="n"/>
      <c r="I27" s="24" t="n"/>
      <c r="J27" s="22" t="n"/>
      <c r="K27" s="22" t="n"/>
      <c r="L27" s="23" t="n"/>
    </row>
    <row r="28">
      <c r="A28" s="24" t="n"/>
      <c r="B28" s="22" t="n"/>
      <c r="C28" s="22" t="n"/>
      <c r="D28" s="23" t="n"/>
      <c r="E28" s="23" t="n"/>
      <c r="F28" s="22" t="n"/>
      <c r="G28" s="22" t="n"/>
      <c r="H28" s="22" t="n"/>
      <c r="I28" s="24" t="n"/>
      <c r="J28" s="22" t="n"/>
      <c r="K28" s="22" t="n"/>
      <c r="L28" s="23" t="n"/>
    </row>
    <row r="29">
      <c r="A29" s="24" t="n"/>
      <c r="B29" s="22" t="n"/>
      <c r="C29" s="22" t="n"/>
      <c r="D29" s="23" t="n"/>
      <c r="E29" s="23" t="n"/>
      <c r="F29" s="22" t="n"/>
      <c r="G29" s="22" t="n"/>
      <c r="H29" s="22" t="n"/>
      <c r="I29" s="24" t="n"/>
      <c r="J29" s="22" t="n"/>
      <c r="K29" s="22" t="n"/>
      <c r="L29" s="23" t="n"/>
    </row>
    <row r="30">
      <c r="A30" s="24" t="n"/>
      <c r="B30" s="22" t="n"/>
      <c r="C30" s="22" t="n"/>
      <c r="D30" s="23" t="n"/>
      <c r="E30" s="23" t="n"/>
      <c r="F30" s="22" t="n"/>
      <c r="G30" s="22" t="n"/>
      <c r="H30" s="22" t="n"/>
      <c r="I30" s="24" t="n"/>
      <c r="J30" s="22" t="n"/>
      <c r="K30" s="22" t="n"/>
      <c r="L30" s="23" t="n"/>
    </row>
    <row r="31">
      <c r="A31" s="24" t="n"/>
      <c r="B31" s="22" t="n"/>
      <c r="C31" s="22" t="n"/>
      <c r="D31" s="23" t="n"/>
      <c r="E31" s="23" t="n"/>
      <c r="F31" s="22" t="n"/>
      <c r="G31" s="22" t="n"/>
      <c r="H31" s="22" t="n"/>
      <c r="I31" s="24" t="n"/>
      <c r="J31" s="22" t="n"/>
      <c r="K31" s="22" t="n"/>
      <c r="L31" s="23" t="n"/>
    </row>
    <row r="32">
      <c r="A32" s="24" t="n"/>
      <c r="B32" s="22" t="n"/>
      <c r="C32" s="22" t="n"/>
      <c r="D32" s="23" t="n"/>
      <c r="E32" s="23" t="n"/>
      <c r="F32" s="22" t="n"/>
      <c r="G32" s="22" t="n"/>
      <c r="H32" s="22" t="n"/>
      <c r="I32" s="24" t="n"/>
      <c r="J32" s="22" t="n"/>
      <c r="K32" s="22" t="n"/>
      <c r="L32" s="23" t="n"/>
    </row>
    <row r="33">
      <c r="A33" s="24" t="n"/>
      <c r="B33" s="22" t="n"/>
      <c r="C33" s="22" t="n"/>
      <c r="D33" s="23" t="n"/>
      <c r="E33" s="23" t="n"/>
      <c r="F33" s="22" t="n"/>
      <c r="G33" s="22" t="n"/>
      <c r="H33" s="22" t="n"/>
      <c r="I33" s="24" t="n"/>
      <c r="J33" s="22" t="n"/>
      <c r="K33" s="22" t="n"/>
      <c r="L33" s="23" t="n"/>
    </row>
    <row r="34">
      <c r="A34" s="24" t="n"/>
      <c r="B34" s="22" t="n"/>
      <c r="C34" s="22" t="n"/>
      <c r="D34" s="23" t="n"/>
      <c r="E34" s="23" t="n"/>
      <c r="F34" s="22" t="n"/>
      <c r="G34" s="22" t="n"/>
      <c r="H34" s="22" t="n"/>
      <c r="I34" s="24" t="n"/>
      <c r="J34" s="22" t="n"/>
      <c r="K34" s="22" t="n"/>
      <c r="L34" s="23" t="n"/>
    </row>
    <row r="35">
      <c r="A35" s="24" t="n"/>
      <c r="B35" s="22" t="n"/>
      <c r="C35" s="22" t="n"/>
      <c r="D35" s="23" t="n"/>
      <c r="E35" s="23" t="n"/>
      <c r="F35" s="22" t="n"/>
      <c r="G35" s="22" t="n"/>
      <c r="H35" s="22" t="n"/>
      <c r="I35" s="24" t="n"/>
      <c r="J35" s="22" t="n"/>
      <c r="K35" s="22" t="n"/>
      <c r="L35" s="23" t="n"/>
    </row>
    <row r="36">
      <c r="A36" s="24" t="n"/>
      <c r="B36" s="22" t="n"/>
      <c r="C36" s="22" t="n"/>
      <c r="D36" s="23" t="n"/>
      <c r="E36" s="23" t="n"/>
      <c r="F36" s="22" t="n"/>
      <c r="G36" s="22" t="n"/>
      <c r="H36" s="22" t="n"/>
      <c r="I36" s="24" t="n"/>
      <c r="J36" s="22" t="n"/>
      <c r="K36" s="22" t="n"/>
      <c r="L36" s="23" t="n"/>
    </row>
    <row r="37">
      <c r="A37" s="24" t="n"/>
      <c r="B37" s="22" t="n"/>
      <c r="C37" s="22" t="n"/>
      <c r="D37" s="23" t="n"/>
      <c r="E37" s="23" t="n"/>
      <c r="F37" s="22" t="n"/>
      <c r="G37" s="22" t="n"/>
      <c r="H37" s="22" t="n"/>
      <c r="I37" s="24" t="n"/>
      <c r="J37" s="22" t="n"/>
      <c r="K37" s="22" t="n"/>
      <c r="L37" s="23" t="n"/>
    </row>
    <row r="38">
      <c r="A38" s="24" t="n"/>
      <c r="B38" s="22" t="n"/>
      <c r="C38" s="22" t="n"/>
      <c r="D38" s="23" t="n"/>
      <c r="E38" s="23" t="n"/>
      <c r="F38" s="22" t="n"/>
      <c r="G38" s="22" t="n"/>
      <c r="H38" s="22" t="n"/>
      <c r="I38" s="24" t="n"/>
      <c r="J38" s="22" t="n"/>
      <c r="K38" s="22" t="n"/>
      <c r="L38" s="23" t="n"/>
    </row>
    <row r="39">
      <c r="A39" s="24" t="n"/>
      <c r="B39" s="22" t="n"/>
      <c r="C39" s="22" t="n"/>
      <c r="D39" s="23" t="n"/>
      <c r="E39" s="23" t="n"/>
      <c r="F39" s="22" t="n"/>
      <c r="G39" s="22" t="n"/>
      <c r="H39" s="22" t="n"/>
      <c r="I39" s="24" t="n"/>
      <c r="J39" s="22" t="n"/>
      <c r="K39" s="22" t="n"/>
      <c r="L39" s="23" t="n"/>
    </row>
    <row r="40">
      <c r="A40" s="24" t="n"/>
      <c r="B40" s="22" t="n"/>
      <c r="C40" s="22" t="n"/>
      <c r="D40" s="23" t="n"/>
      <c r="E40" s="23" t="n"/>
      <c r="F40" s="22" t="n"/>
      <c r="G40" s="22" t="n"/>
      <c r="H40" s="22" t="n"/>
      <c r="I40" s="24" t="n"/>
      <c r="J40" s="22" t="n"/>
      <c r="K40" s="22" t="n"/>
      <c r="L40" s="23" t="n"/>
    </row>
    <row r="41">
      <c r="A41" s="24" t="n"/>
      <c r="B41" s="22" t="n"/>
      <c r="C41" s="22" t="n"/>
      <c r="D41" s="23" t="n"/>
      <c r="E41" s="23" t="n"/>
      <c r="F41" s="22" t="n"/>
      <c r="G41" s="22" t="n"/>
      <c r="H41" s="22" t="n"/>
      <c r="I41" s="24" t="n"/>
      <c r="J41" s="22" t="n"/>
      <c r="K41" s="22" t="n"/>
      <c r="L41" s="23" t="n"/>
    </row>
    <row r="42">
      <c r="A42" s="24" t="n"/>
      <c r="B42" s="22" t="n"/>
      <c r="C42" s="22" t="n"/>
      <c r="D42" s="23" t="n"/>
      <c r="E42" s="23" t="n"/>
      <c r="F42" s="22" t="n"/>
      <c r="G42" s="22" t="n"/>
      <c r="H42" s="22" t="n"/>
      <c r="I42" s="24" t="n"/>
      <c r="J42" s="22" t="n"/>
      <c r="K42" s="22" t="n"/>
      <c r="L42" s="23" t="n"/>
    </row>
    <row r="43">
      <c r="A43" s="24" t="n"/>
      <c r="B43" s="22" t="n"/>
      <c r="C43" s="22" t="n"/>
      <c r="D43" s="23" t="n"/>
      <c r="E43" s="23" t="n"/>
      <c r="F43" s="22" t="n"/>
      <c r="G43" s="22" t="n"/>
      <c r="H43" s="22" t="n"/>
      <c r="I43" s="24" t="n"/>
      <c r="J43" s="22" t="n"/>
      <c r="K43" s="22" t="n"/>
      <c r="L43" s="23" t="n"/>
    </row>
    <row r="44">
      <c r="A44" s="24" t="n"/>
      <c r="B44" s="22" t="n"/>
      <c r="C44" s="22" t="n"/>
      <c r="D44" s="23" t="n"/>
      <c r="E44" s="23" t="n"/>
      <c r="F44" s="22" t="n"/>
      <c r="G44" s="22" t="n"/>
      <c r="H44" s="22" t="n"/>
      <c r="I44" s="24" t="n"/>
      <c r="J44" s="22" t="n"/>
      <c r="K44" s="22" t="n"/>
      <c r="L44" s="23" t="n"/>
    </row>
    <row r="45">
      <c r="A45" s="24" t="n"/>
      <c r="B45" s="22" t="n"/>
      <c r="C45" s="22" t="n"/>
      <c r="D45" s="23" t="n"/>
      <c r="E45" s="23" t="n"/>
      <c r="F45" s="22" t="n"/>
      <c r="G45" s="22" t="n"/>
      <c r="H45" s="22" t="n"/>
      <c r="I45" s="24" t="n"/>
      <c r="J45" s="22" t="n"/>
      <c r="K45" s="22" t="n"/>
      <c r="L45" s="23" t="n"/>
    </row>
    <row r="46">
      <c r="A46" s="24" t="n"/>
      <c r="B46" s="22" t="n"/>
      <c r="C46" s="22" t="n"/>
      <c r="D46" s="23" t="n"/>
      <c r="E46" s="23" t="n"/>
      <c r="F46" s="22" t="n"/>
      <c r="G46" s="22" t="n"/>
      <c r="H46" s="22" t="n"/>
      <c r="I46" s="24" t="n"/>
      <c r="J46" s="22" t="n"/>
      <c r="K46" s="22" t="n"/>
      <c r="L46" s="23" t="n"/>
    </row>
    <row r="47">
      <c r="A47" s="24" t="n"/>
      <c r="B47" s="22" t="n"/>
      <c r="C47" s="22" t="n"/>
      <c r="D47" s="23" t="n"/>
      <c r="E47" s="23" t="n"/>
      <c r="F47" s="22" t="n"/>
      <c r="G47" s="22" t="n"/>
      <c r="H47" s="22" t="n"/>
      <c r="I47" s="24" t="n"/>
      <c r="J47" s="22" t="n"/>
      <c r="K47" s="22" t="n"/>
      <c r="L47" s="23" t="n"/>
    </row>
    <row r="48">
      <c r="A48" s="24" t="n"/>
      <c r="B48" s="22" t="n"/>
      <c r="C48" s="22" t="n"/>
      <c r="D48" s="23" t="n"/>
      <c r="E48" s="23" t="n"/>
      <c r="F48" s="22" t="n"/>
      <c r="G48" s="22" t="n"/>
      <c r="H48" s="22" t="n"/>
      <c r="I48" s="24" t="n"/>
      <c r="J48" s="22" t="n"/>
      <c r="K48" s="22" t="n"/>
      <c r="L48" s="23" t="n"/>
    </row>
    <row r="49">
      <c r="A49" s="24" t="n"/>
      <c r="B49" s="22" t="n"/>
      <c r="C49" s="22" t="n"/>
      <c r="D49" s="23" t="n"/>
      <c r="E49" s="23" t="n"/>
      <c r="F49" s="22" t="n"/>
      <c r="G49" s="22" t="n"/>
      <c r="H49" s="22" t="n"/>
      <c r="I49" s="24" t="n"/>
      <c r="J49" s="22" t="n"/>
      <c r="K49" s="22" t="n"/>
      <c r="L49" s="23" t="n"/>
    </row>
    <row r="50">
      <c r="A50" s="24" t="n"/>
      <c r="B50" s="22" t="n"/>
      <c r="C50" s="22" t="n"/>
      <c r="D50" s="23" t="n"/>
      <c r="E50" s="23" t="n"/>
      <c r="F50" s="22" t="n"/>
      <c r="G50" s="22" t="n"/>
      <c r="H50" s="22" t="n"/>
      <c r="I50" s="24" t="n"/>
      <c r="J50" s="22" t="n"/>
      <c r="K50" s="22" t="n"/>
      <c r="L50" s="23" t="n"/>
    </row>
    <row r="51">
      <c r="A51" s="24" t="n"/>
      <c r="B51" s="22" t="n"/>
      <c r="C51" s="22" t="n"/>
      <c r="D51" s="23" t="n"/>
      <c r="E51" s="23" t="n"/>
      <c r="F51" s="22" t="n"/>
      <c r="G51" s="22" t="n"/>
      <c r="H51" s="22" t="n"/>
      <c r="I51" s="24" t="n"/>
      <c r="J51" s="22" t="n"/>
      <c r="K51" s="22" t="n"/>
      <c r="L51" s="23" t="n"/>
    </row>
    <row r="52">
      <c r="A52" s="24" t="n"/>
      <c r="B52" s="22" t="n"/>
      <c r="C52" s="22" t="n"/>
      <c r="D52" s="23" t="n"/>
      <c r="E52" s="23" t="n"/>
      <c r="F52" s="22" t="n"/>
      <c r="G52" s="22" t="n"/>
      <c r="H52" s="22" t="n"/>
      <c r="I52" s="24" t="n"/>
      <c r="J52" s="22" t="n"/>
      <c r="K52" s="22" t="n"/>
      <c r="L52" s="23" t="n"/>
    </row>
    <row r="53">
      <c r="A53" s="24" t="n"/>
      <c r="B53" s="22" t="n"/>
      <c r="C53" s="22" t="n"/>
      <c r="D53" s="23" t="n"/>
      <c r="E53" s="23" t="n"/>
      <c r="F53" s="22" t="n"/>
      <c r="G53" s="22" t="n"/>
      <c r="H53" s="22" t="n"/>
      <c r="I53" s="24" t="n"/>
      <c r="J53" s="22" t="n"/>
      <c r="K53" s="22" t="n"/>
      <c r="L53" s="23" t="n"/>
    </row>
    <row r="54">
      <c r="A54" s="24" t="n"/>
      <c r="B54" s="22" t="n"/>
      <c r="C54" s="22" t="n"/>
      <c r="D54" s="23" t="n"/>
      <c r="E54" s="23" t="n"/>
      <c r="F54" s="22" t="n"/>
      <c r="G54" s="22" t="n"/>
      <c r="H54" s="22" t="n"/>
      <c r="I54" s="24" t="n"/>
      <c r="J54" s="22" t="n"/>
      <c r="K54" s="22" t="n"/>
      <c r="L54" s="23" t="n"/>
    </row>
    <row r="55">
      <c r="A55" s="24" t="n"/>
      <c r="B55" s="22" t="n"/>
      <c r="C55" s="22" t="n"/>
      <c r="D55" s="23" t="n"/>
      <c r="E55" s="23" t="n"/>
      <c r="F55" s="22" t="n"/>
      <c r="G55" s="22" t="n"/>
      <c r="H55" s="22" t="n"/>
      <c r="I55" s="24" t="n"/>
      <c r="J55" s="22" t="n"/>
      <c r="K55" s="22" t="n"/>
      <c r="L55" s="23" t="n"/>
    </row>
    <row r="56">
      <c r="A56" s="24" t="n"/>
      <c r="B56" s="22" t="n"/>
      <c r="C56" s="22" t="n"/>
      <c r="D56" s="23" t="n"/>
      <c r="E56" s="23" t="n"/>
      <c r="F56" s="22" t="n"/>
      <c r="G56" s="22" t="n"/>
      <c r="H56" s="22" t="n"/>
      <c r="I56" s="24" t="n"/>
      <c r="J56" s="22" t="n"/>
      <c r="K56" s="22" t="n"/>
      <c r="L56" s="23" t="n"/>
    </row>
    <row r="57">
      <c r="A57" s="24" t="n"/>
      <c r="B57" s="22" t="n"/>
      <c r="C57" s="22" t="n"/>
      <c r="D57" s="23" t="n"/>
      <c r="E57" s="23" t="n"/>
      <c r="F57" s="22" t="n"/>
      <c r="G57" s="22" t="n"/>
      <c r="H57" s="22" t="n"/>
      <c r="I57" s="24" t="n"/>
      <c r="J57" s="22" t="n"/>
      <c r="K57" s="22" t="n"/>
      <c r="L57" s="23" t="n"/>
    </row>
    <row r="58">
      <c r="A58" s="24" t="n"/>
      <c r="B58" s="22" t="n"/>
      <c r="C58" s="22" t="n"/>
      <c r="D58" s="23" t="n"/>
      <c r="E58" s="23" t="n"/>
      <c r="F58" s="22" t="n"/>
      <c r="G58" s="22" t="n"/>
      <c r="H58" s="22" t="n"/>
      <c r="I58" s="24" t="n"/>
      <c r="J58" s="22" t="n"/>
      <c r="K58" s="22" t="n"/>
      <c r="L58" s="23" t="n"/>
    </row>
    <row r="59">
      <c r="A59" s="24" t="n"/>
      <c r="B59" s="22" t="n"/>
      <c r="C59" s="22" t="n"/>
      <c r="D59" s="23" t="n"/>
      <c r="E59" s="23" t="n"/>
      <c r="F59" s="22" t="n"/>
      <c r="G59" s="22" t="n"/>
      <c r="H59" s="22" t="n"/>
      <c r="I59" s="24" t="n"/>
      <c r="J59" s="22" t="n"/>
      <c r="K59" s="22" t="n"/>
      <c r="L59" s="23" t="n"/>
    </row>
    <row r="60">
      <c r="A60" s="24" t="n"/>
      <c r="B60" s="22" t="n"/>
      <c r="C60" s="22" t="n"/>
      <c r="D60" s="23" t="n"/>
      <c r="E60" s="23" t="n"/>
      <c r="F60" s="22" t="n"/>
      <c r="G60" s="22" t="n"/>
      <c r="H60" s="22" t="n"/>
      <c r="I60" s="24" t="n"/>
      <c r="J60" s="22" t="n"/>
      <c r="K60" s="22" t="n"/>
      <c r="L60" s="23" t="n"/>
    </row>
    <row r="61">
      <c r="A61" s="24" t="n"/>
      <c r="B61" s="22" t="n"/>
      <c r="C61" s="22" t="n"/>
      <c r="D61" s="23" t="n"/>
      <c r="E61" s="23" t="n"/>
      <c r="F61" s="22" t="n"/>
      <c r="G61" s="22" t="n"/>
      <c r="H61" s="22" t="n"/>
      <c r="I61" s="24" t="n"/>
      <c r="J61" s="22" t="n"/>
      <c r="K61" s="22" t="n"/>
      <c r="L61" s="23" t="n"/>
    </row>
    <row r="62">
      <c r="A62" s="24" t="n"/>
      <c r="B62" s="22" t="n"/>
      <c r="C62" s="22" t="n"/>
      <c r="D62" s="23" t="n"/>
      <c r="E62" s="23" t="n"/>
      <c r="F62" s="22" t="n"/>
      <c r="G62" s="22" t="n"/>
      <c r="H62" s="22" t="n"/>
      <c r="I62" s="24" t="n"/>
      <c r="J62" s="22" t="n"/>
      <c r="K62" s="22" t="n"/>
      <c r="L62" s="23" t="n"/>
    </row>
    <row r="63">
      <c r="A63" s="24" t="n"/>
      <c r="B63" s="22" t="n"/>
      <c r="C63" s="22" t="n"/>
      <c r="D63" s="23" t="n"/>
      <c r="E63" s="23" t="n"/>
      <c r="F63" s="22" t="n"/>
      <c r="G63" s="22" t="n"/>
      <c r="H63" s="22" t="n"/>
      <c r="I63" s="24" t="n"/>
      <c r="J63" s="22" t="n"/>
      <c r="K63" s="22" t="n"/>
      <c r="L63" s="23" t="n"/>
    </row>
    <row r="64">
      <c r="A64" s="24" t="n"/>
      <c r="B64" s="22" t="n"/>
      <c r="C64" s="22" t="n"/>
      <c r="D64" s="23" t="n"/>
      <c r="E64" s="23" t="n"/>
      <c r="F64" s="22" t="n"/>
      <c r="G64" s="22" t="n"/>
      <c r="H64" s="22" t="n"/>
      <c r="I64" s="24" t="n"/>
      <c r="J64" s="22" t="n"/>
      <c r="K64" s="22" t="n"/>
      <c r="L64" s="23" t="n"/>
    </row>
    <row r="65">
      <c r="A65" s="24" t="n"/>
      <c r="B65" s="22" t="n"/>
      <c r="C65" s="22" t="n"/>
      <c r="D65" s="23" t="n"/>
      <c r="E65" s="23" t="n"/>
      <c r="F65" s="22" t="n"/>
      <c r="G65" s="22" t="n"/>
      <c r="H65" s="22" t="n"/>
      <c r="I65" s="24" t="n"/>
      <c r="J65" s="22" t="n"/>
      <c r="K65" s="22" t="n"/>
      <c r="L65" s="23" t="n"/>
    </row>
    <row r="66">
      <c r="A66" s="24" t="n"/>
      <c r="B66" s="22" t="n"/>
      <c r="C66" s="22" t="n"/>
      <c r="D66" s="23" t="n"/>
      <c r="E66" s="23" t="n"/>
      <c r="F66" s="22" t="n"/>
      <c r="G66" s="22" t="n"/>
      <c r="H66" s="22" t="n"/>
      <c r="I66" s="24" t="n"/>
      <c r="J66" s="22" t="n"/>
      <c r="K66" s="22" t="n"/>
      <c r="L66" s="23" t="n"/>
    </row>
    <row r="67">
      <c r="A67" s="24" t="n"/>
      <c r="B67" s="22" t="n"/>
      <c r="C67" s="22" t="n"/>
      <c r="D67" s="23" t="n"/>
      <c r="E67" s="23" t="n"/>
      <c r="F67" s="22" t="n"/>
      <c r="G67" s="22" t="n"/>
      <c r="H67" s="22" t="n"/>
      <c r="I67" s="24" t="n"/>
      <c r="J67" s="22" t="n"/>
      <c r="K67" s="22" t="n"/>
      <c r="L67" s="23" t="n"/>
    </row>
    <row r="68">
      <c r="A68" s="24" t="n"/>
      <c r="B68" s="22" t="n"/>
      <c r="C68" s="22" t="n"/>
      <c r="D68" s="23" t="n"/>
      <c r="E68" s="23" t="n"/>
      <c r="F68" s="22" t="n"/>
      <c r="G68" s="22" t="n"/>
      <c r="H68" s="22" t="n"/>
      <c r="I68" s="24" t="n"/>
      <c r="J68" s="22" t="n"/>
      <c r="K68" s="22" t="n"/>
      <c r="L68" s="23" t="n"/>
    </row>
    <row r="69">
      <c r="A69" s="24" t="n"/>
      <c r="B69" s="22" t="n"/>
      <c r="C69" s="22" t="n"/>
      <c r="D69" s="23" t="n"/>
      <c r="E69" s="23" t="n"/>
      <c r="F69" s="22" t="n"/>
      <c r="G69" s="22" t="n"/>
      <c r="H69" s="22" t="n"/>
      <c r="I69" s="24" t="n"/>
      <c r="J69" s="22" t="n"/>
      <c r="K69" s="22" t="n"/>
      <c r="L69" s="23" t="n"/>
    </row>
    <row r="70">
      <c r="A70" s="24" t="n"/>
      <c r="B70" s="22" t="n"/>
      <c r="C70" s="22" t="n"/>
      <c r="D70" s="23" t="n"/>
      <c r="E70" s="23" t="n"/>
      <c r="F70" s="22" t="n"/>
      <c r="G70" s="22" t="n"/>
      <c r="H70" s="22" t="n"/>
      <c r="I70" s="24" t="n"/>
      <c r="J70" s="22" t="n"/>
      <c r="K70" s="22" t="n"/>
      <c r="L70" s="23" t="n"/>
    </row>
    <row r="71">
      <c r="A71" s="24" t="n"/>
      <c r="B71" s="22" t="n"/>
      <c r="C71" s="22" t="n"/>
      <c r="D71" s="23" t="n"/>
      <c r="E71" s="23" t="n"/>
      <c r="F71" s="22" t="n"/>
      <c r="G71" s="22" t="n"/>
      <c r="H71" s="22" t="n"/>
      <c r="I71" s="24" t="n"/>
      <c r="J71" s="22" t="n"/>
      <c r="K71" s="22" t="n"/>
      <c r="L71" s="23" t="n"/>
    </row>
    <row r="72">
      <c r="A72" s="24" t="n"/>
      <c r="B72" s="22" t="n"/>
      <c r="C72" s="22" t="n"/>
      <c r="D72" s="23" t="n"/>
      <c r="E72" s="23" t="n"/>
      <c r="F72" s="22" t="n"/>
      <c r="G72" s="22" t="n"/>
      <c r="H72" s="22" t="n"/>
      <c r="I72" s="24" t="n"/>
      <c r="J72" s="22" t="n"/>
      <c r="K72" s="22" t="n"/>
      <c r="L72" s="23" t="n"/>
    </row>
    <row r="73">
      <c r="A73" s="24" t="n"/>
      <c r="B73" s="22" t="n"/>
      <c r="C73" s="22" t="n"/>
      <c r="D73" s="23" t="n"/>
      <c r="E73" s="23" t="n"/>
      <c r="F73" s="22" t="n"/>
      <c r="G73" s="22" t="n"/>
      <c r="H73" s="22" t="n"/>
      <c r="I73" s="24" t="n"/>
      <c r="J73" s="22" t="n"/>
      <c r="K73" s="22" t="n"/>
      <c r="L73" s="23" t="n"/>
    </row>
    <row r="74">
      <c r="A74" s="24" t="n"/>
      <c r="B74" s="22" t="n"/>
      <c r="C74" s="22" t="n"/>
      <c r="D74" s="23" t="n"/>
      <c r="E74" s="23" t="n"/>
      <c r="F74" s="22" t="n"/>
      <c r="G74" s="22" t="n"/>
      <c r="H74" s="22" t="n"/>
      <c r="I74" s="24" t="n"/>
      <c r="J74" s="22" t="n"/>
      <c r="K74" s="22" t="n"/>
      <c r="L74" s="23" t="n"/>
    </row>
    <row r="75">
      <c r="A75" s="24" t="n"/>
      <c r="B75" s="22" t="n"/>
      <c r="C75" s="22" t="n"/>
      <c r="D75" s="23" t="n"/>
      <c r="E75" s="23" t="n"/>
      <c r="F75" s="22" t="n"/>
      <c r="G75" s="22" t="n"/>
      <c r="H75" s="22" t="n"/>
      <c r="I75" s="24" t="n"/>
      <c r="J75" s="22" t="n"/>
      <c r="K75" s="22" t="n"/>
      <c r="L75" s="23" t="n"/>
    </row>
    <row r="76">
      <c r="A76" s="24" t="n"/>
      <c r="B76" s="22" t="n"/>
      <c r="C76" s="22" t="n"/>
      <c r="D76" s="23" t="n"/>
      <c r="E76" s="23" t="n"/>
      <c r="F76" s="22" t="n"/>
      <c r="G76" s="22" t="n"/>
      <c r="H76" s="22" t="n"/>
      <c r="I76" s="24" t="n"/>
      <c r="J76" s="22" t="n"/>
      <c r="K76" s="22" t="n"/>
      <c r="L76" s="23" t="n"/>
    </row>
    <row r="77">
      <c r="A77" s="24" t="n"/>
      <c r="B77" s="22" t="n"/>
      <c r="C77" s="22" t="n"/>
      <c r="D77" s="23" t="n"/>
      <c r="E77" s="23" t="n"/>
      <c r="F77" s="22" t="n"/>
      <c r="G77" s="22" t="n"/>
      <c r="H77" s="22" t="n"/>
      <c r="I77" s="24" t="n"/>
      <c r="J77" s="22" t="n"/>
      <c r="K77" s="22" t="n"/>
      <c r="L77" s="23" t="n"/>
    </row>
    <row r="78">
      <c r="A78" s="24" t="n"/>
      <c r="B78" s="22" t="n"/>
      <c r="C78" s="22" t="n"/>
      <c r="D78" s="23" t="n"/>
      <c r="E78" s="23" t="n"/>
      <c r="F78" s="22" t="n"/>
      <c r="G78" s="22" t="n"/>
      <c r="H78" s="22" t="n"/>
      <c r="I78" s="24" t="n"/>
      <c r="J78" s="22" t="n"/>
      <c r="K78" s="22" t="n"/>
      <c r="L78" s="23" t="n"/>
    </row>
    <row r="79">
      <c r="A79" s="24" t="n"/>
      <c r="B79" s="22" t="n"/>
      <c r="C79" s="22" t="n"/>
      <c r="D79" s="23" t="n"/>
      <c r="E79" s="23" t="n"/>
      <c r="F79" s="22" t="n"/>
      <c r="G79" s="22" t="n"/>
      <c r="H79" s="22" t="n"/>
      <c r="I79" s="24" t="n"/>
      <c r="J79" s="22" t="n"/>
      <c r="K79" s="22" t="n"/>
      <c r="L79" s="23" t="n"/>
    </row>
    <row r="80">
      <c r="A80" s="24" t="n"/>
      <c r="B80" s="22" t="n"/>
      <c r="C80" s="22" t="n"/>
      <c r="D80" s="23" t="n"/>
      <c r="E80" s="23" t="n"/>
      <c r="F80" s="22" t="n"/>
      <c r="G80" s="22" t="n"/>
      <c r="H80" s="22" t="n"/>
      <c r="I80" s="24" t="n"/>
      <c r="J80" s="22" t="n"/>
      <c r="K80" s="22" t="n"/>
      <c r="L80" s="23" t="n"/>
    </row>
    <row r="81">
      <c r="A81" s="24" t="n"/>
      <c r="B81" s="22" t="n"/>
      <c r="C81" s="22" t="n"/>
      <c r="D81" s="23" t="n"/>
      <c r="E81" s="23" t="n"/>
      <c r="F81" s="22" t="n"/>
      <c r="G81" s="22" t="n"/>
      <c r="H81" s="22" t="n"/>
      <c r="I81" s="24" t="n"/>
      <c r="J81" s="22" t="n"/>
      <c r="K81" s="22" t="n"/>
      <c r="L81" s="23" t="n"/>
    </row>
    <row r="82">
      <c r="A82" s="24" t="n"/>
      <c r="B82" s="22" t="n"/>
      <c r="C82" s="22" t="n"/>
      <c r="D82" s="23" t="n"/>
      <c r="E82" s="23" t="n"/>
      <c r="F82" s="22" t="n"/>
      <c r="G82" s="22" t="n"/>
      <c r="H82" s="22" t="n"/>
      <c r="I82" s="24" t="n"/>
      <c r="J82" s="22" t="n"/>
      <c r="K82" s="22" t="n"/>
      <c r="L82" s="23" t="n"/>
    </row>
    <row r="83">
      <c r="A83" s="24" t="n"/>
      <c r="B83" s="22" t="n"/>
      <c r="C83" s="22" t="n"/>
      <c r="D83" s="23" t="n"/>
      <c r="E83" s="23" t="n"/>
      <c r="F83" s="22" t="n"/>
      <c r="G83" s="22" t="n"/>
      <c r="H83" s="22" t="n"/>
      <c r="I83" s="24" t="n"/>
      <c r="J83" s="22" t="n"/>
      <c r="K83" s="22" t="n"/>
      <c r="L83" s="23" t="n"/>
    </row>
    <row r="84">
      <c r="A84" s="24" t="n"/>
      <c r="B84" s="22" t="n"/>
      <c r="C84" s="22" t="n"/>
      <c r="D84" s="23" t="n"/>
      <c r="E84" s="23" t="n"/>
      <c r="F84" s="22" t="n"/>
      <c r="G84" s="22" t="n"/>
      <c r="H84" s="22" t="n"/>
      <c r="I84" s="24" t="n"/>
      <c r="J84" s="22" t="n"/>
      <c r="K84" s="22" t="n"/>
      <c r="L84" s="23" t="n"/>
    </row>
    <row r="85">
      <c r="A85" s="24" t="n"/>
      <c r="B85" s="22" t="n"/>
      <c r="C85" s="22" t="n"/>
      <c r="D85" s="23" t="n"/>
      <c r="E85" s="23" t="n"/>
      <c r="F85" s="22" t="n"/>
      <c r="G85" s="22" t="n"/>
      <c r="H85" s="22" t="n"/>
      <c r="I85" s="24" t="n"/>
      <c r="J85" s="22" t="n"/>
      <c r="K85" s="22" t="n"/>
      <c r="L85" s="23" t="n"/>
    </row>
    <row r="86">
      <c r="A86" s="24" t="n"/>
      <c r="B86" s="22" t="n"/>
      <c r="C86" s="22" t="n"/>
      <c r="D86" s="23" t="n"/>
      <c r="E86" s="23" t="n"/>
      <c r="F86" s="22" t="n"/>
      <c r="G86" s="22" t="n"/>
      <c r="H86" s="22" t="n"/>
      <c r="I86" s="24" t="n"/>
      <c r="J86" s="22" t="n"/>
      <c r="K86" s="22" t="n"/>
      <c r="L86" s="23" t="n"/>
    </row>
    <row r="87">
      <c r="A87" s="24" t="n"/>
      <c r="B87" s="22" t="n"/>
      <c r="C87" s="22" t="n"/>
      <c r="D87" s="23" t="n"/>
      <c r="E87" s="23" t="n"/>
      <c r="F87" s="22" t="n"/>
      <c r="G87" s="22" t="n"/>
      <c r="H87" s="22" t="n"/>
      <c r="I87" s="24" t="n"/>
      <c r="J87" s="22" t="n"/>
      <c r="K87" s="22" t="n"/>
      <c r="L87" s="23" t="n"/>
    </row>
    <row r="88">
      <c r="A88" s="24" t="n"/>
      <c r="B88" s="22" t="n"/>
      <c r="C88" s="22" t="n"/>
      <c r="D88" s="23" t="n"/>
      <c r="E88" s="23" t="n"/>
      <c r="F88" s="22" t="n"/>
      <c r="G88" s="22" t="n"/>
      <c r="H88" s="22" t="n"/>
      <c r="I88" s="24" t="n"/>
      <c r="J88" s="22" t="n"/>
      <c r="K88" s="22" t="n"/>
      <c r="L88" s="23" t="n"/>
    </row>
    <row r="89">
      <c r="A89" s="24" t="n"/>
      <c r="B89" s="22" t="n"/>
      <c r="C89" s="22" t="n"/>
      <c r="D89" s="23" t="n"/>
      <c r="E89" s="23" t="n"/>
      <c r="F89" s="22" t="n"/>
      <c r="G89" s="22" t="n"/>
      <c r="H89" s="22" t="n"/>
      <c r="I89" s="24" t="n"/>
      <c r="J89" s="22" t="n"/>
      <c r="K89" s="22" t="n"/>
      <c r="L89" s="23" t="n"/>
    </row>
    <row r="90">
      <c r="A90" s="24" t="n"/>
      <c r="B90" s="22" t="n"/>
      <c r="C90" s="22" t="n"/>
      <c r="D90" s="23" t="n"/>
      <c r="E90" s="23" t="n"/>
      <c r="F90" s="22" t="n"/>
      <c r="G90" s="22" t="n"/>
      <c r="H90" s="22" t="n"/>
      <c r="I90" s="24" t="n"/>
      <c r="J90" s="22" t="n"/>
      <c r="K90" s="22" t="n"/>
      <c r="L90" s="23" t="n"/>
    </row>
    <row r="91">
      <c r="A91" s="24" t="n"/>
      <c r="B91" s="22" t="n"/>
      <c r="C91" s="22" t="n"/>
      <c r="D91" s="23" t="n"/>
      <c r="E91" s="23" t="n"/>
      <c r="F91" s="22" t="n"/>
      <c r="G91" s="22" t="n"/>
      <c r="H91" s="22" t="n"/>
      <c r="I91" s="24" t="n"/>
      <c r="J91" s="22" t="n"/>
      <c r="K91" s="22" t="n"/>
      <c r="L91" s="23" t="n"/>
    </row>
    <row r="92">
      <c r="A92" s="24" t="n"/>
      <c r="B92" s="22" t="n"/>
      <c r="C92" s="22" t="n"/>
      <c r="D92" s="23" t="n"/>
      <c r="E92" s="23" t="n"/>
      <c r="F92" s="22" t="n"/>
      <c r="G92" s="22" t="n"/>
      <c r="H92" s="22" t="n"/>
      <c r="I92" s="24" t="n"/>
      <c r="J92" s="22" t="n"/>
      <c r="K92" s="22" t="n"/>
      <c r="L92" s="23" t="n"/>
    </row>
    <row r="93">
      <c r="A93" s="24" t="n"/>
      <c r="B93" s="22" t="n"/>
      <c r="C93" s="22" t="n"/>
      <c r="D93" s="23" t="n"/>
      <c r="E93" s="23" t="n"/>
      <c r="F93" s="22" t="n"/>
      <c r="G93" s="22" t="n"/>
      <c r="H93" s="22" t="n"/>
      <c r="I93" s="24" t="n"/>
      <c r="J93" s="22" t="n"/>
      <c r="K93" s="22" t="n"/>
      <c r="L93" s="23" t="n"/>
    </row>
    <row r="94">
      <c r="A94" s="24" t="n"/>
      <c r="B94" s="22" t="n"/>
      <c r="C94" s="22" t="n"/>
      <c r="D94" s="23" t="n"/>
      <c r="E94" s="23" t="n"/>
      <c r="F94" s="22" t="n"/>
      <c r="G94" s="22" t="n"/>
      <c r="H94" s="22" t="n"/>
      <c r="I94" s="24" t="n"/>
      <c r="J94" s="22" t="n"/>
      <c r="K94" s="22" t="n"/>
      <c r="L94" s="23" t="n"/>
    </row>
    <row r="95">
      <c r="A95" s="24" t="n"/>
      <c r="B95" s="22" t="n"/>
      <c r="C95" s="22" t="n"/>
      <c r="D95" s="23" t="n"/>
      <c r="E95" s="23" t="n"/>
      <c r="F95" s="22" t="n"/>
      <c r="G95" s="22" t="n"/>
      <c r="H95" s="22" t="n"/>
      <c r="I95" s="24" t="n"/>
      <c r="J95" s="22" t="n"/>
      <c r="K95" s="22" t="n"/>
      <c r="L95" s="23" t="n"/>
    </row>
    <row r="96">
      <c r="A96" s="24" t="n"/>
      <c r="B96" s="22" t="n"/>
      <c r="C96" s="22" t="n"/>
      <c r="D96" s="23" t="n"/>
      <c r="E96" s="23" t="n"/>
      <c r="F96" s="22" t="n"/>
      <c r="G96" s="22" t="n"/>
      <c r="H96" s="22" t="n"/>
      <c r="I96" s="24" t="n"/>
      <c r="J96" s="22" t="n"/>
      <c r="K96" s="22" t="n"/>
      <c r="L96" s="23" t="n"/>
    </row>
    <row r="97">
      <c r="A97" s="24" t="n"/>
      <c r="B97" s="22" t="n"/>
      <c r="C97" s="22" t="n"/>
      <c r="D97" s="23" t="n"/>
      <c r="E97" s="23" t="n"/>
      <c r="F97" s="22" t="n"/>
      <c r="G97" s="22" t="n"/>
      <c r="H97" s="22" t="n"/>
      <c r="I97" s="24" t="n"/>
      <c r="J97" s="22" t="n"/>
      <c r="K97" s="22" t="n"/>
      <c r="L97" s="23" t="n"/>
    </row>
    <row r="98">
      <c r="A98" s="24" t="n"/>
      <c r="B98" s="22" t="n"/>
      <c r="C98" s="22" t="n"/>
      <c r="D98" s="23" t="n"/>
      <c r="E98" s="23" t="n"/>
      <c r="F98" s="22" t="n"/>
      <c r="G98" s="22" t="n"/>
      <c r="H98" s="22" t="n"/>
      <c r="I98" s="24" t="n"/>
      <c r="J98" s="22" t="n"/>
      <c r="K98" s="22" t="n"/>
      <c r="L98" s="23" t="n"/>
    </row>
    <row r="99">
      <c r="A99" s="24" t="n"/>
      <c r="B99" s="22" t="n"/>
      <c r="C99" s="22" t="n"/>
      <c r="D99" s="23" t="n"/>
      <c r="E99" s="23" t="n"/>
      <c r="F99" s="22" t="n"/>
      <c r="G99" s="22" t="n"/>
      <c r="H99" s="22" t="n"/>
      <c r="I99" s="24" t="n"/>
      <c r="J99" s="22" t="n"/>
      <c r="K99" s="22" t="n"/>
      <c r="L99" s="23" t="n"/>
    </row>
    <row r="100">
      <c r="A100" s="24" t="n"/>
      <c r="B100" s="22" t="n"/>
      <c r="C100" s="22" t="n"/>
      <c r="D100" s="23" t="n"/>
      <c r="E100" s="23" t="n"/>
      <c r="F100" s="22" t="n"/>
      <c r="G100" s="22" t="n"/>
      <c r="H100" s="22" t="n"/>
      <c r="I100" s="24" t="n"/>
      <c r="J100" s="22" t="n"/>
      <c r="K100" s="22" t="n"/>
      <c r="L100" s="23" t="n"/>
    </row>
    <row r="101">
      <c r="A101" s="24" t="n"/>
      <c r="B101" s="22" t="n"/>
      <c r="C101" s="22" t="n"/>
      <c r="D101" s="23" t="n"/>
      <c r="E101" s="23" t="n"/>
      <c r="F101" s="22" t="n"/>
      <c r="G101" s="22" t="n"/>
      <c r="H101" s="22" t="n"/>
      <c r="I101" s="24" t="n"/>
      <c r="J101" s="22" t="n"/>
      <c r="K101" s="22" t="n"/>
      <c r="L101" s="23" t="n"/>
    </row>
    <row r="102">
      <c r="A102" s="24" t="n"/>
      <c r="B102" s="22" t="n"/>
      <c r="C102" s="22" t="n"/>
      <c r="D102" s="23" t="n"/>
      <c r="E102" s="23" t="n"/>
      <c r="F102" s="22" t="n"/>
      <c r="G102" s="22" t="n"/>
      <c r="H102" s="22" t="n"/>
      <c r="I102" s="24" t="n"/>
      <c r="J102" s="22" t="n"/>
      <c r="K102" s="22" t="n"/>
      <c r="L102" s="23" t="n"/>
    </row>
    <row r="103">
      <c r="A103" s="24" t="n"/>
      <c r="B103" s="22" t="n"/>
      <c r="C103" s="22" t="n"/>
      <c r="D103" s="23" t="n"/>
      <c r="E103" s="23" t="n"/>
      <c r="F103" s="22" t="n"/>
      <c r="G103" s="22" t="n"/>
      <c r="H103" s="22" t="n"/>
      <c r="I103" s="24" t="n"/>
      <c r="J103" s="22" t="n"/>
      <c r="K103" s="22" t="n"/>
      <c r="L103" s="23" t="n"/>
    </row>
    <row r="104">
      <c r="A104" s="24" t="n"/>
      <c r="B104" s="22" t="n"/>
      <c r="C104" s="22" t="n"/>
      <c r="D104" s="23" t="n"/>
      <c r="E104" s="23" t="n"/>
      <c r="F104" s="22" t="n"/>
      <c r="G104" s="22" t="n"/>
      <c r="H104" s="22" t="n"/>
      <c r="I104" s="24" t="n"/>
      <c r="J104" s="22" t="n"/>
      <c r="K104" s="22" t="n"/>
      <c r="L104" s="23" t="n"/>
    </row>
    <row r="105">
      <c r="A105" s="24" t="n"/>
      <c r="B105" s="22" t="n"/>
      <c r="C105" s="22" t="n"/>
      <c r="D105" s="23" t="n"/>
      <c r="E105" s="23" t="n"/>
      <c r="F105" s="22" t="n"/>
      <c r="G105" s="22" t="n"/>
      <c r="H105" s="22" t="n"/>
      <c r="I105" s="24" t="n"/>
      <c r="J105" s="22" t="n"/>
      <c r="K105" s="22" t="n"/>
      <c r="L105" s="23" t="n"/>
    </row>
    <row r="106">
      <c r="A106" s="24" t="n"/>
      <c r="B106" s="22" t="n"/>
      <c r="C106" s="22" t="n"/>
      <c r="D106" s="23" t="n"/>
      <c r="E106" s="23" t="n"/>
      <c r="F106" s="22" t="n"/>
      <c r="G106" s="22" t="n"/>
      <c r="H106" s="22" t="n"/>
      <c r="I106" s="24" t="n"/>
      <c r="J106" s="22" t="n"/>
      <c r="K106" s="22" t="n"/>
      <c r="L106" s="23" t="n"/>
    </row>
    <row r="107">
      <c r="A107" s="24" t="n"/>
      <c r="B107" s="22" t="n"/>
      <c r="C107" s="22" t="n"/>
      <c r="D107" s="23" t="n"/>
      <c r="E107" s="23" t="n"/>
      <c r="F107" s="22" t="n"/>
      <c r="G107" s="22" t="n"/>
      <c r="H107" s="22" t="n"/>
      <c r="I107" s="24" t="n"/>
      <c r="J107" s="22" t="n"/>
      <c r="K107" s="22" t="n"/>
      <c r="L107" s="23" t="n"/>
    </row>
    <row r="108">
      <c r="A108" s="24" t="n"/>
      <c r="B108" s="22" t="n"/>
      <c r="C108" s="22" t="n"/>
      <c r="D108" s="23" t="n"/>
      <c r="E108" s="23" t="n"/>
      <c r="F108" s="22" t="n"/>
      <c r="G108" s="22" t="n"/>
      <c r="H108" s="22" t="n"/>
      <c r="I108" s="24" t="n"/>
      <c r="J108" s="22" t="n"/>
      <c r="K108" s="22" t="n"/>
      <c r="L108" s="23" t="n"/>
    </row>
    <row r="109">
      <c r="A109" s="24" t="n"/>
      <c r="B109" s="22" t="n"/>
      <c r="C109" s="22" t="n"/>
      <c r="D109" s="23" t="n"/>
      <c r="E109" s="23" t="n"/>
      <c r="F109" s="22" t="n"/>
      <c r="G109" s="22" t="n"/>
      <c r="H109" s="22" t="n"/>
      <c r="I109" s="24" t="n"/>
      <c r="J109" s="22" t="n"/>
      <c r="K109" s="22" t="n"/>
      <c r="L109" s="23" t="n"/>
    </row>
    <row r="110">
      <c r="A110" s="24" t="n"/>
      <c r="B110" s="22" t="n"/>
      <c r="C110" s="22" t="n"/>
      <c r="D110" s="23" t="n"/>
      <c r="E110" s="23" t="n"/>
      <c r="F110" s="22" t="n"/>
      <c r="G110" s="22" t="n"/>
      <c r="H110" s="22" t="n"/>
      <c r="I110" s="24" t="n"/>
      <c r="J110" s="22" t="n"/>
      <c r="K110" s="22" t="n"/>
      <c r="L110" s="23" t="n"/>
    </row>
    <row r="111">
      <c r="A111" s="24" t="n"/>
      <c r="B111" s="22" t="n"/>
      <c r="C111" s="22" t="n"/>
      <c r="D111" s="23" t="n"/>
      <c r="E111" s="23" t="n"/>
      <c r="F111" s="22" t="n"/>
      <c r="G111" s="22" t="n"/>
      <c r="H111" s="22" t="n"/>
      <c r="I111" s="24" t="n"/>
      <c r="J111" s="22" t="n"/>
      <c r="K111" s="22" t="n"/>
      <c r="L111" s="23" t="n"/>
    </row>
    <row r="112">
      <c r="A112" s="24" t="n"/>
      <c r="B112" s="22" t="n"/>
      <c r="C112" s="22" t="n"/>
      <c r="D112" s="23" t="n"/>
      <c r="E112" s="23" t="n"/>
      <c r="F112" s="22" t="n"/>
      <c r="G112" s="22" t="n"/>
      <c r="H112" s="22" t="n"/>
      <c r="I112" s="24" t="n"/>
      <c r="J112" s="22" t="n"/>
      <c r="K112" s="22" t="n"/>
      <c r="L112" s="23" t="n"/>
    </row>
    <row r="113">
      <c r="A113" s="24" t="n"/>
      <c r="B113" s="22" t="n"/>
      <c r="C113" s="22" t="n"/>
      <c r="D113" s="23" t="n"/>
      <c r="E113" s="23" t="n"/>
      <c r="F113" s="22" t="n"/>
      <c r="G113" s="22" t="n"/>
      <c r="H113" s="22" t="n"/>
      <c r="I113" s="24" t="n"/>
      <c r="J113" s="22" t="n"/>
      <c r="K113" s="22" t="n"/>
      <c r="L113" s="23" t="n"/>
    </row>
    <row r="114">
      <c r="A114" s="24" t="n"/>
      <c r="B114" s="22" t="n"/>
      <c r="C114" s="22" t="n"/>
      <c r="D114" s="23" t="n"/>
      <c r="E114" s="23" t="n"/>
      <c r="F114" s="22" t="n"/>
      <c r="G114" s="22" t="n"/>
      <c r="H114" s="22" t="n"/>
      <c r="I114" s="24" t="n"/>
      <c r="J114" s="22" t="n"/>
      <c r="K114" s="22" t="n"/>
      <c r="L114" s="23" t="n"/>
    </row>
    <row r="115">
      <c r="A115" s="24" t="n"/>
      <c r="B115" s="22" t="n"/>
      <c r="C115" s="22" t="n"/>
      <c r="D115" s="23" t="n"/>
      <c r="E115" s="23" t="n"/>
      <c r="F115" s="22" t="n"/>
      <c r="G115" s="22" t="n"/>
      <c r="H115" s="22" t="n"/>
      <c r="I115" s="24" t="n"/>
      <c r="J115" s="22" t="n"/>
      <c r="K115" s="22" t="n"/>
      <c r="L115" s="23" t="n"/>
    </row>
    <row r="116">
      <c r="A116" s="24" t="n"/>
      <c r="B116" s="22" t="n"/>
      <c r="C116" s="22" t="n"/>
      <c r="D116" s="23" t="n"/>
      <c r="E116" s="23" t="n"/>
      <c r="F116" s="22" t="n"/>
      <c r="G116" s="22" t="n"/>
      <c r="H116" s="22" t="n"/>
      <c r="I116" s="24" t="n"/>
      <c r="J116" s="22" t="n"/>
      <c r="K116" s="22" t="n"/>
      <c r="L116" s="23" t="n"/>
    </row>
    <row r="117">
      <c r="A117" s="24" t="n"/>
      <c r="B117" s="22" t="n"/>
      <c r="C117" s="22" t="n"/>
      <c r="D117" s="23" t="n"/>
      <c r="E117" s="23" t="n"/>
      <c r="F117" s="22" t="n"/>
      <c r="G117" s="22" t="n"/>
      <c r="H117" s="22" t="n"/>
      <c r="I117" s="24" t="n"/>
      <c r="J117" s="22" t="n"/>
      <c r="K117" s="22" t="n"/>
      <c r="L117" s="23" t="n"/>
    </row>
    <row r="118">
      <c r="A118" s="24" t="n"/>
      <c r="B118" s="22" t="n"/>
      <c r="C118" s="22" t="n"/>
      <c r="D118" s="23" t="n"/>
      <c r="E118" s="23" t="n"/>
      <c r="F118" s="22" t="n"/>
      <c r="G118" s="22" t="n"/>
      <c r="H118" s="22" t="n"/>
      <c r="I118" s="24" t="n"/>
      <c r="J118" s="22" t="n"/>
      <c r="K118" s="22" t="n"/>
      <c r="L118" s="23" t="n"/>
    </row>
    <row r="119">
      <c r="A119" s="24" t="n"/>
      <c r="B119" s="22" t="n"/>
      <c r="C119" s="22" t="n"/>
      <c r="D119" s="23" t="n"/>
      <c r="E119" s="23" t="n"/>
      <c r="F119" s="22" t="n"/>
      <c r="G119" s="22" t="n"/>
      <c r="H119" s="22" t="n"/>
      <c r="I119" s="24" t="n"/>
      <c r="J119" s="22" t="n"/>
      <c r="K119" s="22" t="n"/>
      <c r="L119" s="23" t="n"/>
    </row>
    <row r="120">
      <c r="A120" s="24" t="n"/>
      <c r="B120" s="22" t="n"/>
      <c r="C120" s="22" t="n"/>
      <c r="D120" s="23" t="n"/>
      <c r="E120" s="23" t="n"/>
      <c r="F120" s="22" t="n"/>
      <c r="G120" s="22" t="n"/>
      <c r="H120" s="22" t="n"/>
      <c r="I120" s="24" t="n"/>
      <c r="J120" s="22" t="n"/>
      <c r="K120" s="22" t="n"/>
      <c r="L120" s="23" t="n"/>
    </row>
    <row r="121">
      <c r="A121" s="24" t="n"/>
      <c r="B121" s="22" t="n"/>
      <c r="C121" s="22" t="n"/>
      <c r="D121" s="23" t="n"/>
      <c r="E121" s="23" t="n"/>
      <c r="F121" s="22" t="n"/>
      <c r="G121" s="22" t="n"/>
      <c r="H121" s="22" t="n"/>
      <c r="I121" s="24" t="n"/>
      <c r="J121" s="22" t="n"/>
      <c r="K121" s="22" t="n"/>
      <c r="L121" s="23" t="n"/>
    </row>
    <row r="122">
      <c r="A122" s="24" t="n"/>
      <c r="B122" s="22" t="n"/>
      <c r="C122" s="22" t="n"/>
      <c r="D122" s="23" t="n"/>
      <c r="E122" s="23" t="n"/>
      <c r="F122" s="22" t="n"/>
      <c r="G122" s="22" t="n"/>
      <c r="H122" s="22" t="n"/>
      <c r="I122" s="24" t="n"/>
      <c r="J122" s="22" t="n"/>
      <c r="K122" s="22" t="n"/>
      <c r="L122" s="23" t="n"/>
    </row>
    <row r="123">
      <c r="A123" s="24" t="n"/>
      <c r="B123" s="22" t="n"/>
      <c r="C123" s="22" t="n"/>
      <c r="D123" s="23" t="n"/>
      <c r="E123" s="23" t="n"/>
      <c r="F123" s="22" t="n"/>
      <c r="G123" s="22" t="n"/>
      <c r="H123" s="22" t="n"/>
      <c r="I123" s="24" t="n"/>
      <c r="J123" s="22" t="n"/>
      <c r="K123" s="22" t="n"/>
      <c r="L123" s="23" t="n"/>
    </row>
    <row r="124">
      <c r="A124" s="24" t="n"/>
      <c r="B124" s="22" t="n"/>
      <c r="C124" s="22" t="n"/>
      <c r="D124" s="23" t="n"/>
      <c r="E124" s="23" t="n"/>
      <c r="F124" s="22" t="n"/>
      <c r="G124" s="22" t="n"/>
      <c r="H124" s="22" t="n"/>
      <c r="I124" s="24" t="n"/>
      <c r="J124" s="22" t="n"/>
      <c r="K124" s="22" t="n"/>
      <c r="L124" s="23" t="n"/>
    </row>
    <row r="125">
      <c r="A125" s="24" t="n"/>
      <c r="B125" s="22" t="n"/>
      <c r="C125" s="22" t="n"/>
      <c r="D125" s="23" t="n"/>
      <c r="E125" s="23" t="n"/>
      <c r="F125" s="22" t="n"/>
      <c r="G125" s="22" t="n"/>
      <c r="H125" s="22" t="n"/>
      <c r="I125" s="24" t="n"/>
      <c r="J125" s="22" t="n"/>
      <c r="K125" s="22" t="n"/>
      <c r="L125" s="23" t="n"/>
    </row>
    <row r="126">
      <c r="A126" s="24" t="n"/>
      <c r="B126" s="22" t="n"/>
      <c r="C126" s="22" t="n"/>
      <c r="D126" s="23" t="n"/>
      <c r="E126" s="23" t="n"/>
      <c r="F126" s="22" t="n"/>
      <c r="G126" s="22" t="n"/>
      <c r="H126" s="22" t="n"/>
      <c r="I126" s="24" t="n"/>
      <c r="J126" s="22" t="n"/>
      <c r="K126" s="22" t="n"/>
      <c r="L126" s="23" t="n"/>
    </row>
    <row r="127">
      <c r="A127" s="24" t="n"/>
      <c r="B127" s="22" t="n"/>
      <c r="C127" s="22" t="n"/>
      <c r="D127" s="23" t="n"/>
      <c r="E127" s="23" t="n"/>
      <c r="F127" s="22" t="n"/>
      <c r="G127" s="22" t="n"/>
      <c r="H127" s="22" t="n"/>
      <c r="I127" s="24" t="n"/>
      <c r="J127" s="22" t="n"/>
      <c r="K127" s="22" t="n"/>
      <c r="L127" s="23" t="n"/>
    </row>
    <row r="128">
      <c r="A128" s="24" t="n"/>
      <c r="B128" s="22" t="n"/>
      <c r="C128" s="22" t="n"/>
      <c r="D128" s="23" t="n"/>
      <c r="E128" s="23" t="n"/>
      <c r="F128" s="22" t="n"/>
      <c r="G128" s="22" t="n"/>
      <c r="H128" s="22" t="n"/>
      <c r="I128" s="24" t="n"/>
      <c r="J128" s="22" t="n"/>
      <c r="K128" s="22" t="n"/>
      <c r="L128" s="23" t="n"/>
    </row>
    <row r="129">
      <c r="A129" s="24" t="n"/>
      <c r="B129" s="22" t="n"/>
      <c r="C129" s="22" t="n"/>
      <c r="D129" s="23" t="n"/>
      <c r="E129" s="23" t="n"/>
      <c r="F129" s="22" t="n"/>
      <c r="G129" s="22" t="n"/>
      <c r="H129" s="22" t="n"/>
      <c r="I129" s="24" t="n"/>
      <c r="J129" s="22" t="n"/>
      <c r="K129" s="22" t="n"/>
      <c r="L129" s="23" t="n"/>
    </row>
    <row r="130">
      <c r="A130" s="24" t="n"/>
      <c r="B130" s="22" t="n"/>
      <c r="C130" s="22" t="n"/>
      <c r="D130" s="23" t="n"/>
      <c r="E130" s="23" t="n"/>
      <c r="F130" s="22" t="n"/>
      <c r="G130" s="22" t="n"/>
      <c r="H130" s="22" t="n"/>
      <c r="I130" s="24" t="n"/>
      <c r="J130" s="22" t="n"/>
      <c r="K130" s="22" t="n"/>
      <c r="L130" s="23" t="n"/>
    </row>
    <row r="131">
      <c r="A131" s="24" t="n"/>
      <c r="B131" s="22" t="n"/>
      <c r="C131" s="22" t="n"/>
      <c r="D131" s="23" t="n"/>
      <c r="E131" s="23" t="n"/>
      <c r="F131" s="22" t="n"/>
      <c r="G131" s="22" t="n"/>
      <c r="H131" s="22" t="n"/>
      <c r="I131" s="24" t="n"/>
      <c r="J131" s="22" t="n"/>
      <c r="K131" s="22" t="n"/>
      <c r="L131" s="23" t="n"/>
    </row>
    <row r="132">
      <c r="A132" s="24" t="n"/>
      <c r="B132" s="22" t="n"/>
      <c r="C132" s="22" t="n"/>
      <c r="D132" s="23" t="n"/>
      <c r="E132" s="23" t="n"/>
      <c r="F132" s="22" t="n"/>
      <c r="G132" s="22" t="n"/>
      <c r="H132" s="22" t="n"/>
      <c r="I132" s="24" t="n"/>
      <c r="J132" s="22" t="n"/>
      <c r="K132" s="22" t="n"/>
      <c r="L132" s="23" t="n"/>
    </row>
    <row r="133">
      <c r="A133" s="24" t="n"/>
      <c r="B133" s="22" t="n"/>
      <c r="C133" s="22" t="n"/>
      <c r="D133" s="23" t="n"/>
      <c r="E133" s="23" t="n"/>
      <c r="F133" s="22" t="n"/>
      <c r="G133" s="22" t="n"/>
      <c r="H133" s="22" t="n"/>
      <c r="I133" s="24" t="n"/>
      <c r="J133" s="22" t="n"/>
      <c r="K133" s="22" t="n"/>
      <c r="L133" s="23" t="n"/>
    </row>
    <row r="134">
      <c r="A134" s="24" t="n"/>
      <c r="B134" s="22" t="n"/>
      <c r="C134" s="22" t="n"/>
      <c r="D134" s="23" t="n"/>
      <c r="E134" s="23" t="n"/>
      <c r="F134" s="22" t="n"/>
      <c r="G134" s="22" t="n"/>
      <c r="H134" s="22" t="n"/>
      <c r="I134" s="24" t="n"/>
      <c r="J134" s="22" t="n"/>
      <c r="K134" s="22" t="n"/>
      <c r="L134" s="23" t="n"/>
    </row>
    <row r="135">
      <c r="A135" s="24" t="n"/>
      <c r="B135" s="22" t="n"/>
      <c r="C135" s="22" t="n"/>
      <c r="D135" s="23" t="n"/>
      <c r="E135" s="23" t="n"/>
      <c r="F135" s="22" t="n"/>
      <c r="G135" s="22" t="n"/>
      <c r="H135" s="22" t="n"/>
      <c r="I135" s="24" t="n"/>
      <c r="J135" s="22" t="n"/>
      <c r="K135" s="22" t="n"/>
      <c r="L135" s="23" t="n"/>
    </row>
    <row r="136">
      <c r="A136" s="24" t="n"/>
      <c r="B136" s="22" t="n"/>
      <c r="C136" s="22" t="n"/>
      <c r="D136" s="23" t="n"/>
      <c r="E136" s="23" t="n"/>
      <c r="F136" s="22" t="n"/>
      <c r="G136" s="22" t="n"/>
      <c r="H136" s="22" t="n"/>
      <c r="I136" s="24" t="n"/>
      <c r="J136" s="22" t="n"/>
      <c r="K136" s="22" t="n"/>
      <c r="L136" s="23" t="n"/>
    </row>
    <row r="137">
      <c r="A137" s="24" t="n"/>
      <c r="B137" s="22" t="n"/>
      <c r="C137" s="22" t="n"/>
      <c r="D137" s="23" t="n"/>
      <c r="E137" s="23" t="n"/>
      <c r="F137" s="22" t="n"/>
      <c r="G137" s="22" t="n"/>
      <c r="H137" s="22" t="n"/>
      <c r="I137" s="24" t="n"/>
      <c r="J137" s="22" t="n"/>
      <c r="K137" s="22" t="n"/>
      <c r="L137" s="23" t="n"/>
    </row>
    <row r="138">
      <c r="A138" s="24" t="n"/>
      <c r="B138" s="22" t="n"/>
      <c r="C138" s="22" t="n"/>
      <c r="D138" s="23" t="n"/>
      <c r="E138" s="23" t="n"/>
      <c r="F138" s="22" t="n"/>
      <c r="G138" s="22" t="n"/>
      <c r="H138" s="22" t="n"/>
      <c r="I138" s="24" t="n"/>
      <c r="J138" s="22" t="n"/>
      <c r="K138" s="22" t="n"/>
      <c r="L138" s="23" t="n"/>
    </row>
    <row r="139">
      <c r="A139" s="24" t="n"/>
      <c r="B139" s="22" t="n"/>
      <c r="C139" s="22" t="n"/>
      <c r="D139" s="23" t="n"/>
      <c r="E139" s="23" t="n"/>
      <c r="F139" s="22" t="n"/>
      <c r="G139" s="22" t="n"/>
      <c r="H139" s="22" t="n"/>
      <c r="I139" s="24" t="n"/>
      <c r="J139" s="22" t="n"/>
      <c r="K139" s="22" t="n"/>
      <c r="L139" s="23" t="n"/>
    </row>
    <row r="140">
      <c r="A140" s="24" t="n"/>
      <c r="B140" s="22" t="n"/>
      <c r="C140" s="22" t="n"/>
      <c r="D140" s="23" t="n"/>
      <c r="E140" s="23" t="n"/>
      <c r="F140" s="22" t="n"/>
      <c r="G140" s="22" t="n"/>
      <c r="H140" s="22" t="n"/>
      <c r="I140" s="24" t="n"/>
      <c r="J140" s="22" t="n"/>
      <c r="K140" s="22" t="n"/>
      <c r="L140" s="23" t="n"/>
    </row>
    <row r="141">
      <c r="A141" s="24" t="n"/>
      <c r="B141" s="22" t="n"/>
      <c r="C141" s="22" t="n"/>
      <c r="D141" s="23" t="n"/>
      <c r="E141" s="23" t="n"/>
      <c r="F141" s="22" t="n"/>
      <c r="G141" s="22" t="n"/>
      <c r="H141" s="22" t="n"/>
      <c r="I141" s="24" t="n"/>
      <c r="J141" s="22" t="n"/>
      <c r="K141" s="22" t="n"/>
      <c r="L141" s="23" t="n"/>
    </row>
    <row r="142">
      <c r="A142" s="24" t="n"/>
      <c r="B142" s="22" t="n"/>
      <c r="C142" s="22" t="n"/>
      <c r="D142" s="23" t="n"/>
      <c r="E142" s="23" t="n"/>
      <c r="F142" s="22" t="n"/>
      <c r="G142" s="22" t="n"/>
      <c r="H142" s="22" t="n"/>
      <c r="I142" s="24" t="n"/>
      <c r="J142" s="22" t="n"/>
      <c r="K142" s="22" t="n"/>
      <c r="L142" s="23" t="n"/>
    </row>
    <row r="143">
      <c r="A143" s="24" t="n"/>
      <c r="B143" s="22" t="n"/>
      <c r="C143" s="22" t="n"/>
      <c r="D143" s="23" t="n"/>
      <c r="E143" s="23" t="n"/>
      <c r="F143" s="22" t="n"/>
      <c r="G143" s="22" t="n"/>
      <c r="H143" s="22" t="n"/>
      <c r="I143" s="24" t="n"/>
      <c r="J143" s="22" t="n"/>
      <c r="K143" s="22" t="n"/>
      <c r="L143" s="23" t="n"/>
    </row>
    <row r="144">
      <c r="A144" s="24" t="n"/>
      <c r="B144" s="22" t="n"/>
      <c r="C144" s="22" t="n"/>
      <c r="D144" s="23" t="n"/>
      <c r="E144" s="23" t="n"/>
      <c r="F144" s="22" t="n"/>
      <c r="G144" s="22" t="n"/>
      <c r="H144" s="22" t="n"/>
      <c r="I144" s="24" t="n"/>
      <c r="J144" s="22" t="n"/>
      <c r="K144" s="22" t="n"/>
      <c r="L144" s="23" t="n"/>
    </row>
    <row r="145">
      <c r="A145" s="24" t="n"/>
      <c r="B145" s="22" t="n"/>
      <c r="C145" s="22" t="n"/>
      <c r="D145" s="23" t="n"/>
      <c r="E145" s="23" t="n"/>
      <c r="F145" s="22" t="n"/>
      <c r="G145" s="22" t="n"/>
      <c r="H145" s="22" t="n"/>
      <c r="I145" s="24" t="n"/>
      <c r="J145" s="22" t="n"/>
      <c r="K145" s="22" t="n"/>
      <c r="L145" s="23" t="n"/>
    </row>
    <row r="146">
      <c r="A146" s="24" t="n"/>
      <c r="B146" s="22" t="n"/>
      <c r="C146" s="22" t="n"/>
      <c r="D146" s="23" t="n"/>
      <c r="E146" s="23" t="n"/>
      <c r="F146" s="22" t="n"/>
      <c r="G146" s="22" t="n"/>
      <c r="H146" s="22" t="n"/>
      <c r="I146" s="24" t="n"/>
      <c r="J146" s="22" t="n"/>
      <c r="K146" s="22" t="n"/>
      <c r="L146" s="23" t="n"/>
    </row>
    <row r="147">
      <c r="A147" s="24" t="n"/>
      <c r="B147" s="22" t="n"/>
      <c r="C147" s="22" t="n"/>
      <c r="D147" s="23" t="n"/>
      <c r="E147" s="23" t="n"/>
      <c r="F147" s="22" t="n"/>
      <c r="G147" s="22" t="n"/>
      <c r="H147" s="22" t="n"/>
      <c r="I147" s="24" t="n"/>
      <c r="J147" s="22" t="n"/>
      <c r="K147" s="22" t="n"/>
      <c r="L147" s="23" t="n"/>
    </row>
    <row r="148">
      <c r="A148" s="24" t="n"/>
      <c r="B148" s="22" t="n"/>
      <c r="C148" s="22" t="n"/>
      <c r="D148" s="23" t="n"/>
      <c r="E148" s="23" t="n"/>
      <c r="F148" s="22" t="n"/>
      <c r="G148" s="22" t="n"/>
      <c r="H148" s="22" t="n"/>
      <c r="I148" s="24" t="n"/>
      <c r="J148" s="22" t="n"/>
      <c r="K148" s="22" t="n"/>
      <c r="L148" s="23" t="n"/>
    </row>
    <row r="149">
      <c r="A149" s="24" t="n"/>
      <c r="B149" s="22" t="n"/>
      <c r="C149" s="22" t="n"/>
      <c r="D149" s="23" t="n"/>
      <c r="E149" s="23" t="n"/>
      <c r="F149" s="22" t="n"/>
      <c r="G149" s="22" t="n"/>
      <c r="H149" s="22" t="n"/>
      <c r="I149" s="24" t="n"/>
      <c r="J149" s="22" t="n"/>
      <c r="K149" s="22" t="n"/>
      <c r="L149" s="23" t="n"/>
    </row>
    <row r="150">
      <c r="A150" s="24" t="n"/>
      <c r="B150" s="22" t="n"/>
      <c r="C150" s="22" t="n"/>
      <c r="D150" s="23" t="n"/>
      <c r="E150" s="23" t="n"/>
      <c r="F150" s="22" t="n"/>
      <c r="G150" s="22" t="n"/>
      <c r="H150" s="22" t="n"/>
      <c r="I150" s="24" t="n"/>
      <c r="J150" s="22" t="n"/>
      <c r="K150" s="22" t="n"/>
      <c r="L150" s="23" t="n"/>
    </row>
    <row r="151">
      <c r="A151" s="24" t="n"/>
      <c r="B151" s="22" t="n"/>
      <c r="C151" s="22" t="n"/>
      <c r="D151" s="23" t="n"/>
      <c r="E151" s="23" t="n"/>
      <c r="F151" s="22" t="n"/>
      <c r="G151" s="22" t="n"/>
      <c r="H151" s="22" t="n"/>
      <c r="I151" s="24" t="n"/>
      <c r="J151" s="22" t="n"/>
      <c r="K151" s="22" t="n"/>
      <c r="L151" s="23" t="n"/>
    </row>
    <row r="152">
      <c r="A152" s="24" t="n"/>
      <c r="B152" s="22" t="n"/>
      <c r="C152" s="22" t="n"/>
      <c r="D152" s="23" t="n"/>
      <c r="E152" s="23" t="n"/>
      <c r="F152" s="22" t="n"/>
      <c r="G152" s="22" t="n"/>
      <c r="H152" s="22" t="n"/>
      <c r="I152" s="24" t="n"/>
      <c r="J152" s="22" t="n"/>
      <c r="K152" s="22" t="n"/>
      <c r="L152" s="23" t="n"/>
    </row>
    <row r="153">
      <c r="A153" s="24" t="n"/>
      <c r="B153" s="22" t="n"/>
      <c r="C153" s="22" t="n"/>
      <c r="D153" s="23" t="n"/>
      <c r="E153" s="23" t="n"/>
      <c r="F153" s="22" t="n"/>
      <c r="G153" s="22" t="n"/>
      <c r="H153" s="22" t="n"/>
      <c r="I153" s="24" t="n"/>
      <c r="J153" s="22" t="n"/>
      <c r="K153" s="22" t="n"/>
      <c r="L153" s="23" t="n"/>
    </row>
    <row r="154">
      <c r="A154" s="24" t="n"/>
      <c r="B154" s="22" t="n"/>
      <c r="C154" s="22" t="n"/>
      <c r="D154" s="23" t="n"/>
      <c r="E154" s="23" t="n"/>
      <c r="F154" s="22" t="n"/>
      <c r="G154" s="22" t="n"/>
      <c r="H154" s="22" t="n"/>
      <c r="I154" s="24" t="n"/>
      <c r="J154" s="22" t="n"/>
      <c r="K154" s="22" t="n"/>
      <c r="L154" s="23" t="n"/>
    </row>
    <row r="155">
      <c r="A155" s="24" t="n"/>
      <c r="B155" s="22" t="n"/>
      <c r="C155" s="22" t="n"/>
      <c r="D155" s="23" t="n"/>
      <c r="E155" s="23" t="n"/>
      <c r="F155" s="22" t="n"/>
      <c r="G155" s="22" t="n"/>
      <c r="H155" s="22" t="n"/>
      <c r="I155" s="24" t="n"/>
      <c r="J155" s="22" t="n"/>
      <c r="K155" s="22" t="n"/>
      <c r="L155" s="23" t="n"/>
    </row>
    <row r="156">
      <c r="A156" s="24" t="n"/>
      <c r="B156" s="22" t="n"/>
      <c r="C156" s="22" t="n"/>
      <c r="D156" s="23" t="n"/>
      <c r="E156" s="23" t="n"/>
      <c r="F156" s="22" t="n"/>
      <c r="G156" s="22" t="n"/>
      <c r="H156" s="22" t="n"/>
      <c r="I156" s="24" t="n"/>
      <c r="J156" s="22" t="n"/>
      <c r="K156" s="22" t="n"/>
      <c r="L156" s="23" t="n"/>
    </row>
    <row r="157">
      <c r="A157" s="24" t="n"/>
      <c r="B157" s="22" t="n"/>
      <c r="C157" s="22" t="n"/>
      <c r="D157" s="23" t="n"/>
      <c r="E157" s="23" t="n"/>
      <c r="F157" s="22" t="n"/>
      <c r="G157" s="22" t="n"/>
      <c r="H157" s="22" t="n"/>
      <c r="I157" s="24" t="n"/>
      <c r="J157" s="22" t="n"/>
      <c r="K157" s="22" t="n"/>
      <c r="L157" s="23" t="n"/>
    </row>
    <row r="158">
      <c r="A158" s="24" t="n"/>
      <c r="B158" s="22" t="n"/>
      <c r="C158" s="22" t="n"/>
      <c r="D158" s="23" t="n"/>
      <c r="E158" s="23" t="n"/>
      <c r="F158" s="22" t="n"/>
      <c r="G158" s="22" t="n"/>
      <c r="H158" s="22" t="n"/>
      <c r="I158" s="24" t="n"/>
      <c r="J158" s="22" t="n"/>
      <c r="K158" s="22" t="n"/>
      <c r="L158" s="23" t="n"/>
    </row>
    <row r="159">
      <c r="A159" s="24" t="n"/>
      <c r="B159" s="22" t="n"/>
      <c r="C159" s="22" t="n"/>
      <c r="D159" s="23" t="n"/>
      <c r="E159" s="23" t="n"/>
      <c r="F159" s="22" t="n"/>
      <c r="G159" s="22" t="n"/>
      <c r="H159" s="22" t="n"/>
      <c r="I159" s="24" t="n"/>
      <c r="J159" s="22" t="n"/>
      <c r="K159" s="22" t="n"/>
      <c r="L159" s="23" t="n"/>
    </row>
    <row r="160">
      <c r="A160" s="24" t="n"/>
      <c r="B160" s="22" t="n"/>
      <c r="C160" s="22" t="n"/>
      <c r="D160" s="23" t="n"/>
      <c r="E160" s="23" t="n"/>
      <c r="F160" s="22" t="n"/>
      <c r="G160" s="22" t="n"/>
      <c r="H160" s="22" t="n"/>
      <c r="I160" s="24" t="n"/>
      <c r="J160" s="22" t="n"/>
      <c r="K160" s="22" t="n"/>
      <c r="L160" s="23" t="n"/>
    </row>
    <row r="161">
      <c r="A161" s="24" t="n"/>
      <c r="B161" s="22" t="n"/>
      <c r="C161" s="22" t="n"/>
      <c r="D161" s="23" t="n"/>
      <c r="E161" s="23" t="n"/>
      <c r="F161" s="22" t="n"/>
      <c r="G161" s="22" t="n"/>
      <c r="H161" s="22" t="n"/>
      <c r="I161" s="24" t="n"/>
      <c r="J161" s="22" t="n"/>
      <c r="K161" s="22" t="n"/>
      <c r="L161" s="23" t="n"/>
    </row>
    <row r="162">
      <c r="A162" s="24" t="n"/>
      <c r="B162" s="22" t="n"/>
      <c r="C162" s="22" t="n"/>
      <c r="D162" s="23" t="n"/>
      <c r="E162" s="23" t="n"/>
      <c r="F162" s="22" t="n"/>
      <c r="G162" s="22" t="n"/>
      <c r="H162" s="22" t="n"/>
      <c r="I162" s="24" t="n"/>
      <c r="J162" s="22" t="n"/>
      <c r="K162" s="22" t="n"/>
      <c r="L162" s="23" t="n"/>
    </row>
    <row r="163">
      <c r="A163" s="24" t="n"/>
      <c r="B163" s="22" t="n"/>
      <c r="C163" s="22" t="n"/>
      <c r="D163" s="23" t="n"/>
      <c r="E163" s="23" t="n"/>
      <c r="F163" s="22" t="n"/>
      <c r="G163" s="22" t="n"/>
      <c r="H163" s="22" t="n"/>
      <c r="I163" s="24" t="n"/>
      <c r="J163" s="22" t="n"/>
      <c r="K163" s="22" t="n"/>
      <c r="L163" s="23" t="n"/>
    </row>
    <row r="164">
      <c r="A164" s="24" t="n"/>
      <c r="B164" s="22" t="n"/>
      <c r="C164" s="22" t="n"/>
      <c r="D164" s="23" t="n"/>
      <c r="E164" s="23" t="n"/>
      <c r="F164" s="22" t="n"/>
      <c r="G164" s="22" t="n"/>
      <c r="H164" s="22" t="n"/>
      <c r="I164" s="24" t="n"/>
      <c r="J164" s="22" t="n"/>
      <c r="K164" s="22" t="n"/>
      <c r="L164" s="23" t="n"/>
    </row>
    <row r="165">
      <c r="A165" s="24" t="n"/>
      <c r="B165" s="22" t="n"/>
      <c r="C165" s="22" t="n"/>
      <c r="D165" s="23" t="n"/>
      <c r="E165" s="23" t="n"/>
      <c r="F165" s="22" t="n"/>
      <c r="G165" s="22" t="n"/>
      <c r="H165" s="22" t="n"/>
      <c r="I165" s="24" t="n"/>
      <c r="J165" s="22" t="n"/>
      <c r="K165" s="22" t="n"/>
      <c r="L165" s="23" t="n"/>
    </row>
    <row r="166">
      <c r="A166" s="24" t="n"/>
      <c r="B166" s="22" t="n"/>
      <c r="C166" s="22" t="n"/>
      <c r="D166" s="23" t="n"/>
      <c r="E166" s="23" t="n"/>
      <c r="F166" s="22" t="n"/>
      <c r="G166" s="22" t="n"/>
      <c r="H166" s="22" t="n"/>
      <c r="I166" s="24" t="n"/>
      <c r="J166" s="22" t="n"/>
      <c r="K166" s="22" t="n"/>
      <c r="L166" s="23" t="n"/>
    </row>
    <row r="167">
      <c r="A167" s="24" t="n"/>
      <c r="B167" s="22" t="n"/>
      <c r="C167" s="22" t="n"/>
      <c r="D167" s="23" t="n"/>
      <c r="E167" s="23" t="n"/>
      <c r="F167" s="22" t="n"/>
      <c r="G167" s="22" t="n"/>
      <c r="H167" s="22" t="n"/>
      <c r="I167" s="24" t="n"/>
      <c r="J167" s="22" t="n"/>
      <c r="K167" s="22" t="n"/>
      <c r="L167" s="23" t="n"/>
    </row>
    <row r="168">
      <c r="A168" s="24" t="n"/>
      <c r="B168" s="22" t="n"/>
      <c r="C168" s="22" t="n"/>
      <c r="D168" s="23" t="n"/>
      <c r="E168" s="23" t="n"/>
      <c r="F168" s="22" t="n"/>
      <c r="G168" s="22" t="n"/>
      <c r="H168" s="22" t="n"/>
      <c r="I168" s="24" t="n"/>
      <c r="J168" s="22" t="n"/>
      <c r="K168" s="22" t="n"/>
      <c r="L168" s="23" t="n"/>
    </row>
    <row r="169">
      <c r="A169" s="24" t="n"/>
      <c r="B169" s="22" t="n"/>
      <c r="C169" s="22" t="n"/>
      <c r="D169" s="23" t="n"/>
      <c r="E169" s="23" t="n"/>
      <c r="F169" s="22" t="n"/>
      <c r="G169" s="22" t="n"/>
      <c r="H169" s="22" t="n"/>
      <c r="I169" s="24" t="n"/>
      <c r="J169" s="22" t="n"/>
      <c r="K169" s="22" t="n"/>
      <c r="L169" s="23" t="n"/>
    </row>
    <row r="170">
      <c r="A170" s="24" t="n"/>
      <c r="B170" s="22" t="n"/>
      <c r="C170" s="22" t="n"/>
      <c r="D170" s="23" t="n"/>
      <c r="E170" s="23" t="n"/>
      <c r="F170" s="22" t="n"/>
      <c r="G170" s="22" t="n"/>
      <c r="H170" s="22" t="n"/>
      <c r="I170" s="24" t="n"/>
      <c r="J170" s="22" t="n"/>
      <c r="K170" s="22" t="n"/>
      <c r="L170" s="23" t="n"/>
    </row>
    <row r="171">
      <c r="A171" s="24" t="n"/>
      <c r="B171" s="22" t="n"/>
      <c r="C171" s="22" t="n"/>
      <c r="D171" s="23" t="n"/>
      <c r="E171" s="23" t="n"/>
      <c r="F171" s="22" t="n"/>
      <c r="G171" s="22" t="n"/>
      <c r="H171" s="22" t="n"/>
      <c r="I171" s="24" t="n"/>
      <c r="J171" s="22" t="n"/>
      <c r="K171" s="22" t="n"/>
      <c r="L171" s="23" t="n"/>
    </row>
    <row r="172">
      <c r="A172" s="24" t="n"/>
      <c r="B172" s="22" t="n"/>
      <c r="C172" s="22" t="n"/>
      <c r="D172" s="23" t="n"/>
      <c r="E172" s="23" t="n"/>
      <c r="F172" s="22" t="n"/>
      <c r="G172" s="22" t="n"/>
      <c r="H172" s="22" t="n"/>
      <c r="I172" s="24" t="n"/>
      <c r="J172" s="22" t="n"/>
      <c r="K172" s="22" t="n"/>
      <c r="L172" s="23" t="n"/>
    </row>
    <row r="173">
      <c r="A173" s="24" t="n"/>
      <c r="B173" s="22" t="n"/>
      <c r="C173" s="22" t="n"/>
      <c r="D173" s="23" t="n"/>
      <c r="E173" s="23" t="n"/>
      <c r="F173" s="22" t="n"/>
      <c r="G173" s="22" t="n"/>
      <c r="H173" s="22" t="n"/>
      <c r="I173" s="24" t="n"/>
      <c r="J173" s="22" t="n"/>
      <c r="K173" s="22" t="n"/>
      <c r="L173" s="23" t="n"/>
    </row>
    <row r="174">
      <c r="A174" s="24" t="n"/>
      <c r="B174" s="22" t="n"/>
      <c r="C174" s="22" t="n"/>
      <c r="D174" s="23" t="n"/>
      <c r="E174" s="23" t="n"/>
      <c r="F174" s="22" t="n"/>
      <c r="G174" s="22" t="n"/>
      <c r="H174" s="22" t="n"/>
      <c r="I174" s="24" t="n"/>
      <c r="J174" s="22" t="n"/>
      <c r="K174" s="22" t="n"/>
      <c r="L174" s="23" t="n"/>
    </row>
    <row r="175">
      <c r="A175" s="24" t="n"/>
      <c r="B175" s="22" t="n"/>
      <c r="C175" s="22" t="n"/>
      <c r="D175" s="23" t="n"/>
      <c r="E175" s="23" t="n"/>
      <c r="F175" s="22" t="n"/>
      <c r="G175" s="22" t="n"/>
      <c r="H175" s="22" t="n"/>
      <c r="I175" s="24" t="n"/>
      <c r="J175" s="22" t="n"/>
      <c r="K175" s="22" t="n"/>
      <c r="L175" s="23" t="n"/>
    </row>
    <row r="176">
      <c r="A176" s="24" t="n"/>
      <c r="B176" s="22" t="n"/>
      <c r="C176" s="22" t="n"/>
      <c r="D176" s="23" t="n"/>
      <c r="E176" s="23" t="n"/>
      <c r="F176" s="22" t="n"/>
      <c r="G176" s="22" t="n"/>
      <c r="H176" s="22" t="n"/>
      <c r="I176" s="24" t="n"/>
      <c r="J176" s="22" t="n"/>
      <c r="K176" s="22" t="n"/>
      <c r="L176" s="23" t="n"/>
    </row>
    <row r="177">
      <c r="A177" s="24" t="n"/>
      <c r="B177" s="22" t="n"/>
      <c r="C177" s="22" t="n"/>
      <c r="D177" s="23" t="n"/>
      <c r="E177" s="23" t="n"/>
      <c r="F177" s="22" t="n"/>
      <c r="G177" s="22" t="n"/>
      <c r="H177" s="22" t="n"/>
      <c r="I177" s="24" t="n"/>
      <c r="J177" s="22" t="n"/>
      <c r="K177" s="22" t="n"/>
      <c r="L177" s="23" t="n"/>
    </row>
    <row r="178">
      <c r="A178" s="24" t="n"/>
      <c r="B178" s="22" t="n"/>
      <c r="C178" s="22" t="n"/>
      <c r="D178" s="23" t="n"/>
      <c r="E178" s="23" t="n"/>
      <c r="F178" s="22" t="n"/>
      <c r="G178" s="22" t="n"/>
      <c r="H178" s="22" t="n"/>
      <c r="I178" s="24" t="n"/>
      <c r="J178" s="22" t="n"/>
      <c r="K178" s="22" t="n"/>
      <c r="L178" s="23" t="n"/>
    </row>
    <row r="179">
      <c r="A179" s="24" t="n"/>
      <c r="B179" s="22" t="n"/>
      <c r="C179" s="22" t="n"/>
      <c r="D179" s="23" t="n"/>
      <c r="E179" s="23" t="n"/>
      <c r="F179" s="22" t="n"/>
      <c r="G179" s="22" t="n"/>
      <c r="H179" s="22" t="n"/>
      <c r="I179" s="24" t="n"/>
      <c r="J179" s="22" t="n"/>
      <c r="K179" s="22" t="n"/>
      <c r="L179" s="23" t="n"/>
    </row>
    <row r="180">
      <c r="A180" s="24" t="n"/>
      <c r="B180" s="22" t="n"/>
      <c r="C180" s="22" t="n"/>
      <c r="D180" s="23" t="n"/>
      <c r="E180" s="23" t="n"/>
      <c r="F180" s="22" t="n"/>
      <c r="G180" s="22" t="n"/>
      <c r="H180" s="22" t="n"/>
      <c r="I180" s="24" t="n"/>
      <c r="J180" s="22" t="n"/>
      <c r="K180" s="22" t="n"/>
      <c r="L180" s="23" t="n"/>
    </row>
    <row r="181">
      <c r="A181" s="24" t="n"/>
      <c r="B181" s="22" t="n"/>
      <c r="C181" s="22" t="n"/>
      <c r="D181" s="23" t="n"/>
      <c r="E181" s="23" t="n"/>
      <c r="F181" s="22" t="n"/>
      <c r="G181" s="22" t="n"/>
      <c r="H181" s="22" t="n"/>
      <c r="I181" s="24" t="n"/>
      <c r="J181" s="22" t="n"/>
      <c r="K181" s="22" t="n"/>
      <c r="L181" s="23" t="n"/>
    </row>
    <row r="182">
      <c r="A182" s="24" t="n"/>
      <c r="B182" s="22" t="n"/>
      <c r="C182" s="22" t="n"/>
      <c r="D182" s="23" t="n"/>
      <c r="E182" s="23" t="n"/>
      <c r="F182" s="22" t="n"/>
      <c r="G182" s="22" t="n"/>
      <c r="H182" s="22" t="n"/>
      <c r="I182" s="24" t="n"/>
      <c r="J182" s="22" t="n"/>
      <c r="K182" s="22" t="n"/>
      <c r="L182" s="23" t="n"/>
    </row>
    <row r="183">
      <c r="A183" s="24" t="n"/>
      <c r="B183" s="22" t="n"/>
      <c r="C183" s="22" t="n"/>
      <c r="D183" s="23" t="n"/>
      <c r="E183" s="23" t="n"/>
      <c r="F183" s="22" t="n"/>
      <c r="G183" s="22" t="n"/>
      <c r="H183" s="22" t="n"/>
      <c r="I183" s="24" t="n"/>
      <c r="J183" s="22" t="n"/>
      <c r="K183" s="22" t="n"/>
      <c r="L183" s="23" t="n"/>
    </row>
    <row r="184">
      <c r="A184" s="24" t="n"/>
      <c r="B184" s="22" t="n"/>
      <c r="C184" s="22" t="n"/>
      <c r="D184" s="23" t="n"/>
      <c r="E184" s="23" t="n"/>
      <c r="F184" s="22" t="n"/>
      <c r="G184" s="22" t="n"/>
      <c r="H184" s="22" t="n"/>
      <c r="I184" s="24" t="n"/>
      <c r="J184" s="22" t="n"/>
      <c r="K184" s="22" t="n"/>
      <c r="L184" s="23" t="n"/>
    </row>
    <row r="185">
      <c r="A185" s="24" t="n"/>
      <c r="B185" s="22" t="n"/>
      <c r="C185" s="22" t="n"/>
      <c r="D185" s="23" t="n"/>
      <c r="E185" s="23" t="n"/>
      <c r="F185" s="22" t="n"/>
      <c r="G185" s="22" t="n"/>
      <c r="H185" s="22" t="n"/>
      <c r="I185" s="24" t="n"/>
      <c r="J185" s="22" t="n"/>
      <c r="K185" s="22" t="n"/>
      <c r="L185" s="23" t="n"/>
    </row>
    <row r="186">
      <c r="A186" s="24" t="n"/>
      <c r="B186" s="22" t="n"/>
      <c r="C186" s="22" t="n"/>
      <c r="D186" s="23" t="n"/>
      <c r="E186" s="23" t="n"/>
      <c r="F186" s="22" t="n"/>
      <c r="G186" s="22" t="n"/>
      <c r="H186" s="22" t="n"/>
      <c r="I186" s="24" t="n"/>
      <c r="J186" s="22" t="n"/>
      <c r="K186" s="22" t="n"/>
      <c r="L186" s="23" t="n"/>
    </row>
    <row r="187">
      <c r="A187" s="24" t="n"/>
      <c r="B187" s="22" t="n"/>
      <c r="C187" s="22" t="n"/>
      <c r="D187" s="23" t="n"/>
      <c r="E187" s="23" t="n"/>
      <c r="F187" s="22" t="n"/>
      <c r="G187" s="22" t="n"/>
      <c r="H187" s="22" t="n"/>
      <c r="I187" s="24" t="n"/>
      <c r="J187" s="22" t="n"/>
      <c r="K187" s="22" t="n"/>
      <c r="L187" s="23" t="n"/>
    </row>
    <row r="188">
      <c r="A188" s="24" t="n"/>
      <c r="B188" s="22" t="n"/>
      <c r="C188" s="22" t="n"/>
      <c r="D188" s="23" t="n"/>
      <c r="E188" s="23" t="n"/>
      <c r="F188" s="22" t="n"/>
      <c r="G188" s="22" t="n"/>
      <c r="H188" s="22" t="n"/>
      <c r="I188" s="24" t="n"/>
      <c r="J188" s="22" t="n"/>
      <c r="K188" s="22" t="n"/>
      <c r="L188" s="23" t="n"/>
    </row>
    <row r="189">
      <c r="A189" s="24" t="n"/>
      <c r="B189" s="22" t="n"/>
      <c r="C189" s="22" t="n"/>
      <c r="D189" s="23" t="n"/>
      <c r="E189" s="23" t="n"/>
      <c r="F189" s="22" t="n"/>
      <c r="G189" s="22" t="n"/>
      <c r="H189" s="22" t="n"/>
      <c r="I189" s="24" t="n"/>
      <c r="J189" s="22" t="n"/>
      <c r="K189" s="22" t="n"/>
      <c r="L189" s="23" t="n"/>
    </row>
    <row r="190">
      <c r="A190" s="24" t="n"/>
      <c r="B190" s="22" t="n"/>
      <c r="C190" s="22" t="n"/>
      <c r="D190" s="23" t="n"/>
      <c r="E190" s="23" t="n"/>
      <c r="F190" s="22" t="n"/>
      <c r="G190" s="22" t="n"/>
      <c r="H190" s="22" t="n"/>
      <c r="I190" s="24" t="n"/>
      <c r="J190" s="22" t="n"/>
      <c r="K190" s="22" t="n"/>
      <c r="L190" s="23" t="n"/>
    </row>
    <row r="191">
      <c r="A191" s="24" t="n"/>
      <c r="B191" s="22" t="n"/>
      <c r="C191" s="22" t="n"/>
      <c r="D191" s="23" t="n"/>
      <c r="E191" s="23" t="n"/>
      <c r="F191" s="22" t="n"/>
      <c r="G191" s="22" t="n"/>
      <c r="H191" s="22" t="n"/>
      <c r="I191" s="24" t="n"/>
      <c r="J191" s="22" t="n"/>
      <c r="K191" s="22" t="n"/>
      <c r="L191" s="23" t="n"/>
    </row>
    <row r="192">
      <c r="A192" s="24" t="n"/>
      <c r="B192" s="22" t="n"/>
      <c r="C192" s="22" t="n"/>
      <c r="D192" s="23" t="n"/>
      <c r="E192" s="23" t="n"/>
      <c r="F192" s="22" t="n"/>
      <c r="G192" s="22" t="n"/>
      <c r="H192" s="22" t="n"/>
      <c r="I192" s="24" t="n"/>
      <c r="J192" s="22" t="n"/>
      <c r="K192" s="22" t="n"/>
      <c r="L192" s="23" t="n"/>
    </row>
    <row r="193">
      <c r="A193" s="24" t="n"/>
      <c r="B193" s="22" t="n"/>
      <c r="C193" s="22" t="n"/>
      <c r="D193" s="23" t="n"/>
      <c r="E193" s="23" t="n"/>
      <c r="F193" s="22" t="n"/>
      <c r="G193" s="22" t="n"/>
      <c r="H193" s="22" t="n"/>
      <c r="I193" s="24" t="n"/>
      <c r="J193" s="22" t="n"/>
      <c r="K193" s="22" t="n"/>
      <c r="L193" s="23" t="n"/>
    </row>
    <row r="194">
      <c r="A194" s="24" t="n"/>
      <c r="B194" s="22" t="n"/>
      <c r="C194" s="22" t="n"/>
      <c r="D194" s="23" t="n"/>
      <c r="E194" s="23" t="n"/>
      <c r="F194" s="22" t="n"/>
      <c r="G194" s="22" t="n"/>
      <c r="H194" s="22" t="n"/>
      <c r="I194" s="24" t="n"/>
      <c r="J194" s="22" t="n"/>
      <c r="K194" s="22" t="n"/>
      <c r="L194" s="23" t="n"/>
    </row>
    <row r="195">
      <c r="A195" s="24" t="n"/>
      <c r="B195" s="22" t="n"/>
      <c r="C195" s="22" t="n"/>
      <c r="D195" s="23" t="n"/>
      <c r="E195" s="23" t="n"/>
      <c r="F195" s="22" t="n"/>
      <c r="G195" s="22" t="n"/>
      <c r="H195" s="22" t="n"/>
      <c r="I195" s="24" t="n"/>
      <c r="J195" s="22" t="n"/>
      <c r="K195" s="22" t="n"/>
      <c r="L195" s="23" t="n"/>
    </row>
    <row r="196">
      <c r="A196" s="24" t="n"/>
      <c r="B196" s="22" t="n"/>
      <c r="C196" s="22" t="n"/>
      <c r="D196" s="23" t="n"/>
      <c r="E196" s="23" t="n"/>
      <c r="F196" s="22" t="n"/>
      <c r="G196" s="22" t="n"/>
      <c r="H196" s="22" t="n"/>
      <c r="I196" s="24" t="n"/>
      <c r="J196" s="22" t="n"/>
      <c r="K196" s="22" t="n"/>
      <c r="L196" s="23" t="n"/>
    </row>
    <row r="197">
      <c r="A197" s="24" t="n"/>
      <c r="B197" s="22" t="n"/>
      <c r="C197" s="22" t="n"/>
      <c r="D197" s="23" t="n"/>
      <c r="E197" s="23" t="n"/>
      <c r="F197" s="22" t="n"/>
      <c r="G197" s="22" t="n"/>
      <c r="H197" s="22" t="n"/>
      <c r="I197" s="24" t="n"/>
      <c r="J197" s="22" t="n"/>
      <c r="K197" s="22" t="n"/>
      <c r="L197" s="23" t="n"/>
    </row>
    <row r="198">
      <c r="A198" s="24" t="n"/>
      <c r="B198" s="22" t="n"/>
      <c r="C198" s="22" t="n"/>
      <c r="D198" s="23" t="n"/>
      <c r="E198" s="23" t="n"/>
      <c r="F198" s="22" t="n"/>
      <c r="G198" s="22" t="n"/>
      <c r="H198" s="22" t="n"/>
      <c r="I198" s="24" t="n"/>
      <c r="J198" s="22" t="n"/>
      <c r="K198" s="22" t="n"/>
      <c r="L198" s="23" t="n"/>
    </row>
    <row r="199">
      <c r="A199" s="24" t="n"/>
      <c r="B199" s="22" t="n"/>
      <c r="C199" s="22" t="n"/>
      <c r="D199" s="23" t="n"/>
      <c r="E199" s="23" t="n"/>
      <c r="F199" s="22" t="n"/>
      <c r="G199" s="22" t="n"/>
      <c r="H199" s="22" t="n"/>
      <c r="I199" s="24" t="n"/>
      <c r="J199" s="22" t="n"/>
      <c r="K199" s="22" t="n"/>
      <c r="L199" s="23" t="n"/>
    </row>
    <row r="200">
      <c r="A200" s="24" t="n"/>
      <c r="B200" s="22" t="n"/>
      <c r="C200" s="22" t="n"/>
      <c r="D200" s="23" t="n"/>
      <c r="E200" s="23" t="n"/>
      <c r="F200" s="22" t="n"/>
      <c r="G200" s="22" t="n"/>
      <c r="H200" s="22" t="n"/>
      <c r="I200" s="24" t="n"/>
      <c r="J200" s="22" t="n"/>
      <c r="K200" s="22" t="n"/>
      <c r="L200" s="23" t="n"/>
    </row>
    <row r="201">
      <c r="A201" s="24" t="n"/>
      <c r="B201" s="22" t="n"/>
      <c r="C201" s="22" t="n"/>
      <c r="D201" s="23" t="n"/>
      <c r="E201" s="23" t="n"/>
      <c r="F201" s="22" t="n"/>
      <c r="G201" s="22" t="n"/>
      <c r="H201" s="22" t="n"/>
      <c r="I201" s="24" t="n"/>
      <c r="J201" s="22" t="n"/>
      <c r="K201" s="22" t="n"/>
      <c r="L201" s="23" t="n"/>
    </row>
    <row r="202">
      <c r="A202" s="24" t="n"/>
      <c r="B202" s="22" t="n"/>
      <c r="C202" s="22" t="n"/>
      <c r="D202" s="23" t="n"/>
      <c r="E202" s="23" t="n"/>
      <c r="F202" s="22" t="n"/>
      <c r="G202" s="22" t="n"/>
      <c r="H202" s="22" t="n"/>
      <c r="I202" s="24" t="n"/>
      <c r="J202" s="22" t="n"/>
      <c r="K202" s="22" t="n"/>
      <c r="L202" s="23" t="n"/>
    </row>
    <row r="203">
      <c r="A203" s="24" t="n"/>
      <c r="B203" s="22" t="n"/>
      <c r="C203" s="22" t="n"/>
      <c r="D203" s="23" t="n"/>
      <c r="E203" s="23" t="n"/>
      <c r="F203" s="22" t="n"/>
      <c r="G203" s="22" t="n"/>
      <c r="H203" s="22" t="n"/>
      <c r="I203" s="24" t="n"/>
      <c r="J203" s="22" t="n"/>
      <c r="K203" s="22" t="n"/>
      <c r="L203" s="23" t="n"/>
    </row>
    <row r="204">
      <c r="A204" s="24" t="n"/>
      <c r="B204" s="22" t="n"/>
      <c r="C204" s="22" t="n"/>
      <c r="D204" s="23" t="n"/>
      <c r="E204" s="23" t="n"/>
      <c r="F204" s="22" t="n"/>
      <c r="G204" s="22" t="n"/>
      <c r="H204" s="22" t="n"/>
      <c r="I204" s="24" t="n"/>
      <c r="J204" s="22" t="n"/>
      <c r="K204" s="22" t="n"/>
      <c r="L204" s="23" t="n"/>
    </row>
    <row r="205">
      <c r="A205" s="24" t="n"/>
      <c r="B205" s="22" t="n"/>
      <c r="C205" s="22" t="n"/>
      <c r="D205" s="23" t="n"/>
      <c r="E205" s="23" t="n"/>
      <c r="F205" s="22" t="n"/>
      <c r="G205" s="22" t="n"/>
      <c r="H205" s="22" t="n"/>
      <c r="I205" s="24" t="n"/>
      <c r="J205" s="22" t="n"/>
      <c r="K205" s="22" t="n"/>
      <c r="L205" s="23" t="n"/>
    </row>
    <row r="206">
      <c r="A206" s="24" t="n"/>
      <c r="B206" s="22" t="n"/>
      <c r="C206" s="22" t="n"/>
      <c r="D206" s="23" t="n"/>
      <c r="E206" s="23" t="n"/>
      <c r="F206" s="22" t="n"/>
      <c r="G206" s="22" t="n"/>
      <c r="H206" s="22" t="n"/>
      <c r="I206" s="24" t="n"/>
      <c r="J206" s="22" t="n"/>
      <c r="K206" s="22" t="n"/>
      <c r="L206" s="23" t="n"/>
    </row>
    <row r="207">
      <c r="A207" s="24" t="n"/>
      <c r="B207" s="22" t="n"/>
      <c r="C207" s="22" t="n"/>
      <c r="D207" s="23" t="n"/>
      <c r="E207" s="23" t="n"/>
      <c r="F207" s="22" t="n"/>
      <c r="G207" s="22" t="n"/>
      <c r="H207" s="22" t="n"/>
      <c r="I207" s="24" t="n"/>
      <c r="J207" s="22" t="n"/>
      <c r="K207" s="22" t="n"/>
      <c r="L207" s="23" t="n"/>
    </row>
    <row r="208">
      <c r="A208" s="24" t="n"/>
      <c r="B208" s="22" t="n"/>
      <c r="C208" s="22" t="n"/>
      <c r="D208" s="23" t="n"/>
      <c r="E208" s="23" t="n"/>
      <c r="F208" s="22" t="n"/>
      <c r="G208" s="22" t="n"/>
      <c r="H208" s="22" t="n"/>
      <c r="I208" s="24" t="n"/>
      <c r="J208" s="22" t="n"/>
      <c r="K208" s="22" t="n"/>
      <c r="L208" s="23" t="n"/>
    </row>
    <row r="209">
      <c r="A209" s="24" t="n"/>
      <c r="B209" s="22" t="n"/>
      <c r="C209" s="22" t="n"/>
      <c r="D209" s="23" t="n"/>
      <c r="E209" s="23" t="n"/>
      <c r="F209" s="22" t="n"/>
      <c r="G209" s="22" t="n"/>
      <c r="H209" s="22" t="n"/>
      <c r="I209" s="24" t="n"/>
      <c r="J209" s="22" t="n"/>
      <c r="K209" s="22" t="n"/>
      <c r="L209" s="23" t="n"/>
    </row>
    <row r="210">
      <c r="A210" s="24" t="n"/>
      <c r="B210" s="22" t="n"/>
      <c r="C210" s="22" t="n"/>
      <c r="D210" s="23" t="n"/>
      <c r="E210" s="23" t="n"/>
      <c r="F210" s="22" t="n"/>
      <c r="G210" s="22" t="n"/>
      <c r="H210" s="22" t="n"/>
      <c r="I210" s="24" t="n"/>
      <c r="J210" s="22" t="n"/>
      <c r="K210" s="22" t="n"/>
      <c r="L210" s="23" t="n"/>
    </row>
    <row r="211">
      <c r="A211" s="24" t="n"/>
      <c r="B211" s="22" t="n"/>
      <c r="C211" s="22" t="n"/>
      <c r="D211" s="23" t="n"/>
      <c r="E211" s="23" t="n"/>
      <c r="F211" s="22" t="n"/>
      <c r="G211" s="22" t="n"/>
      <c r="H211" s="22" t="n"/>
      <c r="I211" s="24" t="n"/>
      <c r="J211" s="22" t="n"/>
      <c r="K211" s="22" t="n"/>
      <c r="L211" s="23" t="n"/>
    </row>
    <row r="212">
      <c r="A212" s="24" t="n"/>
      <c r="B212" s="22" t="n"/>
      <c r="C212" s="22" t="n"/>
      <c r="D212" s="23" t="n"/>
      <c r="E212" s="23" t="n"/>
      <c r="F212" s="22" t="n"/>
      <c r="G212" s="22" t="n"/>
      <c r="H212" s="22" t="n"/>
      <c r="I212" s="24" t="n"/>
      <c r="J212" s="22" t="n"/>
      <c r="K212" s="22" t="n"/>
      <c r="L212" s="23" t="n"/>
    </row>
    <row r="213">
      <c r="A213" s="24" t="n"/>
      <c r="B213" s="22" t="n"/>
      <c r="C213" s="22" t="n"/>
      <c r="D213" s="23" t="n"/>
      <c r="E213" s="23" t="n"/>
      <c r="F213" s="22" t="n"/>
      <c r="G213" s="22" t="n"/>
      <c r="H213" s="22" t="n"/>
      <c r="I213" s="24" t="n"/>
      <c r="J213" s="22" t="n"/>
      <c r="K213" s="22" t="n"/>
      <c r="L213" s="23" t="n"/>
    </row>
    <row r="214">
      <c r="A214" s="24" t="n"/>
      <c r="B214" s="22" t="n"/>
      <c r="C214" s="22" t="n"/>
      <c r="D214" s="23" t="n"/>
      <c r="E214" s="23" t="n"/>
      <c r="F214" s="22" t="n"/>
      <c r="G214" s="22" t="n"/>
      <c r="H214" s="22" t="n"/>
      <c r="I214" s="24" t="n"/>
      <c r="J214" s="22" t="n"/>
      <c r="K214" s="22" t="n"/>
      <c r="L214" s="23" t="n"/>
    </row>
    <row r="215">
      <c r="A215" s="24" t="n"/>
      <c r="B215" s="22" t="n"/>
      <c r="C215" s="22" t="n"/>
      <c r="D215" s="23" t="n"/>
      <c r="E215" s="23" t="n"/>
      <c r="F215" s="22" t="n"/>
      <c r="G215" s="22" t="n"/>
      <c r="H215" s="22" t="n"/>
      <c r="I215" s="24" t="n"/>
      <c r="J215" s="22" t="n"/>
      <c r="K215" s="22" t="n"/>
      <c r="L215" s="23" t="n"/>
    </row>
    <row r="216">
      <c r="A216" s="24" t="n"/>
      <c r="B216" s="22" t="n"/>
      <c r="C216" s="22" t="n"/>
      <c r="D216" s="23" t="n"/>
      <c r="E216" s="23" t="n"/>
      <c r="F216" s="22" t="n"/>
      <c r="G216" s="22" t="n"/>
      <c r="H216" s="22" t="n"/>
      <c r="I216" s="24" t="n"/>
      <c r="J216" s="22" t="n"/>
      <c r="K216" s="22" t="n"/>
      <c r="L216" s="23" t="n"/>
    </row>
    <row r="217">
      <c r="A217" s="24" t="n"/>
      <c r="B217" s="22" t="n"/>
      <c r="C217" s="22" t="n"/>
      <c r="D217" s="23" t="n"/>
      <c r="E217" s="23" t="n"/>
      <c r="F217" s="22" t="n"/>
      <c r="G217" s="22" t="n"/>
      <c r="H217" s="22" t="n"/>
      <c r="I217" s="24" t="n"/>
      <c r="J217" s="22" t="n"/>
      <c r="K217" s="22" t="n"/>
      <c r="L217" s="23" t="n"/>
    </row>
    <row r="218">
      <c r="A218" s="24" t="n"/>
      <c r="B218" s="22" t="n"/>
      <c r="C218" s="22" t="n"/>
      <c r="D218" s="23" t="n"/>
      <c r="E218" s="23" t="n"/>
      <c r="F218" s="22" t="n"/>
      <c r="G218" s="22" t="n"/>
      <c r="H218" s="22" t="n"/>
      <c r="I218" s="24" t="n"/>
      <c r="J218" s="22" t="n"/>
      <c r="K218" s="22" t="n"/>
      <c r="L218" s="23" t="n"/>
    </row>
    <row r="219">
      <c r="A219" s="24" t="n"/>
      <c r="B219" s="22" t="n"/>
      <c r="C219" s="22" t="n"/>
      <c r="D219" s="23" t="n"/>
      <c r="E219" s="23" t="n"/>
      <c r="F219" s="22" t="n"/>
      <c r="G219" s="22" t="n"/>
      <c r="H219" s="22" t="n"/>
      <c r="I219" s="24" t="n"/>
      <c r="J219" s="22" t="n"/>
      <c r="K219" s="22" t="n"/>
      <c r="L219" s="23" t="n"/>
    </row>
    <row r="220">
      <c r="A220" s="24" t="n"/>
      <c r="B220" s="22" t="n"/>
      <c r="C220" s="22" t="n"/>
      <c r="D220" s="23" t="n"/>
      <c r="E220" s="23" t="n"/>
      <c r="F220" s="22" t="n"/>
      <c r="G220" s="22" t="n"/>
      <c r="H220" s="22" t="n"/>
      <c r="I220" s="24" t="n"/>
      <c r="J220" s="22" t="n"/>
      <c r="K220" s="22" t="n"/>
      <c r="L220" s="23" t="n"/>
    </row>
    <row r="221">
      <c r="A221" s="24" t="n"/>
      <c r="B221" s="22" t="n"/>
      <c r="C221" s="22" t="n"/>
      <c r="D221" s="23" t="n"/>
      <c r="E221" s="23" t="n"/>
      <c r="F221" s="22" t="n"/>
      <c r="G221" s="22" t="n"/>
      <c r="H221" s="22" t="n"/>
      <c r="I221" s="24" t="n"/>
      <c r="J221" s="22" t="n"/>
      <c r="K221" s="22" t="n"/>
      <c r="L221" s="23" t="n"/>
    </row>
    <row r="222">
      <c r="A222" s="24" t="n"/>
      <c r="B222" s="22" t="n"/>
      <c r="C222" s="22" t="n"/>
      <c r="D222" s="23" t="n"/>
      <c r="E222" s="23" t="n"/>
      <c r="F222" s="22" t="n"/>
      <c r="G222" s="22" t="n"/>
      <c r="H222" s="22" t="n"/>
      <c r="I222" s="24" t="n"/>
      <c r="J222" s="22" t="n"/>
      <c r="K222" s="22" t="n"/>
      <c r="L222" s="23" t="n"/>
    </row>
    <row r="223">
      <c r="A223" s="24" t="n"/>
      <c r="B223" s="22" t="n"/>
      <c r="C223" s="22" t="n"/>
      <c r="D223" s="23" t="n"/>
      <c r="E223" s="23" t="n"/>
      <c r="F223" s="22" t="n"/>
      <c r="G223" s="22" t="n"/>
      <c r="H223" s="22" t="n"/>
      <c r="I223" s="24" t="n"/>
      <c r="J223" s="22" t="n"/>
      <c r="K223" s="22" t="n"/>
      <c r="L223" s="23" t="n"/>
    </row>
    <row r="224">
      <c r="A224" s="24" t="n"/>
      <c r="B224" s="22" t="n"/>
      <c r="C224" s="22" t="n"/>
      <c r="D224" s="23" t="n"/>
      <c r="E224" s="23" t="n"/>
      <c r="F224" s="22" t="n"/>
      <c r="G224" s="22" t="n"/>
      <c r="H224" s="22" t="n"/>
      <c r="I224" s="24" t="n"/>
      <c r="J224" s="22" t="n"/>
      <c r="K224" s="22" t="n"/>
      <c r="L224" s="23" t="n"/>
    </row>
    <row r="225">
      <c r="A225" s="24" t="n"/>
      <c r="B225" s="22" t="n"/>
      <c r="C225" s="22" t="n"/>
      <c r="D225" s="23" t="n"/>
      <c r="E225" s="23" t="n"/>
      <c r="F225" s="22" t="n"/>
      <c r="G225" s="22" t="n"/>
      <c r="H225" s="22" t="n"/>
      <c r="I225" s="24" t="n"/>
      <c r="J225" s="22" t="n"/>
      <c r="K225" s="22" t="n"/>
      <c r="L225" s="23" t="n"/>
    </row>
    <row r="226">
      <c r="A226" s="24" t="n"/>
      <c r="B226" s="22" t="n"/>
      <c r="C226" s="22" t="n"/>
      <c r="D226" s="23" t="n"/>
      <c r="E226" s="23" t="n"/>
      <c r="F226" s="22" t="n"/>
      <c r="G226" s="22" t="n"/>
      <c r="H226" s="22" t="n"/>
      <c r="I226" s="24" t="n"/>
      <c r="J226" s="22" t="n"/>
      <c r="K226" s="22" t="n"/>
      <c r="L226" s="23" t="n"/>
    </row>
    <row r="227">
      <c r="A227" s="24" t="n"/>
      <c r="B227" s="22" t="n"/>
      <c r="C227" s="22" t="n"/>
      <c r="D227" s="23" t="n"/>
      <c r="E227" s="23" t="n"/>
      <c r="F227" s="22" t="n"/>
      <c r="G227" s="22" t="n"/>
      <c r="H227" s="22" t="n"/>
      <c r="I227" s="24" t="n"/>
      <c r="J227" s="22" t="n"/>
      <c r="K227" s="22" t="n"/>
      <c r="L227" s="23" t="n"/>
    </row>
    <row r="228">
      <c r="A228" s="24" t="n"/>
      <c r="B228" s="22" t="n"/>
      <c r="C228" s="22" t="n"/>
      <c r="D228" s="23" t="n"/>
      <c r="E228" s="23" t="n"/>
      <c r="F228" s="22" t="n"/>
      <c r="G228" s="22" t="n"/>
      <c r="H228" s="22" t="n"/>
      <c r="I228" s="24" t="n"/>
      <c r="J228" s="22" t="n"/>
      <c r="K228" s="22" t="n"/>
      <c r="L228" s="23" t="n"/>
    </row>
    <row r="229">
      <c r="A229" s="24" t="n"/>
      <c r="B229" s="22" t="n"/>
      <c r="C229" s="22" t="n"/>
      <c r="D229" s="23" t="n"/>
      <c r="E229" s="23" t="n"/>
      <c r="F229" s="22" t="n"/>
      <c r="G229" s="22" t="n"/>
      <c r="H229" s="22" t="n"/>
      <c r="I229" s="24" t="n"/>
      <c r="J229" s="22" t="n"/>
      <c r="K229" s="22" t="n"/>
      <c r="L229" s="23" t="n"/>
    </row>
    <row r="230">
      <c r="A230" s="24" t="n"/>
      <c r="B230" s="22" t="n"/>
      <c r="C230" s="22" t="n"/>
      <c r="D230" s="23" t="n"/>
      <c r="E230" s="23" t="n"/>
      <c r="F230" s="22" t="n"/>
      <c r="G230" s="22" t="n"/>
      <c r="H230" s="22" t="n"/>
      <c r="I230" s="24" t="n"/>
      <c r="J230" s="22" t="n"/>
      <c r="K230" s="22" t="n"/>
      <c r="L230" s="23" t="n"/>
    </row>
    <row r="231">
      <c r="A231" s="24" t="n"/>
      <c r="B231" s="22" t="n"/>
      <c r="C231" s="22" t="n"/>
      <c r="D231" s="23" t="n"/>
      <c r="E231" s="23" t="n"/>
      <c r="F231" s="22" t="n"/>
      <c r="G231" s="22" t="n"/>
      <c r="H231" s="22" t="n"/>
      <c r="I231" s="24" t="n"/>
      <c r="J231" s="22" t="n"/>
      <c r="K231" s="22" t="n"/>
      <c r="L231" s="23" t="n"/>
    </row>
    <row r="232">
      <c r="A232" s="24" t="n"/>
      <c r="B232" s="22" t="n"/>
      <c r="C232" s="22" t="n"/>
      <c r="D232" s="23" t="n"/>
      <c r="E232" s="23" t="n"/>
      <c r="F232" s="22" t="n"/>
      <c r="G232" s="22" t="n"/>
      <c r="H232" s="22" t="n"/>
      <c r="I232" s="24" t="n"/>
      <c r="J232" s="22" t="n"/>
      <c r="K232" s="22" t="n"/>
      <c r="L232" s="23" t="n"/>
    </row>
    <row r="233">
      <c r="A233" s="24" t="n"/>
      <c r="B233" s="22" t="n"/>
      <c r="C233" s="22" t="n"/>
      <c r="D233" s="23" t="n"/>
      <c r="E233" s="23" t="n"/>
      <c r="F233" s="22" t="n"/>
      <c r="G233" s="22" t="n"/>
      <c r="H233" s="22" t="n"/>
      <c r="I233" s="24" t="n"/>
      <c r="J233" s="22" t="n"/>
      <c r="K233" s="22" t="n"/>
      <c r="L233" s="23" t="n"/>
    </row>
    <row r="234">
      <c r="A234" s="24" t="n"/>
      <c r="B234" s="22" t="n"/>
      <c r="C234" s="22" t="n"/>
      <c r="D234" s="23" t="n"/>
      <c r="E234" s="23" t="n"/>
      <c r="F234" s="22" t="n"/>
      <c r="G234" s="22" t="n"/>
      <c r="H234" s="22" t="n"/>
      <c r="I234" s="24" t="n"/>
      <c r="J234" s="22" t="n"/>
      <c r="K234" s="22" t="n"/>
      <c r="L234" s="23" t="n"/>
    </row>
    <row r="235">
      <c r="A235" s="24" t="n"/>
      <c r="B235" s="22" t="n"/>
      <c r="C235" s="22" t="n"/>
      <c r="D235" s="23" t="n"/>
      <c r="E235" s="23" t="n"/>
      <c r="F235" s="22" t="n"/>
      <c r="G235" s="22" t="n"/>
      <c r="H235" s="22" t="n"/>
      <c r="I235" s="24" t="n"/>
      <c r="J235" s="22" t="n"/>
      <c r="K235" s="22" t="n"/>
      <c r="L235" s="23" t="n"/>
    </row>
    <row r="236">
      <c r="A236" s="24" t="n"/>
      <c r="B236" s="22" t="n"/>
      <c r="C236" s="22" t="n"/>
      <c r="D236" s="23" t="n"/>
      <c r="E236" s="23" t="n"/>
      <c r="F236" s="22" t="n"/>
      <c r="G236" s="22" t="n"/>
      <c r="H236" s="22" t="n"/>
      <c r="I236" s="24" t="n"/>
      <c r="J236" s="22" t="n"/>
      <c r="K236" s="22" t="n"/>
      <c r="L236" s="23" t="n"/>
    </row>
    <row r="237">
      <c r="A237" s="24" t="n"/>
      <c r="B237" s="22" t="n"/>
      <c r="C237" s="22" t="n"/>
      <c r="D237" s="23" t="n"/>
      <c r="E237" s="23" t="n"/>
      <c r="F237" s="22" t="n"/>
      <c r="G237" s="22" t="n"/>
      <c r="H237" s="22" t="n"/>
      <c r="I237" s="24" t="n"/>
      <c r="J237" s="22" t="n"/>
      <c r="K237" s="22" t="n"/>
      <c r="L237" s="23" t="n"/>
    </row>
    <row r="238">
      <c r="A238" s="24" t="n"/>
      <c r="B238" s="22" t="n"/>
      <c r="C238" s="22" t="n"/>
      <c r="D238" s="23" t="n"/>
      <c r="E238" s="23" t="n"/>
      <c r="F238" s="22" t="n"/>
      <c r="G238" s="22" t="n"/>
      <c r="H238" s="22" t="n"/>
      <c r="I238" s="24" t="n"/>
      <c r="J238" s="22" t="n"/>
      <c r="K238" s="22" t="n"/>
      <c r="L238" s="23" t="n"/>
    </row>
    <row r="239">
      <c r="A239" s="24" t="n"/>
      <c r="B239" s="22" t="n"/>
      <c r="C239" s="22" t="n"/>
      <c r="D239" s="23" t="n"/>
      <c r="E239" s="23" t="n"/>
      <c r="F239" s="22" t="n"/>
      <c r="G239" s="22" t="n"/>
      <c r="H239" s="22" t="n"/>
      <c r="I239" s="24" t="n"/>
      <c r="J239" s="22" t="n"/>
      <c r="K239" s="22" t="n"/>
      <c r="L239" s="23" t="n"/>
    </row>
    <row r="240">
      <c r="A240" s="24" t="n"/>
      <c r="B240" s="22" t="n"/>
      <c r="C240" s="22" t="n"/>
      <c r="D240" s="23" t="n"/>
      <c r="E240" s="23" t="n"/>
      <c r="F240" s="22" t="n"/>
      <c r="G240" s="22" t="n"/>
      <c r="H240" s="22" t="n"/>
      <c r="I240" s="24" t="n"/>
      <c r="J240" s="22" t="n"/>
      <c r="K240" s="22" t="n"/>
      <c r="L240" s="23" t="n"/>
    </row>
    <row r="241">
      <c r="A241" s="24" t="n"/>
      <c r="B241" s="22" t="n"/>
      <c r="C241" s="22" t="n"/>
      <c r="D241" s="23" t="n"/>
      <c r="E241" s="23" t="n"/>
      <c r="F241" s="22" t="n"/>
      <c r="G241" s="22" t="n"/>
      <c r="H241" s="22" t="n"/>
      <c r="I241" s="24" t="n"/>
      <c r="J241" s="22" t="n"/>
      <c r="K241" s="22" t="n"/>
      <c r="L241" s="23" t="n"/>
    </row>
    <row r="242">
      <c r="A242" s="24" t="n"/>
      <c r="B242" s="22" t="n"/>
      <c r="C242" s="22" t="n"/>
      <c r="D242" s="23" t="n"/>
      <c r="E242" s="23" t="n"/>
      <c r="F242" s="22" t="n"/>
      <c r="G242" s="22" t="n"/>
      <c r="H242" s="22" t="n"/>
      <c r="I242" s="24" t="n"/>
      <c r="J242" s="22" t="n"/>
      <c r="K242" s="22" t="n"/>
      <c r="L242" s="23" t="n"/>
    </row>
    <row r="243">
      <c r="A243" s="24" t="n"/>
      <c r="B243" s="22" t="n"/>
      <c r="C243" s="22" t="n"/>
      <c r="D243" s="23" t="n"/>
      <c r="E243" s="23" t="n"/>
      <c r="F243" s="22" t="n"/>
      <c r="G243" s="22" t="n"/>
      <c r="H243" s="22" t="n"/>
      <c r="I243" s="24" t="n"/>
      <c r="J243" s="22" t="n"/>
      <c r="K243" s="22" t="n"/>
      <c r="L243" s="23" t="n"/>
    </row>
    <row r="244">
      <c r="A244" s="24" t="n"/>
      <c r="B244" s="22" t="n"/>
      <c r="C244" s="22" t="n"/>
      <c r="D244" s="23" t="n"/>
      <c r="E244" s="23" t="n"/>
      <c r="F244" s="22" t="n"/>
      <c r="G244" s="22" t="n"/>
      <c r="H244" s="22" t="n"/>
      <c r="I244" s="24" t="n"/>
      <c r="J244" s="22" t="n"/>
      <c r="K244" s="22" t="n"/>
      <c r="L244" s="23" t="n"/>
    </row>
    <row r="245">
      <c r="A245" s="24" t="n"/>
      <c r="B245" s="22" t="n"/>
      <c r="C245" s="22" t="n"/>
      <c r="D245" s="23" t="n"/>
      <c r="E245" s="23" t="n"/>
      <c r="F245" s="22" t="n"/>
      <c r="G245" s="22" t="n"/>
      <c r="H245" s="22" t="n"/>
      <c r="I245" s="24" t="n"/>
      <c r="J245" s="22" t="n"/>
      <c r="K245" s="22" t="n"/>
      <c r="L245" s="23" t="n"/>
    </row>
    <row r="246">
      <c r="A246" s="24" t="n"/>
      <c r="B246" s="22" t="n"/>
      <c r="C246" s="22" t="n"/>
      <c r="D246" s="23" t="n"/>
      <c r="E246" s="23" t="n"/>
      <c r="F246" s="22" t="n"/>
      <c r="G246" s="22" t="n"/>
      <c r="H246" s="22" t="n"/>
      <c r="I246" s="24" t="n"/>
      <c r="J246" s="22" t="n"/>
      <c r="K246" s="22" t="n"/>
      <c r="L246" s="23" t="n"/>
    </row>
    <row r="247">
      <c r="A247" s="24" t="n"/>
      <c r="B247" s="22" t="n"/>
      <c r="C247" s="22" t="n"/>
      <c r="D247" s="23" t="n"/>
      <c r="E247" s="23" t="n"/>
      <c r="F247" s="22" t="n"/>
      <c r="G247" s="22" t="n"/>
      <c r="H247" s="22" t="n"/>
      <c r="I247" s="24" t="n"/>
      <c r="J247" s="22" t="n"/>
      <c r="K247" s="22" t="n"/>
      <c r="L247" s="23" t="n"/>
    </row>
    <row r="248">
      <c r="A248" s="24" t="n"/>
      <c r="B248" s="22" t="n"/>
      <c r="C248" s="22" t="n"/>
      <c r="D248" s="23" t="n"/>
      <c r="E248" s="23" t="n"/>
      <c r="F248" s="22" t="n"/>
      <c r="G248" s="22" t="n"/>
      <c r="H248" s="22" t="n"/>
      <c r="I248" s="24" t="n"/>
      <c r="J248" s="22" t="n"/>
      <c r="K248" s="22" t="n"/>
      <c r="L248" s="23" t="n"/>
    </row>
    <row r="249">
      <c r="A249" s="24" t="n"/>
      <c r="B249" s="22" t="n"/>
      <c r="C249" s="22" t="n"/>
      <c r="D249" s="23" t="n"/>
      <c r="E249" s="23" t="n"/>
      <c r="F249" s="22" t="n"/>
      <c r="G249" s="22" t="n"/>
      <c r="H249" s="22" t="n"/>
      <c r="I249" s="24" t="n"/>
      <c r="J249" s="22" t="n"/>
      <c r="K249" s="22" t="n"/>
      <c r="L249" s="23" t="n"/>
    </row>
    <row r="250">
      <c r="A250" s="24" t="n"/>
      <c r="B250" s="22" t="n"/>
      <c r="C250" s="22" t="n"/>
      <c r="D250" s="23" t="n"/>
      <c r="E250" s="23" t="n"/>
      <c r="F250" s="22" t="n"/>
      <c r="G250" s="22" t="n"/>
      <c r="H250" s="22" t="n"/>
      <c r="I250" s="24" t="n"/>
      <c r="J250" s="22" t="n"/>
      <c r="K250" s="22" t="n"/>
      <c r="L250" s="23" t="n"/>
    </row>
    <row r="251">
      <c r="A251" s="24" t="n"/>
      <c r="B251" s="22" t="n"/>
      <c r="C251" s="22" t="n"/>
      <c r="D251" s="23" t="n"/>
      <c r="E251" s="23" t="n"/>
      <c r="F251" s="22" t="n"/>
      <c r="G251" s="22" t="n"/>
      <c r="H251" s="22" t="n"/>
      <c r="I251" s="24" t="n"/>
      <c r="J251" s="22" t="n"/>
      <c r="K251" s="22" t="n"/>
      <c r="L251" s="23" t="n"/>
    </row>
    <row r="252">
      <c r="A252" s="24" t="n"/>
      <c r="B252" s="22" t="n"/>
      <c r="C252" s="22" t="n"/>
      <c r="D252" s="23" t="n"/>
      <c r="E252" s="23" t="n"/>
      <c r="F252" s="22" t="n"/>
      <c r="G252" s="22" t="n"/>
      <c r="H252" s="22" t="n"/>
      <c r="I252" s="24" t="n"/>
      <c r="J252" s="22" t="n"/>
      <c r="K252" s="22" t="n"/>
      <c r="L252" s="23" t="n"/>
    </row>
    <row r="253">
      <c r="A253" s="24" t="n"/>
      <c r="B253" s="22" t="n"/>
      <c r="C253" s="22" t="n"/>
      <c r="D253" s="23" t="n"/>
      <c r="E253" s="23" t="n"/>
      <c r="F253" s="22" t="n"/>
      <c r="G253" s="22" t="n"/>
      <c r="H253" s="22" t="n"/>
      <c r="I253" s="24" t="n"/>
      <c r="J253" s="22" t="n"/>
      <c r="K253" s="22" t="n"/>
      <c r="L253" s="23" t="n"/>
    </row>
    <row r="254">
      <c r="A254" s="24" t="n"/>
      <c r="B254" s="22" t="n"/>
      <c r="C254" s="22" t="n"/>
      <c r="D254" s="23" t="n"/>
      <c r="E254" s="23" t="n"/>
      <c r="F254" s="22" t="n"/>
      <c r="G254" s="22" t="n"/>
      <c r="H254" s="22" t="n"/>
      <c r="I254" s="24" t="n"/>
      <c r="J254" s="22" t="n"/>
      <c r="K254" s="22" t="n"/>
      <c r="L254" s="23" t="n"/>
    </row>
    <row r="255">
      <c r="A255" s="24" t="n"/>
      <c r="B255" s="22" t="n"/>
      <c r="C255" s="22" t="n"/>
      <c r="D255" s="23" t="n"/>
      <c r="E255" s="23" t="n"/>
      <c r="F255" s="22" t="n"/>
      <c r="G255" s="22" t="n"/>
      <c r="H255" s="22" t="n"/>
      <c r="I255" s="24" t="n"/>
      <c r="J255" s="22" t="n"/>
      <c r="K255" s="22" t="n"/>
      <c r="L255" s="23" t="n"/>
    </row>
    <row r="256">
      <c r="A256" s="24" t="n"/>
      <c r="B256" s="22" t="n"/>
      <c r="C256" s="22" t="n"/>
      <c r="D256" s="23" t="n"/>
      <c r="E256" s="23" t="n"/>
      <c r="F256" s="22" t="n"/>
      <c r="G256" s="22" t="n"/>
      <c r="H256" s="22" t="n"/>
      <c r="I256" s="24" t="n"/>
      <c r="J256" s="22" t="n"/>
      <c r="K256" s="22" t="n"/>
      <c r="L256" s="23" t="n"/>
    </row>
    <row r="257">
      <c r="A257" s="24" t="n"/>
      <c r="B257" s="22" t="n"/>
      <c r="C257" s="22" t="n"/>
      <c r="D257" s="23" t="n"/>
      <c r="E257" s="23" t="n"/>
      <c r="F257" s="22" t="n"/>
      <c r="G257" s="22" t="n"/>
      <c r="H257" s="22" t="n"/>
      <c r="I257" s="24" t="n"/>
      <c r="J257" s="22" t="n"/>
      <c r="K257" s="22" t="n"/>
      <c r="L257" s="23" t="n"/>
    </row>
    <row r="258">
      <c r="A258" s="24" t="n"/>
      <c r="B258" s="22" t="n"/>
      <c r="C258" s="22" t="n"/>
      <c r="D258" s="23" t="n"/>
      <c r="E258" s="23" t="n"/>
      <c r="F258" s="22" t="n"/>
      <c r="G258" s="22" t="n"/>
      <c r="H258" s="22" t="n"/>
      <c r="I258" s="24" t="n"/>
      <c r="J258" s="22" t="n"/>
      <c r="K258" s="22" t="n"/>
      <c r="L258" s="23" t="n"/>
    </row>
    <row r="259">
      <c r="A259" s="24" t="n"/>
      <c r="B259" s="22" t="n"/>
      <c r="C259" s="22" t="n"/>
      <c r="D259" s="23" t="n"/>
      <c r="E259" s="23" t="n"/>
      <c r="F259" s="22" t="n"/>
      <c r="G259" s="22" t="n"/>
      <c r="H259" s="22" t="n"/>
      <c r="I259" s="24" t="n"/>
      <c r="J259" s="22" t="n"/>
      <c r="K259" s="22" t="n"/>
      <c r="L259" s="23" t="n"/>
    </row>
    <row r="260">
      <c r="A260" s="24" t="n"/>
      <c r="B260" s="22" t="n"/>
      <c r="C260" s="22" t="n"/>
      <c r="D260" s="23" t="n"/>
      <c r="E260" s="23" t="n"/>
      <c r="F260" s="22" t="n"/>
      <c r="G260" s="22" t="n"/>
      <c r="H260" s="22" t="n"/>
      <c r="I260" s="24" t="n"/>
      <c r="J260" s="22" t="n"/>
      <c r="K260" s="22" t="n"/>
      <c r="L260" s="23" t="n"/>
    </row>
    <row r="261">
      <c r="A261" s="24" t="n"/>
      <c r="B261" s="22" t="n"/>
      <c r="C261" s="22" t="n"/>
      <c r="D261" s="23" t="n"/>
      <c r="E261" s="23" t="n"/>
      <c r="F261" s="22" t="n"/>
      <c r="G261" s="22" t="n"/>
      <c r="H261" s="22" t="n"/>
      <c r="I261" s="24" t="n"/>
      <c r="J261" s="22" t="n"/>
      <c r="K261" s="22" t="n"/>
      <c r="L261" s="23" t="n"/>
    </row>
    <row r="262">
      <c r="A262" s="24" t="n"/>
      <c r="B262" s="22" t="n"/>
      <c r="C262" s="22" t="n"/>
      <c r="D262" s="23" t="n"/>
      <c r="E262" s="23" t="n"/>
      <c r="F262" s="22" t="n"/>
      <c r="G262" s="22" t="n"/>
      <c r="H262" s="22" t="n"/>
      <c r="I262" s="24" t="n"/>
      <c r="J262" s="22" t="n"/>
      <c r="K262" s="22" t="n"/>
      <c r="L262" s="23" t="n"/>
    </row>
    <row r="263">
      <c r="A263" s="24" t="n"/>
      <c r="B263" s="22" t="n"/>
      <c r="C263" s="22" t="n"/>
      <c r="D263" s="23" t="n"/>
      <c r="E263" s="23" t="n"/>
      <c r="F263" s="22" t="n"/>
      <c r="G263" s="22" t="n"/>
      <c r="H263" s="22" t="n"/>
      <c r="I263" s="24" t="n"/>
      <c r="J263" s="22" t="n"/>
      <c r="K263" s="22" t="n"/>
      <c r="L263" s="23" t="n"/>
    </row>
    <row r="264">
      <c r="A264" s="24" t="n"/>
      <c r="B264" s="22" t="n"/>
      <c r="C264" s="22" t="n"/>
      <c r="D264" s="23" t="n"/>
      <c r="E264" s="23" t="n"/>
      <c r="F264" s="22" t="n"/>
      <c r="G264" s="22" t="n"/>
      <c r="H264" s="22" t="n"/>
      <c r="I264" s="24" t="n"/>
      <c r="J264" s="22" t="n"/>
      <c r="K264" s="22" t="n"/>
      <c r="L264" s="23" t="n"/>
    </row>
    <row r="265">
      <c r="A265" s="24" t="n"/>
      <c r="B265" s="22" t="n"/>
      <c r="C265" s="22" t="n"/>
      <c r="D265" s="23" t="n"/>
      <c r="E265" s="23" t="n"/>
      <c r="F265" s="22" t="n"/>
      <c r="G265" s="22" t="n"/>
      <c r="H265" s="22" t="n"/>
      <c r="I265" s="24" t="n"/>
      <c r="J265" s="22" t="n"/>
      <c r="K265" s="22" t="n"/>
      <c r="L265" s="23" t="n"/>
    </row>
    <row r="266">
      <c r="A266" s="24" t="n"/>
      <c r="B266" s="22" t="n"/>
      <c r="C266" s="22" t="n"/>
      <c r="D266" s="23" t="n"/>
      <c r="E266" s="23" t="n"/>
      <c r="F266" s="22" t="n"/>
      <c r="G266" s="22" t="n"/>
      <c r="H266" s="22" t="n"/>
      <c r="I266" s="24" t="n"/>
      <c r="J266" s="22" t="n"/>
      <c r="K266" s="22" t="n"/>
      <c r="L266" s="23" t="n"/>
    </row>
    <row r="267">
      <c r="A267" s="24" t="n"/>
      <c r="B267" s="22" t="n"/>
      <c r="C267" s="22" t="n"/>
      <c r="D267" s="23" t="n"/>
      <c r="E267" s="23" t="n"/>
      <c r="F267" s="22" t="n"/>
      <c r="G267" s="22" t="n"/>
      <c r="H267" s="22" t="n"/>
      <c r="I267" s="24" t="n"/>
      <c r="J267" s="22" t="n"/>
      <c r="K267" s="22" t="n"/>
      <c r="L267" s="23" t="n"/>
    </row>
    <row r="268">
      <c r="A268" s="24" t="n"/>
      <c r="B268" s="22" t="n"/>
      <c r="C268" s="22" t="n"/>
      <c r="D268" s="23" t="n"/>
      <c r="E268" s="23" t="n"/>
      <c r="F268" s="22" t="n"/>
      <c r="G268" s="22" t="n"/>
      <c r="H268" s="22" t="n"/>
      <c r="I268" s="24" t="n"/>
      <c r="J268" s="22" t="n"/>
      <c r="K268" s="22" t="n"/>
      <c r="L268" s="23" t="n"/>
    </row>
    <row r="269">
      <c r="A269" s="24" t="n"/>
      <c r="B269" s="22" t="n"/>
      <c r="C269" s="22" t="n"/>
      <c r="D269" s="23" t="n"/>
      <c r="E269" s="23" t="n"/>
      <c r="F269" s="22" t="n"/>
      <c r="G269" s="22" t="n"/>
      <c r="H269" s="22" t="n"/>
      <c r="I269" s="24" t="n"/>
      <c r="J269" s="22" t="n"/>
      <c r="K269" s="22" t="n"/>
      <c r="L269" s="23" t="n"/>
    </row>
    <row r="270">
      <c r="A270" s="24" t="n"/>
      <c r="B270" s="22" t="n"/>
      <c r="C270" s="22" t="n"/>
      <c r="D270" s="23" t="n"/>
      <c r="E270" s="23" t="n"/>
      <c r="F270" s="22" t="n"/>
      <c r="G270" s="22" t="n"/>
      <c r="H270" s="22" t="n"/>
      <c r="I270" s="24" t="n"/>
      <c r="J270" s="22" t="n"/>
      <c r="K270" s="22" t="n"/>
      <c r="L270" s="23" t="n"/>
    </row>
    <row r="271">
      <c r="A271" s="24" t="n"/>
      <c r="B271" s="22" t="n"/>
      <c r="C271" s="22" t="n"/>
      <c r="D271" s="23" t="n"/>
      <c r="E271" s="23" t="n"/>
      <c r="F271" s="22" t="n"/>
      <c r="G271" s="22" t="n"/>
      <c r="H271" s="22" t="n"/>
      <c r="I271" s="24" t="n"/>
      <c r="J271" s="22" t="n"/>
      <c r="K271" s="22" t="n"/>
      <c r="L271" s="23" t="n"/>
    </row>
    <row r="272">
      <c r="A272" s="24" t="n"/>
      <c r="B272" s="22" t="n"/>
      <c r="C272" s="22" t="n"/>
      <c r="D272" s="23" t="n"/>
      <c r="E272" s="23" t="n"/>
      <c r="F272" s="22" t="n"/>
      <c r="G272" s="22" t="n"/>
      <c r="H272" s="22" t="n"/>
      <c r="I272" s="24" t="n"/>
      <c r="J272" s="22" t="n"/>
      <c r="K272" s="22" t="n"/>
      <c r="L272" s="23" t="n"/>
    </row>
    <row r="273">
      <c r="A273" s="24" t="n"/>
      <c r="B273" s="22" t="n"/>
      <c r="C273" s="22" t="n"/>
      <c r="D273" s="23" t="n"/>
      <c r="E273" s="23" t="n"/>
      <c r="F273" s="22" t="n"/>
      <c r="G273" s="22" t="n"/>
      <c r="H273" s="22" t="n"/>
      <c r="I273" s="24" t="n"/>
      <c r="J273" s="22" t="n"/>
      <c r="K273" s="22" t="n"/>
      <c r="L273" s="23" t="n"/>
    </row>
    <row r="274">
      <c r="A274" s="24" t="n"/>
      <c r="B274" s="22" t="n"/>
      <c r="C274" s="22" t="n"/>
      <c r="D274" s="23" t="n"/>
      <c r="E274" s="23" t="n"/>
      <c r="F274" s="22" t="n"/>
      <c r="G274" s="22" t="n"/>
      <c r="H274" s="22" t="n"/>
      <c r="I274" s="24" t="n"/>
      <c r="J274" s="22" t="n"/>
      <c r="K274" s="22" t="n"/>
      <c r="L274" s="23" t="n"/>
    </row>
    <row r="275">
      <c r="A275" s="24" t="n"/>
      <c r="B275" s="22" t="n"/>
      <c r="C275" s="22" t="n"/>
      <c r="D275" s="23" t="n"/>
      <c r="E275" s="23" t="n"/>
      <c r="F275" s="22" t="n"/>
      <c r="G275" s="22" t="n"/>
      <c r="H275" s="22" t="n"/>
      <c r="I275" s="24" t="n"/>
      <c r="J275" s="22" t="n"/>
      <c r="K275" s="22" t="n"/>
      <c r="L275" s="23" t="n"/>
    </row>
    <row r="276">
      <c r="A276" s="24" t="n"/>
      <c r="B276" s="22" t="n"/>
      <c r="C276" s="22" t="n"/>
      <c r="D276" s="23" t="n"/>
      <c r="E276" s="23" t="n"/>
      <c r="F276" s="22" t="n"/>
      <c r="G276" s="22" t="n"/>
      <c r="H276" s="22" t="n"/>
      <c r="I276" s="24" t="n"/>
      <c r="J276" s="22" t="n"/>
      <c r="K276" s="22" t="n"/>
      <c r="L276" s="23" t="n"/>
    </row>
    <row r="277">
      <c r="A277" s="24" t="n"/>
      <c r="B277" s="22" t="n"/>
      <c r="C277" s="22" t="n"/>
      <c r="D277" s="23" t="n"/>
      <c r="E277" s="23" t="n"/>
      <c r="F277" s="22" t="n"/>
      <c r="G277" s="22" t="n"/>
      <c r="H277" s="22" t="n"/>
      <c r="I277" s="24" t="n"/>
      <c r="J277" s="22" t="n"/>
      <c r="K277" s="22" t="n"/>
      <c r="L277" s="23" t="n"/>
    </row>
    <row r="278">
      <c r="A278" s="24" t="n"/>
      <c r="B278" s="22" t="n"/>
      <c r="C278" s="22" t="n"/>
      <c r="D278" s="23" t="n"/>
      <c r="E278" s="23" t="n"/>
      <c r="F278" s="22" t="n"/>
      <c r="G278" s="22" t="n"/>
      <c r="H278" s="22" t="n"/>
      <c r="I278" s="24" t="n"/>
      <c r="J278" s="22" t="n"/>
      <c r="K278" s="22" t="n"/>
      <c r="L278" s="23" t="n"/>
    </row>
    <row r="279">
      <c r="A279" s="24" t="n"/>
      <c r="B279" s="22" t="n"/>
      <c r="C279" s="22" t="n"/>
      <c r="D279" s="23" t="n"/>
      <c r="E279" s="23" t="n"/>
      <c r="F279" s="22" t="n"/>
      <c r="G279" s="22" t="n"/>
      <c r="H279" s="22" t="n"/>
      <c r="I279" s="24" t="n"/>
      <c r="J279" s="22" t="n"/>
      <c r="K279" s="22" t="n"/>
      <c r="L279" s="23" t="n"/>
    </row>
    <row r="280">
      <c r="A280" s="24" t="n"/>
      <c r="B280" s="22" t="n"/>
      <c r="C280" s="22" t="n"/>
      <c r="D280" s="23" t="n"/>
      <c r="E280" s="23" t="n"/>
      <c r="F280" s="22" t="n"/>
      <c r="G280" s="22" t="n"/>
      <c r="H280" s="22" t="n"/>
      <c r="I280" s="24" t="n"/>
      <c r="J280" s="22" t="n"/>
      <c r="K280" s="22" t="n"/>
      <c r="L280" s="23" t="n"/>
    </row>
    <row r="281">
      <c r="A281" s="24" t="n"/>
      <c r="B281" s="22" t="n"/>
      <c r="C281" s="22" t="n"/>
      <c r="D281" s="23" t="n"/>
      <c r="E281" s="23" t="n"/>
      <c r="F281" s="22" t="n"/>
      <c r="G281" s="22" t="n"/>
      <c r="H281" s="22" t="n"/>
      <c r="I281" s="24" t="n"/>
      <c r="J281" s="22" t="n"/>
      <c r="K281" s="22" t="n"/>
      <c r="L281" s="23" t="n"/>
    </row>
    <row r="282">
      <c r="A282" s="24" t="n"/>
      <c r="B282" s="22" t="n"/>
      <c r="C282" s="22" t="n"/>
      <c r="D282" s="23" t="n"/>
      <c r="E282" s="23" t="n"/>
      <c r="F282" s="22" t="n"/>
      <c r="G282" s="22" t="n"/>
      <c r="H282" s="22" t="n"/>
      <c r="I282" s="24" t="n"/>
      <c r="J282" s="22" t="n"/>
      <c r="K282" s="22" t="n"/>
      <c r="L282" s="23" t="n"/>
    </row>
    <row r="283">
      <c r="A283" s="24" t="n"/>
      <c r="B283" s="22" t="n"/>
      <c r="C283" s="22" t="n"/>
      <c r="D283" s="23" t="n"/>
      <c r="E283" s="23" t="n"/>
      <c r="F283" s="22" t="n"/>
      <c r="G283" s="22" t="n"/>
      <c r="H283" s="22" t="n"/>
      <c r="I283" s="24" t="n"/>
      <c r="J283" s="22" t="n"/>
      <c r="K283" s="22" t="n"/>
      <c r="L283" s="23" t="n"/>
    </row>
    <row r="284">
      <c r="A284" s="24" t="n"/>
      <c r="B284" s="22" t="n"/>
      <c r="C284" s="22" t="n"/>
      <c r="D284" s="23" t="n"/>
      <c r="E284" s="23" t="n"/>
      <c r="F284" s="22" t="n"/>
      <c r="G284" s="22" t="n"/>
      <c r="H284" s="22" t="n"/>
      <c r="I284" s="24" t="n"/>
      <c r="J284" s="22" t="n"/>
      <c r="K284" s="22" t="n"/>
      <c r="L284" s="23" t="n"/>
    </row>
    <row r="285">
      <c r="A285" s="24" t="n"/>
      <c r="B285" s="22" t="n"/>
      <c r="C285" s="22" t="n"/>
      <c r="D285" s="23" t="n"/>
      <c r="E285" s="23" t="n"/>
      <c r="F285" s="22" t="n"/>
      <c r="G285" s="22" t="n"/>
      <c r="H285" s="22" t="n"/>
      <c r="I285" s="24" t="n"/>
      <c r="J285" s="22" t="n"/>
      <c r="K285" s="22" t="n"/>
      <c r="L285" s="23" t="n"/>
    </row>
    <row r="286">
      <c r="A286" s="24" t="n"/>
      <c r="B286" s="22" t="n"/>
      <c r="C286" s="22" t="n"/>
      <c r="D286" s="23" t="n"/>
      <c r="E286" s="23" t="n"/>
      <c r="F286" s="22" t="n"/>
      <c r="G286" s="22" t="n"/>
      <c r="H286" s="22" t="n"/>
      <c r="I286" s="24" t="n"/>
      <c r="J286" s="22" t="n"/>
      <c r="K286" s="22" t="n"/>
      <c r="L286" s="23" t="n"/>
    </row>
    <row r="287">
      <c r="A287" s="24" t="n"/>
      <c r="B287" s="22" t="n"/>
      <c r="C287" s="22" t="n"/>
      <c r="D287" s="23" t="n"/>
      <c r="E287" s="23" t="n"/>
      <c r="F287" s="22" t="n"/>
      <c r="G287" s="22" t="n"/>
      <c r="H287" s="22" t="n"/>
      <c r="I287" s="24" t="n"/>
      <c r="J287" s="22" t="n"/>
      <c r="K287" s="22" t="n"/>
      <c r="L287" s="23" t="n"/>
    </row>
    <row r="288">
      <c r="A288" s="24" t="n"/>
      <c r="B288" s="22" t="n"/>
      <c r="C288" s="22" t="n"/>
      <c r="D288" s="23" t="n"/>
      <c r="E288" s="23" t="n"/>
      <c r="F288" s="22" t="n"/>
      <c r="G288" s="22" t="n"/>
      <c r="H288" s="22" t="n"/>
      <c r="I288" s="24" t="n"/>
      <c r="J288" s="22" t="n"/>
      <c r="K288" s="22" t="n"/>
      <c r="L288" s="23" t="n"/>
    </row>
    <row r="289">
      <c r="A289" s="24" t="n"/>
      <c r="B289" s="22" t="n"/>
      <c r="C289" s="22" t="n"/>
      <c r="D289" s="23" t="n"/>
      <c r="E289" s="23" t="n"/>
      <c r="F289" s="22" t="n"/>
      <c r="G289" s="22" t="n"/>
      <c r="H289" s="22" t="n"/>
      <c r="I289" s="24" t="n"/>
      <c r="J289" s="22" t="n"/>
      <c r="K289" s="22" t="n"/>
      <c r="L289" s="23" t="n"/>
    </row>
    <row r="290">
      <c r="A290" s="24" t="n"/>
      <c r="B290" s="22" t="n"/>
      <c r="C290" s="22" t="n"/>
      <c r="D290" s="23" t="n"/>
      <c r="E290" s="23" t="n"/>
      <c r="F290" s="22" t="n"/>
      <c r="G290" s="22" t="n"/>
      <c r="H290" s="22" t="n"/>
      <c r="I290" s="24" t="n"/>
      <c r="J290" s="22" t="n"/>
      <c r="K290" s="22" t="n"/>
      <c r="L290" s="23" t="n"/>
    </row>
    <row r="291">
      <c r="A291" s="24" t="n"/>
      <c r="B291" s="22" t="n"/>
      <c r="C291" s="22" t="n"/>
      <c r="D291" s="23" t="n"/>
      <c r="E291" s="23" t="n"/>
      <c r="F291" s="22" t="n"/>
      <c r="G291" s="22" t="n"/>
      <c r="H291" s="22" t="n"/>
      <c r="I291" s="24" t="n"/>
      <c r="J291" s="22" t="n"/>
      <c r="K291" s="22" t="n"/>
      <c r="L291" s="23" t="n"/>
    </row>
    <row r="292">
      <c r="A292" s="24" t="n"/>
      <c r="B292" s="22" t="n"/>
      <c r="C292" s="22" t="n"/>
      <c r="D292" s="23" t="n"/>
      <c r="E292" s="23" t="n"/>
      <c r="F292" s="22" t="n"/>
      <c r="G292" s="22" t="n"/>
      <c r="H292" s="22" t="n"/>
      <c r="I292" s="24" t="n"/>
      <c r="J292" s="22" t="n"/>
      <c r="K292" s="22" t="n"/>
      <c r="L292" s="23" t="n"/>
    </row>
    <row r="293">
      <c r="A293" s="24" t="n"/>
      <c r="B293" s="22" t="n"/>
      <c r="C293" s="22" t="n"/>
      <c r="D293" s="23" t="n"/>
      <c r="E293" s="23" t="n"/>
      <c r="F293" s="22" t="n"/>
      <c r="G293" s="22" t="n"/>
      <c r="H293" s="22" t="n"/>
      <c r="I293" s="24" t="n"/>
      <c r="J293" s="22" t="n"/>
      <c r="K293" s="22" t="n"/>
      <c r="L293" s="23" t="n"/>
    </row>
    <row r="294">
      <c r="A294" s="24" t="n"/>
      <c r="B294" s="22" t="n"/>
      <c r="C294" s="22" t="n"/>
      <c r="D294" s="23" t="n"/>
      <c r="E294" s="23" t="n"/>
      <c r="F294" s="22" t="n"/>
      <c r="G294" s="22" t="n"/>
      <c r="H294" s="22" t="n"/>
      <c r="I294" s="24" t="n"/>
      <c r="J294" s="22" t="n"/>
      <c r="K294" s="22" t="n"/>
      <c r="L294" s="23" t="n"/>
    </row>
    <row r="295">
      <c r="A295" s="24" t="n"/>
      <c r="B295" s="22" t="n"/>
      <c r="C295" s="22" t="n"/>
      <c r="D295" s="23" t="n"/>
      <c r="E295" s="23" t="n"/>
      <c r="F295" s="22" t="n"/>
      <c r="G295" s="22" t="n"/>
      <c r="H295" s="22" t="n"/>
      <c r="I295" s="24" t="n"/>
      <c r="J295" s="22" t="n"/>
      <c r="K295" s="22" t="n"/>
      <c r="L295" s="23" t="n"/>
    </row>
    <row r="296">
      <c r="A296" s="24" t="n"/>
      <c r="B296" s="22" t="n"/>
      <c r="C296" s="22" t="n"/>
      <c r="D296" s="23" t="n"/>
      <c r="E296" s="23" t="n"/>
      <c r="F296" s="22" t="n"/>
      <c r="G296" s="22" t="n"/>
      <c r="H296" s="22" t="n"/>
      <c r="I296" s="24" t="n"/>
      <c r="J296" s="22" t="n"/>
      <c r="K296" s="22" t="n"/>
      <c r="L296" s="23" t="n"/>
    </row>
    <row r="297">
      <c r="A297" s="24" t="n"/>
      <c r="B297" s="22" t="n"/>
      <c r="C297" s="22" t="n"/>
      <c r="D297" s="23" t="n"/>
      <c r="E297" s="23" t="n"/>
      <c r="F297" s="22" t="n"/>
      <c r="G297" s="22" t="n"/>
      <c r="H297" s="22" t="n"/>
      <c r="I297" s="24" t="n"/>
      <c r="J297" s="22" t="n"/>
      <c r="K297" s="22" t="n"/>
      <c r="L297" s="23" t="n"/>
    </row>
    <row r="298">
      <c r="A298" s="24" t="n"/>
      <c r="B298" s="22" t="n"/>
      <c r="C298" s="22" t="n"/>
      <c r="D298" s="23" t="n"/>
      <c r="E298" s="23" t="n"/>
      <c r="F298" s="22" t="n"/>
      <c r="G298" s="22" t="n"/>
      <c r="H298" s="22" t="n"/>
      <c r="I298" s="24" t="n"/>
      <c r="J298" s="22" t="n"/>
      <c r="K298" s="22" t="n"/>
      <c r="L298" s="23" t="n"/>
    </row>
    <row r="299">
      <c r="A299" s="24" t="n"/>
      <c r="B299" s="22" t="n"/>
      <c r="C299" s="22" t="n"/>
      <c r="D299" s="23" t="n"/>
      <c r="E299" s="23" t="n"/>
      <c r="F299" s="22" t="n"/>
      <c r="G299" s="22" t="n"/>
      <c r="H299" s="22" t="n"/>
      <c r="I299" s="24" t="n"/>
      <c r="J299" s="22" t="n"/>
      <c r="K299" s="22" t="n"/>
      <c r="L299" s="23" t="n"/>
    </row>
    <row r="300">
      <c r="A300" s="24" t="n"/>
      <c r="B300" s="22" t="n"/>
      <c r="C300" s="22" t="n"/>
      <c r="D300" s="23" t="n"/>
      <c r="E300" s="23" t="n"/>
      <c r="F300" s="22" t="n"/>
      <c r="G300" s="22" t="n"/>
      <c r="H300" s="22" t="n"/>
      <c r="I300" s="24" t="n"/>
      <c r="J300" s="22" t="n"/>
      <c r="K300" s="22" t="n"/>
      <c r="L300" s="23" t="n"/>
    </row>
    <row r="301">
      <c r="A301" s="24" t="n"/>
      <c r="B301" s="22" t="n"/>
      <c r="C301" s="22" t="n"/>
      <c r="D301" s="23" t="n"/>
      <c r="E301" s="23" t="n"/>
      <c r="F301" s="22" t="n"/>
      <c r="G301" s="22" t="n"/>
      <c r="H301" s="22" t="n"/>
      <c r="I301" s="24" t="n"/>
      <c r="J301" s="22" t="n"/>
      <c r="K301" s="22" t="n"/>
      <c r="L301" s="23" t="n"/>
    </row>
    <row r="302">
      <c r="A302" s="24" t="n"/>
      <c r="B302" s="22" t="n"/>
      <c r="C302" s="22" t="n"/>
      <c r="D302" s="23" t="n"/>
      <c r="E302" s="23" t="n"/>
      <c r="F302" s="22" t="n"/>
      <c r="G302" s="22" t="n"/>
      <c r="H302" s="22" t="n"/>
      <c r="I302" s="24" t="n"/>
      <c r="J302" s="22" t="n"/>
      <c r="K302" s="22" t="n"/>
      <c r="L302" s="23" t="n"/>
    </row>
    <row r="303">
      <c r="A303" s="24" t="n"/>
      <c r="B303" s="22" t="n"/>
      <c r="C303" s="22" t="n"/>
      <c r="D303" s="23" t="n"/>
      <c r="E303" s="23" t="n"/>
      <c r="F303" s="22" t="n"/>
      <c r="G303" s="22" t="n"/>
      <c r="H303" s="22" t="n"/>
      <c r="I303" s="24" t="n"/>
      <c r="J303" s="22" t="n"/>
      <c r="K303" s="22" t="n"/>
      <c r="L303" s="23" t="n"/>
    </row>
  </sheetData>
  <sheetProtection selectLockedCells="0" selectUnlockedCells="0" sheet="1" objects="0" insertRows="0" insertHyperlinks="0" autoFilter="0" scenarios="0" formatColumns="0" deleteColumns="1" insertColumns="1" pivotTables="1" deleteRows="0" formatCells="0" formatRows="0" sort="0"/>
  <autoFilter ref="A3:L303"/>
  <conditionalFormatting sqref="J4:J303">
    <cfRule type="cellIs" priority="1" operator="equal" dxfId="1">
      <formula>"No"</formula>
    </cfRule>
  </conditionalFormatting>
  <dataValidations count="3">
    <dataValidation sqref="B4:B303" showDropDown="0" showInputMessage="0" showErrorMessage="0" allowBlank="1" error="Pick a value from the list." type="list" errorStyle="warning">
      <formula1>=Lists!$J$2:$J$7</formula1>
    </dataValidation>
    <dataValidation sqref="G4:G303" showDropDown="0" showInputMessage="0" showErrorMessage="0" allowBlank="1" error="Pick a value from the list." type="list" errorStyle="warning">
      <formula1>='Packages'!$B$4:$B$33</formula1>
    </dataValidation>
    <dataValidation sqref="J4:J303" showDropDown="0" showInputMessage="0" showErrorMessage="0" allowBlank="1" error="Pick a value from the list." type="list" errorStyle="warning">
      <formula1>=Lists!$B$2:$B$3</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30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2" customWidth="1" min="1" max="1"/>
    <col width="8" customWidth="1" min="2" max="2"/>
    <col width="26" customWidth="1" min="3" max="3"/>
    <col width="14" customWidth="1" min="4" max="4"/>
    <col width="11" customWidth="1" min="5" max="5"/>
    <col width="40" customWidth="1" min="6" max="6"/>
    <col width="26" customWidth="1" min="7" max="7"/>
    <col width="30" customWidth="1" min="8" max="8"/>
    <col width="28" customWidth="1" min="9" max="9"/>
  </cols>
  <sheetData>
    <row r="1" ht="24" customHeight="1">
      <c r="A1" s="1" t="inlineStr">
        <is>
          <t>Site photo log</t>
        </is>
      </c>
    </row>
    <row r="2">
      <c r="A2" s="2" t="inlineStr">
        <is>
          <t>Photograph everything before it's covered: slab mesh, frame, plumbing, insulation, waterproofing. Save the files in 06 Site Diary &amp; Photos and log them here.</t>
        </is>
      </c>
    </row>
    <row r="3" ht="32" customHeight="1">
      <c r="A3" s="20" t="inlineStr">
        <is>
          <t>Date</t>
        </is>
      </c>
      <c r="B3" s="20" t="inlineStr">
        <is>
          <t>Stage</t>
        </is>
      </c>
      <c r="C3" s="20" t="inlineStr">
        <is>
          <t>Location / element</t>
        </is>
      </c>
      <c r="D3" s="20" t="inlineStr">
        <is>
          <t>Hold point</t>
        </is>
      </c>
      <c r="E3" s="20" t="inlineStr">
        <is>
          <t>Before covering?</t>
        </is>
      </c>
      <c r="F3" s="20" t="inlineStr">
        <is>
          <t>Description</t>
        </is>
      </c>
      <c r="G3" s="20" t="inlineStr">
        <is>
          <t>Doc ID / file name</t>
        </is>
      </c>
      <c r="H3" s="20" t="inlineStr">
        <is>
          <t>Google Drive link</t>
        </is>
      </c>
      <c r="I3" s="20" t="inlineStr">
        <is>
          <t>Notes</t>
        </is>
      </c>
    </row>
    <row r="4">
      <c r="A4" s="32" t="n"/>
      <c r="B4" s="27" t="inlineStr">
        <is>
          <t>G4</t>
        </is>
      </c>
      <c r="C4" s="27" t="inlineStr">
        <is>
          <t>Slab, north side</t>
        </is>
      </c>
      <c r="D4" s="27" t="inlineStr">
        <is>
          <t>Pre-slab</t>
        </is>
      </c>
      <c r="E4" s="27" t="inlineStr">
        <is>
          <t>Yes</t>
        </is>
      </c>
      <c r="F4" s="29" t="inlineStr">
        <is>
          <t>Mesh, bar chairs and edge beam before pour</t>
        </is>
      </c>
      <c r="G4" s="27" t="inlineStr">
        <is>
          <t>06-PHO-001_Slab-mesh-north</t>
        </is>
      </c>
      <c r="H4" s="27" t="n"/>
      <c r="I4" s="29" t="inlineStr">
        <is>
          <t>EXAMPLE: delete this row</t>
        </is>
      </c>
    </row>
    <row r="5">
      <c r="A5" s="24" t="n"/>
      <c r="B5" s="22" t="n"/>
      <c r="C5" s="22" t="n"/>
      <c r="D5" s="22" t="n"/>
      <c r="E5" s="22" t="n"/>
      <c r="F5" s="23" t="n"/>
      <c r="G5" s="22" t="n"/>
      <c r="H5" s="22" t="n"/>
      <c r="I5" s="23" t="n"/>
    </row>
    <row r="6">
      <c r="A6" s="24" t="n"/>
      <c r="B6" s="22" t="n"/>
      <c r="C6" s="22" t="n"/>
      <c r="D6" s="22" t="n"/>
      <c r="E6" s="22" t="n"/>
      <c r="F6" s="23" t="n"/>
      <c r="G6" s="22" t="n"/>
      <c r="H6" s="22" t="n"/>
      <c r="I6" s="23" t="n"/>
    </row>
    <row r="7">
      <c r="A7" s="24" t="n"/>
      <c r="B7" s="22" t="n"/>
      <c r="C7" s="22" t="n"/>
      <c r="D7" s="22" t="n"/>
      <c r="E7" s="22" t="n"/>
      <c r="F7" s="23" t="n"/>
      <c r="G7" s="22" t="n"/>
      <c r="H7" s="22" t="n"/>
      <c r="I7" s="23" t="n"/>
    </row>
    <row r="8">
      <c r="A8" s="24" t="n"/>
      <c r="B8" s="22" t="n"/>
      <c r="C8" s="22" t="n"/>
      <c r="D8" s="22" t="n"/>
      <c r="E8" s="22" t="n"/>
      <c r="F8" s="23" t="n"/>
      <c r="G8" s="22" t="n"/>
      <c r="H8" s="22" t="n"/>
      <c r="I8" s="23" t="n"/>
    </row>
    <row r="9">
      <c r="A9" s="24" t="n"/>
      <c r="B9" s="22" t="n"/>
      <c r="C9" s="22" t="n"/>
      <c r="D9" s="22" t="n"/>
      <c r="E9" s="22" t="n"/>
      <c r="F9" s="23" t="n"/>
      <c r="G9" s="22" t="n"/>
      <c r="H9" s="22" t="n"/>
      <c r="I9" s="23" t="n"/>
    </row>
    <row r="10">
      <c r="A10" s="24" t="n"/>
      <c r="B10" s="22" t="n"/>
      <c r="C10" s="22" t="n"/>
      <c r="D10" s="22" t="n"/>
      <c r="E10" s="22" t="n"/>
      <c r="F10" s="23" t="n"/>
      <c r="G10" s="22" t="n"/>
      <c r="H10" s="22" t="n"/>
      <c r="I10" s="23" t="n"/>
    </row>
    <row r="11">
      <c r="A11" s="24" t="n"/>
      <c r="B11" s="22" t="n"/>
      <c r="C11" s="22" t="n"/>
      <c r="D11" s="22" t="n"/>
      <c r="E11" s="22" t="n"/>
      <c r="F11" s="23" t="n"/>
      <c r="G11" s="22" t="n"/>
      <c r="H11" s="22" t="n"/>
      <c r="I11" s="23" t="n"/>
    </row>
    <row r="12">
      <c r="A12" s="24" t="n"/>
      <c r="B12" s="22" t="n"/>
      <c r="C12" s="22" t="n"/>
      <c r="D12" s="22" t="n"/>
      <c r="E12" s="22" t="n"/>
      <c r="F12" s="23" t="n"/>
      <c r="G12" s="22" t="n"/>
      <c r="H12" s="22" t="n"/>
      <c r="I12" s="23" t="n"/>
    </row>
    <row r="13">
      <c r="A13" s="24" t="n"/>
      <c r="B13" s="22" t="n"/>
      <c r="C13" s="22" t="n"/>
      <c r="D13" s="22" t="n"/>
      <c r="E13" s="22" t="n"/>
      <c r="F13" s="23" t="n"/>
      <c r="G13" s="22" t="n"/>
      <c r="H13" s="22" t="n"/>
      <c r="I13" s="23" t="n"/>
    </row>
    <row r="14">
      <c r="A14" s="24" t="n"/>
      <c r="B14" s="22" t="n"/>
      <c r="C14" s="22" t="n"/>
      <c r="D14" s="22" t="n"/>
      <c r="E14" s="22" t="n"/>
      <c r="F14" s="23" t="n"/>
      <c r="G14" s="22" t="n"/>
      <c r="H14" s="22" t="n"/>
      <c r="I14" s="23" t="n"/>
    </row>
    <row r="15">
      <c r="A15" s="24" t="n"/>
      <c r="B15" s="22" t="n"/>
      <c r="C15" s="22" t="n"/>
      <c r="D15" s="22" t="n"/>
      <c r="E15" s="22" t="n"/>
      <c r="F15" s="23" t="n"/>
      <c r="G15" s="22" t="n"/>
      <c r="H15" s="22" t="n"/>
      <c r="I15" s="23" t="n"/>
    </row>
    <row r="16">
      <c r="A16" s="24" t="n"/>
      <c r="B16" s="22" t="n"/>
      <c r="C16" s="22" t="n"/>
      <c r="D16" s="22" t="n"/>
      <c r="E16" s="22" t="n"/>
      <c r="F16" s="23" t="n"/>
      <c r="G16" s="22" t="n"/>
      <c r="H16" s="22" t="n"/>
      <c r="I16" s="23" t="n"/>
    </row>
    <row r="17">
      <c r="A17" s="24" t="n"/>
      <c r="B17" s="22" t="n"/>
      <c r="C17" s="22" t="n"/>
      <c r="D17" s="22" t="n"/>
      <c r="E17" s="22" t="n"/>
      <c r="F17" s="23" t="n"/>
      <c r="G17" s="22" t="n"/>
      <c r="H17" s="22" t="n"/>
      <c r="I17" s="23" t="n"/>
    </row>
    <row r="18">
      <c r="A18" s="24" t="n"/>
      <c r="B18" s="22" t="n"/>
      <c r="C18" s="22" t="n"/>
      <c r="D18" s="22" t="n"/>
      <c r="E18" s="22" t="n"/>
      <c r="F18" s="23" t="n"/>
      <c r="G18" s="22" t="n"/>
      <c r="H18" s="22" t="n"/>
      <c r="I18" s="23" t="n"/>
    </row>
    <row r="19">
      <c r="A19" s="24" t="n"/>
      <c r="B19" s="22" t="n"/>
      <c r="C19" s="22" t="n"/>
      <c r="D19" s="22" t="n"/>
      <c r="E19" s="22" t="n"/>
      <c r="F19" s="23" t="n"/>
      <c r="G19" s="22" t="n"/>
      <c r="H19" s="22" t="n"/>
      <c r="I19" s="23" t="n"/>
    </row>
    <row r="20">
      <c r="A20" s="24" t="n"/>
      <c r="B20" s="22" t="n"/>
      <c r="C20" s="22" t="n"/>
      <c r="D20" s="22" t="n"/>
      <c r="E20" s="22" t="n"/>
      <c r="F20" s="23" t="n"/>
      <c r="G20" s="22" t="n"/>
      <c r="H20" s="22" t="n"/>
      <c r="I20" s="23" t="n"/>
    </row>
    <row r="21">
      <c r="A21" s="24" t="n"/>
      <c r="B21" s="22" t="n"/>
      <c r="C21" s="22" t="n"/>
      <c r="D21" s="22" t="n"/>
      <c r="E21" s="22" t="n"/>
      <c r="F21" s="23" t="n"/>
      <c r="G21" s="22" t="n"/>
      <c r="H21" s="22" t="n"/>
      <c r="I21" s="23" t="n"/>
    </row>
    <row r="22">
      <c r="A22" s="24" t="n"/>
      <c r="B22" s="22" t="n"/>
      <c r="C22" s="22" t="n"/>
      <c r="D22" s="22" t="n"/>
      <c r="E22" s="22" t="n"/>
      <c r="F22" s="23" t="n"/>
      <c r="G22" s="22" t="n"/>
      <c r="H22" s="22" t="n"/>
      <c r="I22" s="23" t="n"/>
    </row>
    <row r="23">
      <c r="A23" s="24" t="n"/>
      <c r="B23" s="22" t="n"/>
      <c r="C23" s="22" t="n"/>
      <c r="D23" s="22" t="n"/>
      <c r="E23" s="22" t="n"/>
      <c r="F23" s="23" t="n"/>
      <c r="G23" s="22" t="n"/>
      <c r="H23" s="22" t="n"/>
      <c r="I23" s="23" t="n"/>
    </row>
    <row r="24">
      <c r="A24" s="24" t="n"/>
      <c r="B24" s="22" t="n"/>
      <c r="C24" s="22" t="n"/>
      <c r="D24" s="22" t="n"/>
      <c r="E24" s="22" t="n"/>
      <c r="F24" s="23" t="n"/>
      <c r="G24" s="22" t="n"/>
      <c r="H24" s="22" t="n"/>
      <c r="I24" s="23" t="n"/>
    </row>
    <row r="25">
      <c r="A25" s="24" t="n"/>
      <c r="B25" s="22" t="n"/>
      <c r="C25" s="22" t="n"/>
      <c r="D25" s="22" t="n"/>
      <c r="E25" s="22" t="n"/>
      <c r="F25" s="23" t="n"/>
      <c r="G25" s="22" t="n"/>
      <c r="H25" s="22" t="n"/>
      <c r="I25" s="23" t="n"/>
    </row>
    <row r="26">
      <c r="A26" s="24" t="n"/>
      <c r="B26" s="22" t="n"/>
      <c r="C26" s="22" t="n"/>
      <c r="D26" s="22" t="n"/>
      <c r="E26" s="22" t="n"/>
      <c r="F26" s="23" t="n"/>
      <c r="G26" s="22" t="n"/>
      <c r="H26" s="22" t="n"/>
      <c r="I26" s="23" t="n"/>
    </row>
    <row r="27">
      <c r="A27" s="24" t="n"/>
      <c r="B27" s="22" t="n"/>
      <c r="C27" s="22" t="n"/>
      <c r="D27" s="22" t="n"/>
      <c r="E27" s="22" t="n"/>
      <c r="F27" s="23" t="n"/>
      <c r="G27" s="22" t="n"/>
      <c r="H27" s="22" t="n"/>
      <c r="I27" s="23" t="n"/>
    </row>
    <row r="28">
      <c r="A28" s="24" t="n"/>
      <c r="B28" s="22" t="n"/>
      <c r="C28" s="22" t="n"/>
      <c r="D28" s="22" t="n"/>
      <c r="E28" s="22" t="n"/>
      <c r="F28" s="23" t="n"/>
      <c r="G28" s="22" t="n"/>
      <c r="H28" s="22" t="n"/>
      <c r="I28" s="23" t="n"/>
    </row>
    <row r="29">
      <c r="A29" s="24" t="n"/>
      <c r="B29" s="22" t="n"/>
      <c r="C29" s="22" t="n"/>
      <c r="D29" s="22" t="n"/>
      <c r="E29" s="22" t="n"/>
      <c r="F29" s="23" t="n"/>
      <c r="G29" s="22" t="n"/>
      <c r="H29" s="22" t="n"/>
      <c r="I29" s="23" t="n"/>
    </row>
    <row r="30">
      <c r="A30" s="24" t="n"/>
      <c r="B30" s="22" t="n"/>
      <c r="C30" s="22" t="n"/>
      <c r="D30" s="22" t="n"/>
      <c r="E30" s="22" t="n"/>
      <c r="F30" s="23" t="n"/>
      <c r="G30" s="22" t="n"/>
      <c r="H30" s="22" t="n"/>
      <c r="I30" s="23" t="n"/>
    </row>
    <row r="31">
      <c r="A31" s="24" t="n"/>
      <c r="B31" s="22" t="n"/>
      <c r="C31" s="22" t="n"/>
      <c r="D31" s="22" t="n"/>
      <c r="E31" s="22" t="n"/>
      <c r="F31" s="23" t="n"/>
      <c r="G31" s="22" t="n"/>
      <c r="H31" s="22" t="n"/>
      <c r="I31" s="23" t="n"/>
    </row>
    <row r="32">
      <c r="A32" s="24" t="n"/>
      <c r="B32" s="22" t="n"/>
      <c r="C32" s="22" t="n"/>
      <c r="D32" s="22" t="n"/>
      <c r="E32" s="22" t="n"/>
      <c r="F32" s="23" t="n"/>
      <c r="G32" s="22" t="n"/>
      <c r="H32" s="22" t="n"/>
      <c r="I32" s="23" t="n"/>
    </row>
    <row r="33">
      <c r="A33" s="24" t="n"/>
      <c r="B33" s="22" t="n"/>
      <c r="C33" s="22" t="n"/>
      <c r="D33" s="22" t="n"/>
      <c r="E33" s="22" t="n"/>
      <c r="F33" s="23" t="n"/>
      <c r="G33" s="22" t="n"/>
      <c r="H33" s="22" t="n"/>
      <c r="I33" s="23" t="n"/>
    </row>
    <row r="34">
      <c r="A34" s="24" t="n"/>
      <c r="B34" s="22" t="n"/>
      <c r="C34" s="22" t="n"/>
      <c r="D34" s="22" t="n"/>
      <c r="E34" s="22" t="n"/>
      <c r="F34" s="23" t="n"/>
      <c r="G34" s="22" t="n"/>
      <c r="H34" s="22" t="n"/>
      <c r="I34" s="23" t="n"/>
    </row>
    <row r="35">
      <c r="A35" s="24" t="n"/>
      <c r="B35" s="22" t="n"/>
      <c r="C35" s="22" t="n"/>
      <c r="D35" s="22" t="n"/>
      <c r="E35" s="22" t="n"/>
      <c r="F35" s="23" t="n"/>
      <c r="G35" s="22" t="n"/>
      <c r="H35" s="22" t="n"/>
      <c r="I35" s="23" t="n"/>
    </row>
    <row r="36">
      <c r="A36" s="24" t="n"/>
      <c r="B36" s="22" t="n"/>
      <c r="C36" s="22" t="n"/>
      <c r="D36" s="22" t="n"/>
      <c r="E36" s="22" t="n"/>
      <c r="F36" s="23" t="n"/>
      <c r="G36" s="22" t="n"/>
      <c r="H36" s="22" t="n"/>
      <c r="I36" s="23" t="n"/>
    </row>
    <row r="37">
      <c r="A37" s="24" t="n"/>
      <c r="B37" s="22" t="n"/>
      <c r="C37" s="22" t="n"/>
      <c r="D37" s="22" t="n"/>
      <c r="E37" s="22" t="n"/>
      <c r="F37" s="23" t="n"/>
      <c r="G37" s="22" t="n"/>
      <c r="H37" s="22" t="n"/>
      <c r="I37" s="23" t="n"/>
    </row>
    <row r="38">
      <c r="A38" s="24" t="n"/>
      <c r="B38" s="22" t="n"/>
      <c r="C38" s="22" t="n"/>
      <c r="D38" s="22" t="n"/>
      <c r="E38" s="22" t="n"/>
      <c r="F38" s="23" t="n"/>
      <c r="G38" s="22" t="n"/>
      <c r="H38" s="22" t="n"/>
      <c r="I38" s="23" t="n"/>
    </row>
    <row r="39">
      <c r="A39" s="24" t="n"/>
      <c r="B39" s="22" t="n"/>
      <c r="C39" s="22" t="n"/>
      <c r="D39" s="22" t="n"/>
      <c r="E39" s="22" t="n"/>
      <c r="F39" s="23" t="n"/>
      <c r="G39" s="22" t="n"/>
      <c r="H39" s="22" t="n"/>
      <c r="I39" s="23" t="n"/>
    </row>
    <row r="40">
      <c r="A40" s="24" t="n"/>
      <c r="B40" s="22" t="n"/>
      <c r="C40" s="22" t="n"/>
      <c r="D40" s="22" t="n"/>
      <c r="E40" s="22" t="n"/>
      <c r="F40" s="23" t="n"/>
      <c r="G40" s="22" t="n"/>
      <c r="H40" s="22" t="n"/>
      <c r="I40" s="23" t="n"/>
    </row>
    <row r="41">
      <c r="A41" s="24" t="n"/>
      <c r="B41" s="22" t="n"/>
      <c r="C41" s="22" t="n"/>
      <c r="D41" s="22" t="n"/>
      <c r="E41" s="22" t="n"/>
      <c r="F41" s="23" t="n"/>
      <c r="G41" s="22" t="n"/>
      <c r="H41" s="22" t="n"/>
      <c r="I41" s="23" t="n"/>
    </row>
    <row r="42">
      <c r="A42" s="24" t="n"/>
      <c r="B42" s="22" t="n"/>
      <c r="C42" s="22" t="n"/>
      <c r="D42" s="22" t="n"/>
      <c r="E42" s="22" t="n"/>
      <c r="F42" s="23" t="n"/>
      <c r="G42" s="22" t="n"/>
      <c r="H42" s="22" t="n"/>
      <c r="I42" s="23" t="n"/>
    </row>
    <row r="43">
      <c r="A43" s="24" t="n"/>
      <c r="B43" s="22" t="n"/>
      <c r="C43" s="22" t="n"/>
      <c r="D43" s="22" t="n"/>
      <c r="E43" s="22" t="n"/>
      <c r="F43" s="23" t="n"/>
      <c r="G43" s="22" t="n"/>
      <c r="H43" s="22" t="n"/>
      <c r="I43" s="23" t="n"/>
    </row>
    <row r="44">
      <c r="A44" s="24" t="n"/>
      <c r="B44" s="22" t="n"/>
      <c r="C44" s="22" t="n"/>
      <c r="D44" s="22" t="n"/>
      <c r="E44" s="22" t="n"/>
      <c r="F44" s="23" t="n"/>
      <c r="G44" s="22" t="n"/>
      <c r="H44" s="22" t="n"/>
      <c r="I44" s="23" t="n"/>
    </row>
    <row r="45">
      <c r="A45" s="24" t="n"/>
      <c r="B45" s="22" t="n"/>
      <c r="C45" s="22" t="n"/>
      <c r="D45" s="22" t="n"/>
      <c r="E45" s="22" t="n"/>
      <c r="F45" s="23" t="n"/>
      <c r="G45" s="22" t="n"/>
      <c r="H45" s="22" t="n"/>
      <c r="I45" s="23" t="n"/>
    </row>
    <row r="46">
      <c r="A46" s="24" t="n"/>
      <c r="B46" s="22" t="n"/>
      <c r="C46" s="22" t="n"/>
      <c r="D46" s="22" t="n"/>
      <c r="E46" s="22" t="n"/>
      <c r="F46" s="23" t="n"/>
      <c r="G46" s="22" t="n"/>
      <c r="H46" s="22" t="n"/>
      <c r="I46" s="23" t="n"/>
    </row>
    <row r="47">
      <c r="A47" s="24" t="n"/>
      <c r="B47" s="22" t="n"/>
      <c r="C47" s="22" t="n"/>
      <c r="D47" s="22" t="n"/>
      <c r="E47" s="22" t="n"/>
      <c r="F47" s="23" t="n"/>
      <c r="G47" s="22" t="n"/>
      <c r="H47" s="22" t="n"/>
      <c r="I47" s="23" t="n"/>
    </row>
    <row r="48">
      <c r="A48" s="24" t="n"/>
      <c r="B48" s="22" t="n"/>
      <c r="C48" s="22" t="n"/>
      <c r="D48" s="22" t="n"/>
      <c r="E48" s="22" t="n"/>
      <c r="F48" s="23" t="n"/>
      <c r="G48" s="22" t="n"/>
      <c r="H48" s="22" t="n"/>
      <c r="I48" s="23" t="n"/>
    </row>
    <row r="49">
      <c r="A49" s="24" t="n"/>
      <c r="B49" s="22" t="n"/>
      <c r="C49" s="22" t="n"/>
      <c r="D49" s="22" t="n"/>
      <c r="E49" s="22" t="n"/>
      <c r="F49" s="23" t="n"/>
      <c r="G49" s="22" t="n"/>
      <c r="H49" s="22" t="n"/>
      <c r="I49" s="23" t="n"/>
    </row>
    <row r="50">
      <c r="A50" s="24" t="n"/>
      <c r="B50" s="22" t="n"/>
      <c r="C50" s="22" t="n"/>
      <c r="D50" s="22" t="n"/>
      <c r="E50" s="22" t="n"/>
      <c r="F50" s="23" t="n"/>
      <c r="G50" s="22" t="n"/>
      <c r="H50" s="22" t="n"/>
      <c r="I50" s="23" t="n"/>
    </row>
    <row r="51">
      <c r="A51" s="24" t="n"/>
      <c r="B51" s="22" t="n"/>
      <c r="C51" s="22" t="n"/>
      <c r="D51" s="22" t="n"/>
      <c r="E51" s="22" t="n"/>
      <c r="F51" s="23" t="n"/>
      <c r="G51" s="22" t="n"/>
      <c r="H51" s="22" t="n"/>
      <c r="I51" s="23" t="n"/>
    </row>
    <row r="52">
      <c r="A52" s="24" t="n"/>
      <c r="B52" s="22" t="n"/>
      <c r="C52" s="22" t="n"/>
      <c r="D52" s="22" t="n"/>
      <c r="E52" s="22" t="n"/>
      <c r="F52" s="23" t="n"/>
      <c r="G52" s="22" t="n"/>
      <c r="H52" s="22" t="n"/>
      <c r="I52" s="23" t="n"/>
    </row>
    <row r="53">
      <c r="A53" s="24" t="n"/>
      <c r="B53" s="22" t="n"/>
      <c r="C53" s="22" t="n"/>
      <c r="D53" s="22" t="n"/>
      <c r="E53" s="22" t="n"/>
      <c r="F53" s="23" t="n"/>
      <c r="G53" s="22" t="n"/>
      <c r="H53" s="22" t="n"/>
      <c r="I53" s="23" t="n"/>
    </row>
    <row r="54">
      <c r="A54" s="24" t="n"/>
      <c r="B54" s="22" t="n"/>
      <c r="C54" s="22" t="n"/>
      <c r="D54" s="22" t="n"/>
      <c r="E54" s="22" t="n"/>
      <c r="F54" s="23" t="n"/>
      <c r="G54" s="22" t="n"/>
      <c r="H54" s="22" t="n"/>
      <c r="I54" s="23" t="n"/>
    </row>
    <row r="55">
      <c r="A55" s="24" t="n"/>
      <c r="B55" s="22" t="n"/>
      <c r="C55" s="22" t="n"/>
      <c r="D55" s="22" t="n"/>
      <c r="E55" s="22" t="n"/>
      <c r="F55" s="23" t="n"/>
      <c r="G55" s="22" t="n"/>
      <c r="H55" s="22" t="n"/>
      <c r="I55" s="23" t="n"/>
    </row>
    <row r="56">
      <c r="A56" s="24" t="n"/>
      <c r="B56" s="22" t="n"/>
      <c r="C56" s="22" t="n"/>
      <c r="D56" s="22" t="n"/>
      <c r="E56" s="22" t="n"/>
      <c r="F56" s="23" t="n"/>
      <c r="G56" s="22" t="n"/>
      <c r="H56" s="22" t="n"/>
      <c r="I56" s="23" t="n"/>
    </row>
    <row r="57">
      <c r="A57" s="24" t="n"/>
      <c r="B57" s="22" t="n"/>
      <c r="C57" s="22" t="n"/>
      <c r="D57" s="22" t="n"/>
      <c r="E57" s="22" t="n"/>
      <c r="F57" s="23" t="n"/>
      <c r="G57" s="22" t="n"/>
      <c r="H57" s="22" t="n"/>
      <c r="I57" s="23" t="n"/>
    </row>
    <row r="58">
      <c r="A58" s="24" t="n"/>
      <c r="B58" s="22" t="n"/>
      <c r="C58" s="22" t="n"/>
      <c r="D58" s="22" t="n"/>
      <c r="E58" s="22" t="n"/>
      <c r="F58" s="23" t="n"/>
      <c r="G58" s="22" t="n"/>
      <c r="H58" s="22" t="n"/>
      <c r="I58" s="23" t="n"/>
    </row>
    <row r="59">
      <c r="A59" s="24" t="n"/>
      <c r="B59" s="22" t="n"/>
      <c r="C59" s="22" t="n"/>
      <c r="D59" s="22" t="n"/>
      <c r="E59" s="22" t="n"/>
      <c r="F59" s="23" t="n"/>
      <c r="G59" s="22" t="n"/>
      <c r="H59" s="22" t="n"/>
      <c r="I59" s="23" t="n"/>
    </row>
    <row r="60">
      <c r="A60" s="24" t="n"/>
      <c r="B60" s="22" t="n"/>
      <c r="C60" s="22" t="n"/>
      <c r="D60" s="22" t="n"/>
      <c r="E60" s="22" t="n"/>
      <c r="F60" s="23" t="n"/>
      <c r="G60" s="22" t="n"/>
      <c r="H60" s="22" t="n"/>
      <c r="I60" s="23" t="n"/>
    </row>
    <row r="61">
      <c r="A61" s="24" t="n"/>
      <c r="B61" s="22" t="n"/>
      <c r="C61" s="22" t="n"/>
      <c r="D61" s="22" t="n"/>
      <c r="E61" s="22" t="n"/>
      <c r="F61" s="23" t="n"/>
      <c r="G61" s="22" t="n"/>
      <c r="H61" s="22" t="n"/>
      <c r="I61" s="23" t="n"/>
    </row>
    <row r="62">
      <c r="A62" s="24" t="n"/>
      <c r="B62" s="22" t="n"/>
      <c r="C62" s="22" t="n"/>
      <c r="D62" s="22" t="n"/>
      <c r="E62" s="22" t="n"/>
      <c r="F62" s="23" t="n"/>
      <c r="G62" s="22" t="n"/>
      <c r="H62" s="22" t="n"/>
      <c r="I62" s="23" t="n"/>
    </row>
    <row r="63">
      <c r="A63" s="24" t="n"/>
      <c r="B63" s="22" t="n"/>
      <c r="C63" s="22" t="n"/>
      <c r="D63" s="22" t="n"/>
      <c r="E63" s="22" t="n"/>
      <c r="F63" s="23" t="n"/>
      <c r="G63" s="22" t="n"/>
      <c r="H63" s="22" t="n"/>
      <c r="I63" s="23" t="n"/>
    </row>
    <row r="64">
      <c r="A64" s="24" t="n"/>
      <c r="B64" s="22" t="n"/>
      <c r="C64" s="22" t="n"/>
      <c r="D64" s="22" t="n"/>
      <c r="E64" s="22" t="n"/>
      <c r="F64" s="23" t="n"/>
      <c r="G64" s="22" t="n"/>
      <c r="H64" s="22" t="n"/>
      <c r="I64" s="23" t="n"/>
    </row>
    <row r="65">
      <c r="A65" s="24" t="n"/>
      <c r="B65" s="22" t="n"/>
      <c r="C65" s="22" t="n"/>
      <c r="D65" s="22" t="n"/>
      <c r="E65" s="22" t="n"/>
      <c r="F65" s="23" t="n"/>
      <c r="G65" s="22" t="n"/>
      <c r="H65" s="22" t="n"/>
      <c r="I65" s="23" t="n"/>
    </row>
    <row r="66">
      <c r="A66" s="24" t="n"/>
      <c r="B66" s="22" t="n"/>
      <c r="C66" s="22" t="n"/>
      <c r="D66" s="22" t="n"/>
      <c r="E66" s="22" t="n"/>
      <c r="F66" s="23" t="n"/>
      <c r="G66" s="22" t="n"/>
      <c r="H66" s="22" t="n"/>
      <c r="I66" s="23" t="n"/>
    </row>
    <row r="67">
      <c r="A67" s="24" t="n"/>
      <c r="B67" s="22" t="n"/>
      <c r="C67" s="22" t="n"/>
      <c r="D67" s="22" t="n"/>
      <c r="E67" s="22" t="n"/>
      <c r="F67" s="23" t="n"/>
      <c r="G67" s="22" t="n"/>
      <c r="H67" s="22" t="n"/>
      <c r="I67" s="23" t="n"/>
    </row>
    <row r="68">
      <c r="A68" s="24" t="n"/>
      <c r="B68" s="22" t="n"/>
      <c r="C68" s="22" t="n"/>
      <c r="D68" s="22" t="n"/>
      <c r="E68" s="22" t="n"/>
      <c r="F68" s="23" t="n"/>
      <c r="G68" s="22" t="n"/>
      <c r="H68" s="22" t="n"/>
      <c r="I68" s="23" t="n"/>
    </row>
    <row r="69">
      <c r="A69" s="24" t="n"/>
      <c r="B69" s="22" t="n"/>
      <c r="C69" s="22" t="n"/>
      <c r="D69" s="22" t="n"/>
      <c r="E69" s="22" t="n"/>
      <c r="F69" s="23" t="n"/>
      <c r="G69" s="22" t="n"/>
      <c r="H69" s="22" t="n"/>
      <c r="I69" s="23" t="n"/>
    </row>
    <row r="70">
      <c r="A70" s="24" t="n"/>
      <c r="B70" s="22" t="n"/>
      <c r="C70" s="22" t="n"/>
      <c r="D70" s="22" t="n"/>
      <c r="E70" s="22" t="n"/>
      <c r="F70" s="23" t="n"/>
      <c r="G70" s="22" t="n"/>
      <c r="H70" s="22" t="n"/>
      <c r="I70" s="23" t="n"/>
    </row>
    <row r="71">
      <c r="A71" s="24" t="n"/>
      <c r="B71" s="22" t="n"/>
      <c r="C71" s="22" t="n"/>
      <c r="D71" s="22" t="n"/>
      <c r="E71" s="22" t="n"/>
      <c r="F71" s="23" t="n"/>
      <c r="G71" s="22" t="n"/>
      <c r="H71" s="22" t="n"/>
      <c r="I71" s="23" t="n"/>
    </row>
    <row r="72">
      <c r="A72" s="24" t="n"/>
      <c r="B72" s="22" t="n"/>
      <c r="C72" s="22" t="n"/>
      <c r="D72" s="22" t="n"/>
      <c r="E72" s="22" t="n"/>
      <c r="F72" s="23" t="n"/>
      <c r="G72" s="22" t="n"/>
      <c r="H72" s="22" t="n"/>
      <c r="I72" s="23" t="n"/>
    </row>
    <row r="73">
      <c r="A73" s="24" t="n"/>
      <c r="B73" s="22" t="n"/>
      <c r="C73" s="22" t="n"/>
      <c r="D73" s="22" t="n"/>
      <c r="E73" s="22" t="n"/>
      <c r="F73" s="23" t="n"/>
      <c r="G73" s="22" t="n"/>
      <c r="H73" s="22" t="n"/>
      <c r="I73" s="23" t="n"/>
    </row>
    <row r="74">
      <c r="A74" s="24" t="n"/>
      <c r="B74" s="22" t="n"/>
      <c r="C74" s="22" t="n"/>
      <c r="D74" s="22" t="n"/>
      <c r="E74" s="22" t="n"/>
      <c r="F74" s="23" t="n"/>
      <c r="G74" s="22" t="n"/>
      <c r="H74" s="22" t="n"/>
      <c r="I74" s="23" t="n"/>
    </row>
    <row r="75">
      <c r="A75" s="24" t="n"/>
      <c r="B75" s="22" t="n"/>
      <c r="C75" s="22" t="n"/>
      <c r="D75" s="22" t="n"/>
      <c r="E75" s="22" t="n"/>
      <c r="F75" s="23" t="n"/>
      <c r="G75" s="22" t="n"/>
      <c r="H75" s="22" t="n"/>
      <c r="I75" s="23" t="n"/>
    </row>
    <row r="76">
      <c r="A76" s="24" t="n"/>
      <c r="B76" s="22" t="n"/>
      <c r="C76" s="22" t="n"/>
      <c r="D76" s="22" t="n"/>
      <c r="E76" s="22" t="n"/>
      <c r="F76" s="23" t="n"/>
      <c r="G76" s="22" t="n"/>
      <c r="H76" s="22" t="n"/>
      <c r="I76" s="23" t="n"/>
    </row>
    <row r="77">
      <c r="A77" s="24" t="n"/>
      <c r="B77" s="22" t="n"/>
      <c r="C77" s="22" t="n"/>
      <c r="D77" s="22" t="n"/>
      <c r="E77" s="22" t="n"/>
      <c r="F77" s="23" t="n"/>
      <c r="G77" s="22" t="n"/>
      <c r="H77" s="22" t="n"/>
      <c r="I77" s="23" t="n"/>
    </row>
    <row r="78">
      <c r="A78" s="24" t="n"/>
      <c r="B78" s="22" t="n"/>
      <c r="C78" s="22" t="n"/>
      <c r="D78" s="22" t="n"/>
      <c r="E78" s="22" t="n"/>
      <c r="F78" s="23" t="n"/>
      <c r="G78" s="22" t="n"/>
      <c r="H78" s="22" t="n"/>
      <c r="I78" s="23" t="n"/>
    </row>
    <row r="79">
      <c r="A79" s="24" t="n"/>
      <c r="B79" s="22" t="n"/>
      <c r="C79" s="22" t="n"/>
      <c r="D79" s="22" t="n"/>
      <c r="E79" s="22" t="n"/>
      <c r="F79" s="23" t="n"/>
      <c r="G79" s="22" t="n"/>
      <c r="H79" s="22" t="n"/>
      <c r="I79" s="23" t="n"/>
    </row>
    <row r="80">
      <c r="A80" s="24" t="n"/>
      <c r="B80" s="22" t="n"/>
      <c r="C80" s="22" t="n"/>
      <c r="D80" s="22" t="n"/>
      <c r="E80" s="22" t="n"/>
      <c r="F80" s="23" t="n"/>
      <c r="G80" s="22" t="n"/>
      <c r="H80" s="22" t="n"/>
      <c r="I80" s="23" t="n"/>
    </row>
    <row r="81">
      <c r="A81" s="24" t="n"/>
      <c r="B81" s="22" t="n"/>
      <c r="C81" s="22" t="n"/>
      <c r="D81" s="22" t="n"/>
      <c r="E81" s="22" t="n"/>
      <c r="F81" s="23" t="n"/>
      <c r="G81" s="22" t="n"/>
      <c r="H81" s="22" t="n"/>
      <c r="I81" s="23" t="n"/>
    </row>
    <row r="82">
      <c r="A82" s="24" t="n"/>
      <c r="B82" s="22" t="n"/>
      <c r="C82" s="22" t="n"/>
      <c r="D82" s="22" t="n"/>
      <c r="E82" s="22" t="n"/>
      <c r="F82" s="23" t="n"/>
      <c r="G82" s="22" t="n"/>
      <c r="H82" s="22" t="n"/>
      <c r="I82" s="23" t="n"/>
    </row>
    <row r="83">
      <c r="A83" s="24" t="n"/>
      <c r="B83" s="22" t="n"/>
      <c r="C83" s="22" t="n"/>
      <c r="D83" s="22" t="n"/>
      <c r="E83" s="22" t="n"/>
      <c r="F83" s="23" t="n"/>
      <c r="G83" s="22" t="n"/>
      <c r="H83" s="22" t="n"/>
      <c r="I83" s="23" t="n"/>
    </row>
    <row r="84">
      <c r="A84" s="24" t="n"/>
      <c r="B84" s="22" t="n"/>
      <c r="C84" s="22" t="n"/>
      <c r="D84" s="22" t="n"/>
      <c r="E84" s="22" t="n"/>
      <c r="F84" s="23" t="n"/>
      <c r="G84" s="22" t="n"/>
      <c r="H84" s="22" t="n"/>
      <c r="I84" s="23" t="n"/>
    </row>
    <row r="85">
      <c r="A85" s="24" t="n"/>
      <c r="B85" s="22" t="n"/>
      <c r="C85" s="22" t="n"/>
      <c r="D85" s="22" t="n"/>
      <c r="E85" s="22" t="n"/>
      <c r="F85" s="23" t="n"/>
      <c r="G85" s="22" t="n"/>
      <c r="H85" s="22" t="n"/>
      <c r="I85" s="23" t="n"/>
    </row>
    <row r="86">
      <c r="A86" s="24" t="n"/>
      <c r="B86" s="22" t="n"/>
      <c r="C86" s="22" t="n"/>
      <c r="D86" s="22" t="n"/>
      <c r="E86" s="22" t="n"/>
      <c r="F86" s="23" t="n"/>
      <c r="G86" s="22" t="n"/>
      <c r="H86" s="22" t="n"/>
      <c r="I86" s="23" t="n"/>
    </row>
    <row r="87">
      <c r="A87" s="24" t="n"/>
      <c r="B87" s="22" t="n"/>
      <c r="C87" s="22" t="n"/>
      <c r="D87" s="22" t="n"/>
      <c r="E87" s="22" t="n"/>
      <c r="F87" s="23" t="n"/>
      <c r="G87" s="22" t="n"/>
      <c r="H87" s="22" t="n"/>
      <c r="I87" s="23" t="n"/>
    </row>
    <row r="88">
      <c r="A88" s="24" t="n"/>
      <c r="B88" s="22" t="n"/>
      <c r="C88" s="22" t="n"/>
      <c r="D88" s="22" t="n"/>
      <c r="E88" s="22" t="n"/>
      <c r="F88" s="23" t="n"/>
      <c r="G88" s="22" t="n"/>
      <c r="H88" s="22" t="n"/>
      <c r="I88" s="23" t="n"/>
    </row>
    <row r="89">
      <c r="A89" s="24" t="n"/>
      <c r="B89" s="22" t="n"/>
      <c r="C89" s="22" t="n"/>
      <c r="D89" s="22" t="n"/>
      <c r="E89" s="22" t="n"/>
      <c r="F89" s="23" t="n"/>
      <c r="G89" s="22" t="n"/>
      <c r="H89" s="22" t="n"/>
      <c r="I89" s="23" t="n"/>
    </row>
    <row r="90">
      <c r="A90" s="24" t="n"/>
      <c r="B90" s="22" t="n"/>
      <c r="C90" s="22" t="n"/>
      <c r="D90" s="22" t="n"/>
      <c r="E90" s="22" t="n"/>
      <c r="F90" s="23" t="n"/>
      <c r="G90" s="22" t="n"/>
      <c r="H90" s="22" t="n"/>
      <c r="I90" s="23" t="n"/>
    </row>
    <row r="91">
      <c r="A91" s="24" t="n"/>
      <c r="B91" s="22" t="n"/>
      <c r="C91" s="22" t="n"/>
      <c r="D91" s="22" t="n"/>
      <c r="E91" s="22" t="n"/>
      <c r="F91" s="23" t="n"/>
      <c r="G91" s="22" t="n"/>
      <c r="H91" s="22" t="n"/>
      <c r="I91" s="23" t="n"/>
    </row>
    <row r="92">
      <c r="A92" s="24" t="n"/>
      <c r="B92" s="22" t="n"/>
      <c r="C92" s="22" t="n"/>
      <c r="D92" s="22" t="n"/>
      <c r="E92" s="22" t="n"/>
      <c r="F92" s="23" t="n"/>
      <c r="G92" s="22" t="n"/>
      <c r="H92" s="22" t="n"/>
      <c r="I92" s="23" t="n"/>
    </row>
    <row r="93">
      <c r="A93" s="24" t="n"/>
      <c r="B93" s="22" t="n"/>
      <c r="C93" s="22" t="n"/>
      <c r="D93" s="22" t="n"/>
      <c r="E93" s="22" t="n"/>
      <c r="F93" s="23" t="n"/>
      <c r="G93" s="22" t="n"/>
      <c r="H93" s="22" t="n"/>
      <c r="I93" s="23" t="n"/>
    </row>
    <row r="94">
      <c r="A94" s="24" t="n"/>
      <c r="B94" s="22" t="n"/>
      <c r="C94" s="22" t="n"/>
      <c r="D94" s="22" t="n"/>
      <c r="E94" s="22" t="n"/>
      <c r="F94" s="23" t="n"/>
      <c r="G94" s="22" t="n"/>
      <c r="H94" s="22" t="n"/>
      <c r="I94" s="23" t="n"/>
    </row>
    <row r="95">
      <c r="A95" s="24" t="n"/>
      <c r="B95" s="22" t="n"/>
      <c r="C95" s="22" t="n"/>
      <c r="D95" s="22" t="n"/>
      <c r="E95" s="22" t="n"/>
      <c r="F95" s="23" t="n"/>
      <c r="G95" s="22" t="n"/>
      <c r="H95" s="22" t="n"/>
      <c r="I95" s="23" t="n"/>
    </row>
    <row r="96">
      <c r="A96" s="24" t="n"/>
      <c r="B96" s="22" t="n"/>
      <c r="C96" s="22" t="n"/>
      <c r="D96" s="22" t="n"/>
      <c r="E96" s="22" t="n"/>
      <c r="F96" s="23" t="n"/>
      <c r="G96" s="22" t="n"/>
      <c r="H96" s="22" t="n"/>
      <c r="I96" s="23" t="n"/>
    </row>
    <row r="97">
      <c r="A97" s="24" t="n"/>
      <c r="B97" s="22" t="n"/>
      <c r="C97" s="22" t="n"/>
      <c r="D97" s="22" t="n"/>
      <c r="E97" s="22" t="n"/>
      <c r="F97" s="23" t="n"/>
      <c r="G97" s="22" t="n"/>
      <c r="H97" s="22" t="n"/>
      <c r="I97" s="23" t="n"/>
    </row>
    <row r="98">
      <c r="A98" s="24" t="n"/>
      <c r="B98" s="22" t="n"/>
      <c r="C98" s="22" t="n"/>
      <c r="D98" s="22" t="n"/>
      <c r="E98" s="22" t="n"/>
      <c r="F98" s="23" t="n"/>
      <c r="G98" s="22" t="n"/>
      <c r="H98" s="22" t="n"/>
      <c r="I98" s="23" t="n"/>
    </row>
    <row r="99">
      <c r="A99" s="24" t="n"/>
      <c r="B99" s="22" t="n"/>
      <c r="C99" s="22" t="n"/>
      <c r="D99" s="22" t="n"/>
      <c r="E99" s="22" t="n"/>
      <c r="F99" s="23" t="n"/>
      <c r="G99" s="22" t="n"/>
      <c r="H99" s="22" t="n"/>
      <c r="I99" s="23" t="n"/>
    </row>
    <row r="100">
      <c r="A100" s="24" t="n"/>
      <c r="B100" s="22" t="n"/>
      <c r="C100" s="22" t="n"/>
      <c r="D100" s="22" t="n"/>
      <c r="E100" s="22" t="n"/>
      <c r="F100" s="23" t="n"/>
      <c r="G100" s="22" t="n"/>
      <c r="H100" s="22" t="n"/>
      <c r="I100" s="23" t="n"/>
    </row>
    <row r="101">
      <c r="A101" s="24" t="n"/>
      <c r="B101" s="22" t="n"/>
      <c r="C101" s="22" t="n"/>
      <c r="D101" s="22" t="n"/>
      <c r="E101" s="22" t="n"/>
      <c r="F101" s="23" t="n"/>
      <c r="G101" s="22" t="n"/>
      <c r="H101" s="22" t="n"/>
      <c r="I101" s="23" t="n"/>
    </row>
    <row r="102">
      <c r="A102" s="24" t="n"/>
      <c r="B102" s="22" t="n"/>
      <c r="C102" s="22" t="n"/>
      <c r="D102" s="22" t="n"/>
      <c r="E102" s="22" t="n"/>
      <c r="F102" s="23" t="n"/>
      <c r="G102" s="22" t="n"/>
      <c r="H102" s="22" t="n"/>
      <c r="I102" s="23" t="n"/>
    </row>
    <row r="103">
      <c r="A103" s="24" t="n"/>
      <c r="B103" s="22" t="n"/>
      <c r="C103" s="22" t="n"/>
      <c r="D103" s="22" t="n"/>
      <c r="E103" s="22" t="n"/>
      <c r="F103" s="23" t="n"/>
      <c r="G103" s="22" t="n"/>
      <c r="H103" s="22" t="n"/>
      <c r="I103" s="23" t="n"/>
    </row>
    <row r="104">
      <c r="A104" s="24" t="n"/>
      <c r="B104" s="22" t="n"/>
      <c r="C104" s="22" t="n"/>
      <c r="D104" s="22" t="n"/>
      <c r="E104" s="22" t="n"/>
      <c r="F104" s="23" t="n"/>
      <c r="G104" s="22" t="n"/>
      <c r="H104" s="22" t="n"/>
      <c r="I104" s="23" t="n"/>
    </row>
    <row r="105">
      <c r="A105" s="24" t="n"/>
      <c r="B105" s="22" t="n"/>
      <c r="C105" s="22" t="n"/>
      <c r="D105" s="22" t="n"/>
      <c r="E105" s="22" t="n"/>
      <c r="F105" s="23" t="n"/>
      <c r="G105" s="22" t="n"/>
      <c r="H105" s="22" t="n"/>
      <c r="I105" s="23" t="n"/>
    </row>
    <row r="106">
      <c r="A106" s="24" t="n"/>
      <c r="B106" s="22" t="n"/>
      <c r="C106" s="22" t="n"/>
      <c r="D106" s="22" t="n"/>
      <c r="E106" s="22" t="n"/>
      <c r="F106" s="23" t="n"/>
      <c r="G106" s="22" t="n"/>
      <c r="H106" s="22" t="n"/>
      <c r="I106" s="23" t="n"/>
    </row>
    <row r="107">
      <c r="A107" s="24" t="n"/>
      <c r="B107" s="22" t="n"/>
      <c r="C107" s="22" t="n"/>
      <c r="D107" s="22" t="n"/>
      <c r="E107" s="22" t="n"/>
      <c r="F107" s="23" t="n"/>
      <c r="G107" s="22" t="n"/>
      <c r="H107" s="22" t="n"/>
      <c r="I107" s="23" t="n"/>
    </row>
    <row r="108">
      <c r="A108" s="24" t="n"/>
      <c r="B108" s="22" t="n"/>
      <c r="C108" s="22" t="n"/>
      <c r="D108" s="22" t="n"/>
      <c r="E108" s="22" t="n"/>
      <c r="F108" s="23" t="n"/>
      <c r="G108" s="22" t="n"/>
      <c r="H108" s="22" t="n"/>
      <c r="I108" s="23" t="n"/>
    </row>
    <row r="109">
      <c r="A109" s="24" t="n"/>
      <c r="B109" s="22" t="n"/>
      <c r="C109" s="22" t="n"/>
      <c r="D109" s="22" t="n"/>
      <c r="E109" s="22" t="n"/>
      <c r="F109" s="23" t="n"/>
      <c r="G109" s="22" t="n"/>
      <c r="H109" s="22" t="n"/>
      <c r="I109" s="23" t="n"/>
    </row>
    <row r="110">
      <c r="A110" s="24" t="n"/>
      <c r="B110" s="22" t="n"/>
      <c r="C110" s="22" t="n"/>
      <c r="D110" s="22" t="n"/>
      <c r="E110" s="22" t="n"/>
      <c r="F110" s="23" t="n"/>
      <c r="G110" s="22" t="n"/>
      <c r="H110" s="22" t="n"/>
      <c r="I110" s="23" t="n"/>
    </row>
    <row r="111">
      <c r="A111" s="24" t="n"/>
      <c r="B111" s="22" t="n"/>
      <c r="C111" s="22" t="n"/>
      <c r="D111" s="22" t="n"/>
      <c r="E111" s="22" t="n"/>
      <c r="F111" s="23" t="n"/>
      <c r="G111" s="22" t="n"/>
      <c r="H111" s="22" t="n"/>
      <c r="I111" s="23" t="n"/>
    </row>
    <row r="112">
      <c r="A112" s="24" t="n"/>
      <c r="B112" s="22" t="n"/>
      <c r="C112" s="22" t="n"/>
      <c r="D112" s="22" t="n"/>
      <c r="E112" s="22" t="n"/>
      <c r="F112" s="23" t="n"/>
      <c r="G112" s="22" t="n"/>
      <c r="H112" s="22" t="n"/>
      <c r="I112" s="23" t="n"/>
    </row>
    <row r="113">
      <c r="A113" s="24" t="n"/>
      <c r="B113" s="22" t="n"/>
      <c r="C113" s="22" t="n"/>
      <c r="D113" s="22" t="n"/>
      <c r="E113" s="22" t="n"/>
      <c r="F113" s="23" t="n"/>
      <c r="G113" s="22" t="n"/>
      <c r="H113" s="22" t="n"/>
      <c r="I113" s="23" t="n"/>
    </row>
    <row r="114">
      <c r="A114" s="24" t="n"/>
      <c r="B114" s="22" t="n"/>
      <c r="C114" s="22" t="n"/>
      <c r="D114" s="22" t="n"/>
      <c r="E114" s="22" t="n"/>
      <c r="F114" s="23" t="n"/>
      <c r="G114" s="22" t="n"/>
      <c r="H114" s="22" t="n"/>
      <c r="I114" s="23" t="n"/>
    </row>
    <row r="115">
      <c r="A115" s="24" t="n"/>
      <c r="B115" s="22" t="n"/>
      <c r="C115" s="22" t="n"/>
      <c r="D115" s="22" t="n"/>
      <c r="E115" s="22" t="n"/>
      <c r="F115" s="23" t="n"/>
      <c r="G115" s="22" t="n"/>
      <c r="H115" s="22" t="n"/>
      <c r="I115" s="23" t="n"/>
    </row>
    <row r="116">
      <c r="A116" s="24" t="n"/>
      <c r="B116" s="22" t="n"/>
      <c r="C116" s="22" t="n"/>
      <c r="D116" s="22" t="n"/>
      <c r="E116" s="22" t="n"/>
      <c r="F116" s="23" t="n"/>
      <c r="G116" s="22" t="n"/>
      <c r="H116" s="22" t="n"/>
      <c r="I116" s="23" t="n"/>
    </row>
    <row r="117">
      <c r="A117" s="24" t="n"/>
      <c r="B117" s="22" t="n"/>
      <c r="C117" s="22" t="n"/>
      <c r="D117" s="22" t="n"/>
      <c r="E117" s="22" t="n"/>
      <c r="F117" s="23" t="n"/>
      <c r="G117" s="22" t="n"/>
      <c r="H117" s="22" t="n"/>
      <c r="I117" s="23" t="n"/>
    </row>
    <row r="118">
      <c r="A118" s="24" t="n"/>
      <c r="B118" s="22" t="n"/>
      <c r="C118" s="22" t="n"/>
      <c r="D118" s="22" t="n"/>
      <c r="E118" s="22" t="n"/>
      <c r="F118" s="23" t="n"/>
      <c r="G118" s="22" t="n"/>
      <c r="H118" s="22" t="n"/>
      <c r="I118" s="23" t="n"/>
    </row>
    <row r="119">
      <c r="A119" s="24" t="n"/>
      <c r="B119" s="22" t="n"/>
      <c r="C119" s="22" t="n"/>
      <c r="D119" s="22" t="n"/>
      <c r="E119" s="22" t="n"/>
      <c r="F119" s="23" t="n"/>
      <c r="G119" s="22" t="n"/>
      <c r="H119" s="22" t="n"/>
      <c r="I119" s="23" t="n"/>
    </row>
    <row r="120">
      <c r="A120" s="24" t="n"/>
      <c r="B120" s="22" t="n"/>
      <c r="C120" s="22" t="n"/>
      <c r="D120" s="22" t="n"/>
      <c r="E120" s="22" t="n"/>
      <c r="F120" s="23" t="n"/>
      <c r="G120" s="22" t="n"/>
      <c r="H120" s="22" t="n"/>
      <c r="I120" s="23" t="n"/>
    </row>
    <row r="121">
      <c r="A121" s="24" t="n"/>
      <c r="B121" s="22" t="n"/>
      <c r="C121" s="22" t="n"/>
      <c r="D121" s="22" t="n"/>
      <c r="E121" s="22" t="n"/>
      <c r="F121" s="23" t="n"/>
      <c r="G121" s="22" t="n"/>
      <c r="H121" s="22" t="n"/>
      <c r="I121" s="23" t="n"/>
    </row>
    <row r="122">
      <c r="A122" s="24" t="n"/>
      <c r="B122" s="22" t="n"/>
      <c r="C122" s="22" t="n"/>
      <c r="D122" s="22" t="n"/>
      <c r="E122" s="22" t="n"/>
      <c r="F122" s="23" t="n"/>
      <c r="G122" s="22" t="n"/>
      <c r="H122" s="22" t="n"/>
      <c r="I122" s="23" t="n"/>
    </row>
    <row r="123">
      <c r="A123" s="24" t="n"/>
      <c r="B123" s="22" t="n"/>
      <c r="C123" s="22" t="n"/>
      <c r="D123" s="22" t="n"/>
      <c r="E123" s="22" t="n"/>
      <c r="F123" s="23" t="n"/>
      <c r="G123" s="22" t="n"/>
      <c r="H123" s="22" t="n"/>
      <c r="I123" s="23" t="n"/>
    </row>
    <row r="124">
      <c r="A124" s="24" t="n"/>
      <c r="B124" s="22" t="n"/>
      <c r="C124" s="22" t="n"/>
      <c r="D124" s="22" t="n"/>
      <c r="E124" s="22" t="n"/>
      <c r="F124" s="23" t="n"/>
      <c r="G124" s="22" t="n"/>
      <c r="H124" s="22" t="n"/>
      <c r="I124" s="23" t="n"/>
    </row>
    <row r="125">
      <c r="A125" s="24" t="n"/>
      <c r="B125" s="22" t="n"/>
      <c r="C125" s="22" t="n"/>
      <c r="D125" s="22" t="n"/>
      <c r="E125" s="22" t="n"/>
      <c r="F125" s="23" t="n"/>
      <c r="G125" s="22" t="n"/>
      <c r="H125" s="22" t="n"/>
      <c r="I125" s="23" t="n"/>
    </row>
    <row r="126">
      <c r="A126" s="24" t="n"/>
      <c r="B126" s="22" t="n"/>
      <c r="C126" s="22" t="n"/>
      <c r="D126" s="22" t="n"/>
      <c r="E126" s="22" t="n"/>
      <c r="F126" s="23" t="n"/>
      <c r="G126" s="22" t="n"/>
      <c r="H126" s="22" t="n"/>
      <c r="I126" s="23" t="n"/>
    </row>
    <row r="127">
      <c r="A127" s="24" t="n"/>
      <c r="B127" s="22" t="n"/>
      <c r="C127" s="22" t="n"/>
      <c r="D127" s="22" t="n"/>
      <c r="E127" s="22" t="n"/>
      <c r="F127" s="23" t="n"/>
      <c r="G127" s="22" t="n"/>
      <c r="H127" s="22" t="n"/>
      <c r="I127" s="23" t="n"/>
    </row>
    <row r="128">
      <c r="A128" s="24" t="n"/>
      <c r="B128" s="22" t="n"/>
      <c r="C128" s="22" t="n"/>
      <c r="D128" s="22" t="n"/>
      <c r="E128" s="22" t="n"/>
      <c r="F128" s="23" t="n"/>
      <c r="G128" s="22" t="n"/>
      <c r="H128" s="22" t="n"/>
      <c r="I128" s="23" t="n"/>
    </row>
    <row r="129">
      <c r="A129" s="24" t="n"/>
      <c r="B129" s="22" t="n"/>
      <c r="C129" s="22" t="n"/>
      <c r="D129" s="22" t="n"/>
      <c r="E129" s="22" t="n"/>
      <c r="F129" s="23" t="n"/>
      <c r="G129" s="22" t="n"/>
      <c r="H129" s="22" t="n"/>
      <c r="I129" s="23" t="n"/>
    </row>
    <row r="130">
      <c r="A130" s="24" t="n"/>
      <c r="B130" s="22" t="n"/>
      <c r="C130" s="22" t="n"/>
      <c r="D130" s="22" t="n"/>
      <c r="E130" s="22" t="n"/>
      <c r="F130" s="23" t="n"/>
      <c r="G130" s="22" t="n"/>
      <c r="H130" s="22" t="n"/>
      <c r="I130" s="23" t="n"/>
    </row>
    <row r="131">
      <c r="A131" s="24" t="n"/>
      <c r="B131" s="22" t="n"/>
      <c r="C131" s="22" t="n"/>
      <c r="D131" s="22" t="n"/>
      <c r="E131" s="22" t="n"/>
      <c r="F131" s="23" t="n"/>
      <c r="G131" s="22" t="n"/>
      <c r="H131" s="22" t="n"/>
      <c r="I131" s="23" t="n"/>
    </row>
    <row r="132">
      <c r="A132" s="24" t="n"/>
      <c r="B132" s="22" t="n"/>
      <c r="C132" s="22" t="n"/>
      <c r="D132" s="22" t="n"/>
      <c r="E132" s="22" t="n"/>
      <c r="F132" s="23" t="n"/>
      <c r="G132" s="22" t="n"/>
      <c r="H132" s="22" t="n"/>
      <c r="I132" s="23" t="n"/>
    </row>
    <row r="133">
      <c r="A133" s="24" t="n"/>
      <c r="B133" s="22" t="n"/>
      <c r="C133" s="22" t="n"/>
      <c r="D133" s="22" t="n"/>
      <c r="E133" s="22" t="n"/>
      <c r="F133" s="23" t="n"/>
      <c r="G133" s="22" t="n"/>
      <c r="H133" s="22" t="n"/>
      <c r="I133" s="23" t="n"/>
    </row>
    <row r="134">
      <c r="A134" s="24" t="n"/>
      <c r="B134" s="22" t="n"/>
      <c r="C134" s="22" t="n"/>
      <c r="D134" s="22" t="n"/>
      <c r="E134" s="22" t="n"/>
      <c r="F134" s="23" t="n"/>
      <c r="G134" s="22" t="n"/>
      <c r="H134" s="22" t="n"/>
      <c r="I134" s="23" t="n"/>
    </row>
    <row r="135">
      <c r="A135" s="24" t="n"/>
      <c r="B135" s="22" t="n"/>
      <c r="C135" s="22" t="n"/>
      <c r="D135" s="22" t="n"/>
      <c r="E135" s="22" t="n"/>
      <c r="F135" s="23" t="n"/>
      <c r="G135" s="22" t="n"/>
      <c r="H135" s="22" t="n"/>
      <c r="I135" s="23" t="n"/>
    </row>
    <row r="136">
      <c r="A136" s="24" t="n"/>
      <c r="B136" s="22" t="n"/>
      <c r="C136" s="22" t="n"/>
      <c r="D136" s="22" t="n"/>
      <c r="E136" s="22" t="n"/>
      <c r="F136" s="23" t="n"/>
      <c r="G136" s="22" t="n"/>
      <c r="H136" s="22" t="n"/>
      <c r="I136" s="23" t="n"/>
    </row>
    <row r="137">
      <c r="A137" s="24" t="n"/>
      <c r="B137" s="22" t="n"/>
      <c r="C137" s="22" t="n"/>
      <c r="D137" s="22" t="n"/>
      <c r="E137" s="22" t="n"/>
      <c r="F137" s="23" t="n"/>
      <c r="G137" s="22" t="n"/>
      <c r="H137" s="22" t="n"/>
      <c r="I137" s="23" t="n"/>
    </row>
    <row r="138">
      <c r="A138" s="24" t="n"/>
      <c r="B138" s="22" t="n"/>
      <c r="C138" s="22" t="n"/>
      <c r="D138" s="22" t="n"/>
      <c r="E138" s="22" t="n"/>
      <c r="F138" s="23" t="n"/>
      <c r="G138" s="22" t="n"/>
      <c r="H138" s="22" t="n"/>
      <c r="I138" s="23" t="n"/>
    </row>
    <row r="139">
      <c r="A139" s="24" t="n"/>
      <c r="B139" s="22" t="n"/>
      <c r="C139" s="22" t="n"/>
      <c r="D139" s="22" t="n"/>
      <c r="E139" s="22" t="n"/>
      <c r="F139" s="23" t="n"/>
      <c r="G139" s="22" t="n"/>
      <c r="H139" s="22" t="n"/>
      <c r="I139" s="23" t="n"/>
    </row>
    <row r="140">
      <c r="A140" s="24" t="n"/>
      <c r="B140" s="22" t="n"/>
      <c r="C140" s="22" t="n"/>
      <c r="D140" s="22" t="n"/>
      <c r="E140" s="22" t="n"/>
      <c r="F140" s="23" t="n"/>
      <c r="G140" s="22" t="n"/>
      <c r="H140" s="22" t="n"/>
      <c r="I140" s="23" t="n"/>
    </row>
    <row r="141">
      <c r="A141" s="24" t="n"/>
      <c r="B141" s="22" t="n"/>
      <c r="C141" s="22" t="n"/>
      <c r="D141" s="22" t="n"/>
      <c r="E141" s="22" t="n"/>
      <c r="F141" s="23" t="n"/>
      <c r="G141" s="22" t="n"/>
      <c r="H141" s="22" t="n"/>
      <c r="I141" s="23" t="n"/>
    </row>
    <row r="142">
      <c r="A142" s="24" t="n"/>
      <c r="B142" s="22" t="n"/>
      <c r="C142" s="22" t="n"/>
      <c r="D142" s="22" t="n"/>
      <c r="E142" s="22" t="n"/>
      <c r="F142" s="23" t="n"/>
      <c r="G142" s="22" t="n"/>
      <c r="H142" s="22" t="n"/>
      <c r="I142" s="23" t="n"/>
    </row>
    <row r="143">
      <c r="A143" s="24" t="n"/>
      <c r="B143" s="22" t="n"/>
      <c r="C143" s="22" t="n"/>
      <c r="D143" s="22" t="n"/>
      <c r="E143" s="22" t="n"/>
      <c r="F143" s="23" t="n"/>
      <c r="G143" s="22" t="n"/>
      <c r="H143" s="22" t="n"/>
      <c r="I143" s="23" t="n"/>
    </row>
    <row r="144">
      <c r="A144" s="24" t="n"/>
      <c r="B144" s="22" t="n"/>
      <c r="C144" s="22" t="n"/>
      <c r="D144" s="22" t="n"/>
      <c r="E144" s="22" t="n"/>
      <c r="F144" s="23" t="n"/>
      <c r="G144" s="22" t="n"/>
      <c r="H144" s="22" t="n"/>
      <c r="I144" s="23" t="n"/>
    </row>
    <row r="145">
      <c r="A145" s="24" t="n"/>
      <c r="B145" s="22" t="n"/>
      <c r="C145" s="22" t="n"/>
      <c r="D145" s="22" t="n"/>
      <c r="E145" s="22" t="n"/>
      <c r="F145" s="23" t="n"/>
      <c r="G145" s="22" t="n"/>
      <c r="H145" s="22" t="n"/>
      <c r="I145" s="23" t="n"/>
    </row>
    <row r="146">
      <c r="A146" s="24" t="n"/>
      <c r="B146" s="22" t="n"/>
      <c r="C146" s="22" t="n"/>
      <c r="D146" s="22" t="n"/>
      <c r="E146" s="22" t="n"/>
      <c r="F146" s="23" t="n"/>
      <c r="G146" s="22" t="n"/>
      <c r="H146" s="22" t="n"/>
      <c r="I146" s="23" t="n"/>
    </row>
    <row r="147">
      <c r="A147" s="24" t="n"/>
      <c r="B147" s="22" t="n"/>
      <c r="C147" s="22" t="n"/>
      <c r="D147" s="22" t="n"/>
      <c r="E147" s="22" t="n"/>
      <c r="F147" s="23" t="n"/>
      <c r="G147" s="22" t="n"/>
      <c r="H147" s="22" t="n"/>
      <c r="I147" s="23" t="n"/>
    </row>
    <row r="148">
      <c r="A148" s="24" t="n"/>
      <c r="B148" s="22" t="n"/>
      <c r="C148" s="22" t="n"/>
      <c r="D148" s="22" t="n"/>
      <c r="E148" s="22" t="n"/>
      <c r="F148" s="23" t="n"/>
      <c r="G148" s="22" t="n"/>
      <c r="H148" s="22" t="n"/>
      <c r="I148" s="23" t="n"/>
    </row>
    <row r="149">
      <c r="A149" s="24" t="n"/>
      <c r="B149" s="22" t="n"/>
      <c r="C149" s="22" t="n"/>
      <c r="D149" s="22" t="n"/>
      <c r="E149" s="22" t="n"/>
      <c r="F149" s="23" t="n"/>
      <c r="G149" s="22" t="n"/>
      <c r="H149" s="22" t="n"/>
      <c r="I149" s="23" t="n"/>
    </row>
    <row r="150">
      <c r="A150" s="24" t="n"/>
      <c r="B150" s="22" t="n"/>
      <c r="C150" s="22" t="n"/>
      <c r="D150" s="22" t="n"/>
      <c r="E150" s="22" t="n"/>
      <c r="F150" s="23" t="n"/>
      <c r="G150" s="22" t="n"/>
      <c r="H150" s="22" t="n"/>
      <c r="I150" s="23" t="n"/>
    </row>
    <row r="151">
      <c r="A151" s="24" t="n"/>
      <c r="B151" s="22" t="n"/>
      <c r="C151" s="22" t="n"/>
      <c r="D151" s="22" t="n"/>
      <c r="E151" s="22" t="n"/>
      <c r="F151" s="23" t="n"/>
      <c r="G151" s="22" t="n"/>
      <c r="H151" s="22" t="n"/>
      <c r="I151" s="23" t="n"/>
    </row>
    <row r="152">
      <c r="A152" s="24" t="n"/>
      <c r="B152" s="22" t="n"/>
      <c r="C152" s="22" t="n"/>
      <c r="D152" s="22" t="n"/>
      <c r="E152" s="22" t="n"/>
      <c r="F152" s="23" t="n"/>
      <c r="G152" s="22" t="n"/>
      <c r="H152" s="22" t="n"/>
      <c r="I152" s="23" t="n"/>
    </row>
    <row r="153">
      <c r="A153" s="24" t="n"/>
      <c r="B153" s="22" t="n"/>
      <c r="C153" s="22" t="n"/>
      <c r="D153" s="22" t="n"/>
      <c r="E153" s="22" t="n"/>
      <c r="F153" s="23" t="n"/>
      <c r="G153" s="22" t="n"/>
      <c r="H153" s="22" t="n"/>
      <c r="I153" s="23" t="n"/>
    </row>
    <row r="154">
      <c r="A154" s="24" t="n"/>
      <c r="B154" s="22" t="n"/>
      <c r="C154" s="22" t="n"/>
      <c r="D154" s="22" t="n"/>
      <c r="E154" s="22" t="n"/>
      <c r="F154" s="23" t="n"/>
      <c r="G154" s="22" t="n"/>
      <c r="H154" s="22" t="n"/>
      <c r="I154" s="23" t="n"/>
    </row>
    <row r="155">
      <c r="A155" s="24" t="n"/>
      <c r="B155" s="22" t="n"/>
      <c r="C155" s="22" t="n"/>
      <c r="D155" s="22" t="n"/>
      <c r="E155" s="22" t="n"/>
      <c r="F155" s="23" t="n"/>
      <c r="G155" s="22" t="n"/>
      <c r="H155" s="22" t="n"/>
      <c r="I155" s="23" t="n"/>
    </row>
    <row r="156">
      <c r="A156" s="24" t="n"/>
      <c r="B156" s="22" t="n"/>
      <c r="C156" s="22" t="n"/>
      <c r="D156" s="22" t="n"/>
      <c r="E156" s="22" t="n"/>
      <c r="F156" s="23" t="n"/>
      <c r="G156" s="22" t="n"/>
      <c r="H156" s="22" t="n"/>
      <c r="I156" s="23" t="n"/>
    </row>
    <row r="157">
      <c r="A157" s="24" t="n"/>
      <c r="B157" s="22" t="n"/>
      <c r="C157" s="22" t="n"/>
      <c r="D157" s="22" t="n"/>
      <c r="E157" s="22" t="n"/>
      <c r="F157" s="23" t="n"/>
      <c r="G157" s="22" t="n"/>
      <c r="H157" s="22" t="n"/>
      <c r="I157" s="23" t="n"/>
    </row>
    <row r="158">
      <c r="A158" s="24" t="n"/>
      <c r="B158" s="22" t="n"/>
      <c r="C158" s="22" t="n"/>
      <c r="D158" s="22" t="n"/>
      <c r="E158" s="22" t="n"/>
      <c r="F158" s="23" t="n"/>
      <c r="G158" s="22" t="n"/>
      <c r="H158" s="22" t="n"/>
      <c r="I158" s="23" t="n"/>
    </row>
    <row r="159">
      <c r="A159" s="24" t="n"/>
      <c r="B159" s="22" t="n"/>
      <c r="C159" s="22" t="n"/>
      <c r="D159" s="22" t="n"/>
      <c r="E159" s="22" t="n"/>
      <c r="F159" s="23" t="n"/>
      <c r="G159" s="22" t="n"/>
      <c r="H159" s="22" t="n"/>
      <c r="I159" s="23" t="n"/>
    </row>
    <row r="160">
      <c r="A160" s="24" t="n"/>
      <c r="B160" s="22" t="n"/>
      <c r="C160" s="22" t="n"/>
      <c r="D160" s="22" t="n"/>
      <c r="E160" s="22" t="n"/>
      <c r="F160" s="23" t="n"/>
      <c r="G160" s="22" t="n"/>
      <c r="H160" s="22" t="n"/>
      <c r="I160" s="23" t="n"/>
    </row>
    <row r="161">
      <c r="A161" s="24" t="n"/>
      <c r="B161" s="22" t="n"/>
      <c r="C161" s="22" t="n"/>
      <c r="D161" s="22" t="n"/>
      <c r="E161" s="22" t="n"/>
      <c r="F161" s="23" t="n"/>
      <c r="G161" s="22" t="n"/>
      <c r="H161" s="22" t="n"/>
      <c r="I161" s="23" t="n"/>
    </row>
    <row r="162">
      <c r="A162" s="24" t="n"/>
      <c r="B162" s="22" t="n"/>
      <c r="C162" s="22" t="n"/>
      <c r="D162" s="22" t="n"/>
      <c r="E162" s="22" t="n"/>
      <c r="F162" s="23" t="n"/>
      <c r="G162" s="22" t="n"/>
      <c r="H162" s="22" t="n"/>
      <c r="I162" s="23" t="n"/>
    </row>
    <row r="163">
      <c r="A163" s="24" t="n"/>
      <c r="B163" s="22" t="n"/>
      <c r="C163" s="22" t="n"/>
      <c r="D163" s="22" t="n"/>
      <c r="E163" s="22" t="n"/>
      <c r="F163" s="23" t="n"/>
      <c r="G163" s="22" t="n"/>
      <c r="H163" s="22" t="n"/>
      <c r="I163" s="23" t="n"/>
    </row>
    <row r="164">
      <c r="A164" s="24" t="n"/>
      <c r="B164" s="22" t="n"/>
      <c r="C164" s="22" t="n"/>
      <c r="D164" s="22" t="n"/>
      <c r="E164" s="22" t="n"/>
      <c r="F164" s="23" t="n"/>
      <c r="G164" s="22" t="n"/>
      <c r="H164" s="22" t="n"/>
      <c r="I164" s="23" t="n"/>
    </row>
    <row r="165">
      <c r="A165" s="24" t="n"/>
      <c r="B165" s="22" t="n"/>
      <c r="C165" s="22" t="n"/>
      <c r="D165" s="22" t="n"/>
      <c r="E165" s="22" t="n"/>
      <c r="F165" s="23" t="n"/>
      <c r="G165" s="22" t="n"/>
      <c r="H165" s="22" t="n"/>
      <c r="I165" s="23" t="n"/>
    </row>
    <row r="166">
      <c r="A166" s="24" t="n"/>
      <c r="B166" s="22" t="n"/>
      <c r="C166" s="22" t="n"/>
      <c r="D166" s="22" t="n"/>
      <c r="E166" s="22" t="n"/>
      <c r="F166" s="23" t="n"/>
      <c r="G166" s="22" t="n"/>
      <c r="H166" s="22" t="n"/>
      <c r="I166" s="23" t="n"/>
    </row>
    <row r="167">
      <c r="A167" s="24" t="n"/>
      <c r="B167" s="22" t="n"/>
      <c r="C167" s="22" t="n"/>
      <c r="D167" s="22" t="n"/>
      <c r="E167" s="22" t="n"/>
      <c r="F167" s="23" t="n"/>
      <c r="G167" s="22" t="n"/>
      <c r="H167" s="22" t="n"/>
      <c r="I167" s="23" t="n"/>
    </row>
    <row r="168">
      <c r="A168" s="24" t="n"/>
      <c r="B168" s="22" t="n"/>
      <c r="C168" s="22" t="n"/>
      <c r="D168" s="22" t="n"/>
      <c r="E168" s="22" t="n"/>
      <c r="F168" s="23" t="n"/>
      <c r="G168" s="22" t="n"/>
      <c r="H168" s="22" t="n"/>
      <c r="I168" s="23" t="n"/>
    </row>
    <row r="169">
      <c r="A169" s="24" t="n"/>
      <c r="B169" s="22" t="n"/>
      <c r="C169" s="22" t="n"/>
      <c r="D169" s="22" t="n"/>
      <c r="E169" s="22" t="n"/>
      <c r="F169" s="23" t="n"/>
      <c r="G169" s="22" t="n"/>
      <c r="H169" s="22" t="n"/>
      <c r="I169" s="23" t="n"/>
    </row>
    <row r="170">
      <c r="A170" s="24" t="n"/>
      <c r="B170" s="22" t="n"/>
      <c r="C170" s="22" t="n"/>
      <c r="D170" s="22" t="n"/>
      <c r="E170" s="22" t="n"/>
      <c r="F170" s="23" t="n"/>
      <c r="G170" s="22" t="n"/>
      <c r="H170" s="22" t="n"/>
      <c r="I170" s="23" t="n"/>
    </row>
    <row r="171">
      <c r="A171" s="24" t="n"/>
      <c r="B171" s="22" t="n"/>
      <c r="C171" s="22" t="n"/>
      <c r="D171" s="22" t="n"/>
      <c r="E171" s="22" t="n"/>
      <c r="F171" s="23" t="n"/>
      <c r="G171" s="22" t="n"/>
      <c r="H171" s="22" t="n"/>
      <c r="I171" s="23" t="n"/>
    </row>
    <row r="172">
      <c r="A172" s="24" t="n"/>
      <c r="B172" s="22" t="n"/>
      <c r="C172" s="22" t="n"/>
      <c r="D172" s="22" t="n"/>
      <c r="E172" s="22" t="n"/>
      <c r="F172" s="23" t="n"/>
      <c r="G172" s="22" t="n"/>
      <c r="H172" s="22" t="n"/>
      <c r="I172" s="23" t="n"/>
    </row>
    <row r="173">
      <c r="A173" s="24" t="n"/>
      <c r="B173" s="22" t="n"/>
      <c r="C173" s="22" t="n"/>
      <c r="D173" s="22" t="n"/>
      <c r="E173" s="22" t="n"/>
      <c r="F173" s="23" t="n"/>
      <c r="G173" s="22" t="n"/>
      <c r="H173" s="22" t="n"/>
      <c r="I173" s="23" t="n"/>
    </row>
    <row r="174">
      <c r="A174" s="24" t="n"/>
      <c r="B174" s="22" t="n"/>
      <c r="C174" s="22" t="n"/>
      <c r="D174" s="22" t="n"/>
      <c r="E174" s="22" t="n"/>
      <c r="F174" s="23" t="n"/>
      <c r="G174" s="22" t="n"/>
      <c r="H174" s="22" t="n"/>
      <c r="I174" s="23" t="n"/>
    </row>
    <row r="175">
      <c r="A175" s="24" t="n"/>
      <c r="B175" s="22" t="n"/>
      <c r="C175" s="22" t="n"/>
      <c r="D175" s="22" t="n"/>
      <c r="E175" s="22" t="n"/>
      <c r="F175" s="23" t="n"/>
      <c r="G175" s="22" t="n"/>
      <c r="H175" s="22" t="n"/>
      <c r="I175" s="23" t="n"/>
    </row>
    <row r="176">
      <c r="A176" s="24" t="n"/>
      <c r="B176" s="22" t="n"/>
      <c r="C176" s="22" t="n"/>
      <c r="D176" s="22" t="n"/>
      <c r="E176" s="22" t="n"/>
      <c r="F176" s="23" t="n"/>
      <c r="G176" s="22" t="n"/>
      <c r="H176" s="22" t="n"/>
      <c r="I176" s="23" t="n"/>
    </row>
    <row r="177">
      <c r="A177" s="24" t="n"/>
      <c r="B177" s="22" t="n"/>
      <c r="C177" s="22" t="n"/>
      <c r="D177" s="22" t="n"/>
      <c r="E177" s="22" t="n"/>
      <c r="F177" s="23" t="n"/>
      <c r="G177" s="22" t="n"/>
      <c r="H177" s="22" t="n"/>
      <c r="I177" s="23" t="n"/>
    </row>
    <row r="178">
      <c r="A178" s="24" t="n"/>
      <c r="B178" s="22" t="n"/>
      <c r="C178" s="22" t="n"/>
      <c r="D178" s="22" t="n"/>
      <c r="E178" s="22" t="n"/>
      <c r="F178" s="23" t="n"/>
      <c r="G178" s="22" t="n"/>
      <c r="H178" s="22" t="n"/>
      <c r="I178" s="23" t="n"/>
    </row>
    <row r="179">
      <c r="A179" s="24" t="n"/>
      <c r="B179" s="22" t="n"/>
      <c r="C179" s="22" t="n"/>
      <c r="D179" s="22" t="n"/>
      <c r="E179" s="22" t="n"/>
      <c r="F179" s="23" t="n"/>
      <c r="G179" s="22" t="n"/>
      <c r="H179" s="22" t="n"/>
      <c r="I179" s="23" t="n"/>
    </row>
    <row r="180">
      <c r="A180" s="24" t="n"/>
      <c r="B180" s="22" t="n"/>
      <c r="C180" s="22" t="n"/>
      <c r="D180" s="22" t="n"/>
      <c r="E180" s="22" t="n"/>
      <c r="F180" s="23" t="n"/>
      <c r="G180" s="22" t="n"/>
      <c r="H180" s="22" t="n"/>
      <c r="I180" s="23" t="n"/>
    </row>
    <row r="181">
      <c r="A181" s="24" t="n"/>
      <c r="B181" s="22" t="n"/>
      <c r="C181" s="22" t="n"/>
      <c r="D181" s="22" t="n"/>
      <c r="E181" s="22" t="n"/>
      <c r="F181" s="23" t="n"/>
      <c r="G181" s="22" t="n"/>
      <c r="H181" s="22" t="n"/>
      <c r="I181" s="23" t="n"/>
    </row>
    <row r="182">
      <c r="A182" s="24" t="n"/>
      <c r="B182" s="22" t="n"/>
      <c r="C182" s="22" t="n"/>
      <c r="D182" s="22" t="n"/>
      <c r="E182" s="22" t="n"/>
      <c r="F182" s="23" t="n"/>
      <c r="G182" s="22" t="n"/>
      <c r="H182" s="22" t="n"/>
      <c r="I182" s="23" t="n"/>
    </row>
    <row r="183">
      <c r="A183" s="24" t="n"/>
      <c r="B183" s="22" t="n"/>
      <c r="C183" s="22" t="n"/>
      <c r="D183" s="22" t="n"/>
      <c r="E183" s="22" t="n"/>
      <c r="F183" s="23" t="n"/>
      <c r="G183" s="22" t="n"/>
      <c r="H183" s="22" t="n"/>
      <c r="I183" s="23" t="n"/>
    </row>
    <row r="184">
      <c r="A184" s="24" t="n"/>
      <c r="B184" s="22" t="n"/>
      <c r="C184" s="22" t="n"/>
      <c r="D184" s="22" t="n"/>
      <c r="E184" s="22" t="n"/>
      <c r="F184" s="23" t="n"/>
      <c r="G184" s="22" t="n"/>
      <c r="H184" s="22" t="n"/>
      <c r="I184" s="23" t="n"/>
    </row>
    <row r="185">
      <c r="A185" s="24" t="n"/>
      <c r="B185" s="22" t="n"/>
      <c r="C185" s="22" t="n"/>
      <c r="D185" s="22" t="n"/>
      <c r="E185" s="22" t="n"/>
      <c r="F185" s="23" t="n"/>
      <c r="G185" s="22" t="n"/>
      <c r="H185" s="22" t="n"/>
      <c r="I185" s="23" t="n"/>
    </row>
    <row r="186">
      <c r="A186" s="24" t="n"/>
      <c r="B186" s="22" t="n"/>
      <c r="C186" s="22" t="n"/>
      <c r="D186" s="22" t="n"/>
      <c r="E186" s="22" t="n"/>
      <c r="F186" s="23" t="n"/>
      <c r="G186" s="22" t="n"/>
      <c r="H186" s="22" t="n"/>
      <c r="I186" s="23" t="n"/>
    </row>
    <row r="187">
      <c r="A187" s="24" t="n"/>
      <c r="B187" s="22" t="n"/>
      <c r="C187" s="22" t="n"/>
      <c r="D187" s="22" t="n"/>
      <c r="E187" s="22" t="n"/>
      <c r="F187" s="23" t="n"/>
      <c r="G187" s="22" t="n"/>
      <c r="H187" s="22" t="n"/>
      <c r="I187" s="23" t="n"/>
    </row>
    <row r="188">
      <c r="A188" s="24" t="n"/>
      <c r="B188" s="22" t="n"/>
      <c r="C188" s="22" t="n"/>
      <c r="D188" s="22" t="n"/>
      <c r="E188" s="22" t="n"/>
      <c r="F188" s="23" t="n"/>
      <c r="G188" s="22" t="n"/>
      <c r="H188" s="22" t="n"/>
      <c r="I188" s="23" t="n"/>
    </row>
    <row r="189">
      <c r="A189" s="24" t="n"/>
      <c r="B189" s="22" t="n"/>
      <c r="C189" s="22" t="n"/>
      <c r="D189" s="22" t="n"/>
      <c r="E189" s="22" t="n"/>
      <c r="F189" s="23" t="n"/>
      <c r="G189" s="22" t="n"/>
      <c r="H189" s="22" t="n"/>
      <c r="I189" s="23" t="n"/>
    </row>
    <row r="190">
      <c r="A190" s="24" t="n"/>
      <c r="B190" s="22" t="n"/>
      <c r="C190" s="22" t="n"/>
      <c r="D190" s="22" t="n"/>
      <c r="E190" s="22" t="n"/>
      <c r="F190" s="23" t="n"/>
      <c r="G190" s="22" t="n"/>
      <c r="H190" s="22" t="n"/>
      <c r="I190" s="23" t="n"/>
    </row>
    <row r="191">
      <c r="A191" s="24" t="n"/>
      <c r="B191" s="22" t="n"/>
      <c r="C191" s="22" t="n"/>
      <c r="D191" s="22" t="n"/>
      <c r="E191" s="22" t="n"/>
      <c r="F191" s="23" t="n"/>
      <c r="G191" s="22" t="n"/>
      <c r="H191" s="22" t="n"/>
      <c r="I191" s="23" t="n"/>
    </row>
    <row r="192">
      <c r="A192" s="24" t="n"/>
      <c r="B192" s="22" t="n"/>
      <c r="C192" s="22" t="n"/>
      <c r="D192" s="22" t="n"/>
      <c r="E192" s="22" t="n"/>
      <c r="F192" s="23" t="n"/>
      <c r="G192" s="22" t="n"/>
      <c r="H192" s="22" t="n"/>
      <c r="I192" s="23" t="n"/>
    </row>
    <row r="193">
      <c r="A193" s="24" t="n"/>
      <c r="B193" s="22" t="n"/>
      <c r="C193" s="22" t="n"/>
      <c r="D193" s="22" t="n"/>
      <c r="E193" s="22" t="n"/>
      <c r="F193" s="23" t="n"/>
      <c r="G193" s="22" t="n"/>
      <c r="H193" s="22" t="n"/>
      <c r="I193" s="23" t="n"/>
    </row>
    <row r="194">
      <c r="A194" s="24" t="n"/>
      <c r="B194" s="22" t="n"/>
      <c r="C194" s="22" t="n"/>
      <c r="D194" s="22" t="n"/>
      <c r="E194" s="22" t="n"/>
      <c r="F194" s="23" t="n"/>
      <c r="G194" s="22" t="n"/>
      <c r="H194" s="22" t="n"/>
      <c r="I194" s="23" t="n"/>
    </row>
    <row r="195">
      <c r="A195" s="24" t="n"/>
      <c r="B195" s="22" t="n"/>
      <c r="C195" s="22" t="n"/>
      <c r="D195" s="22" t="n"/>
      <c r="E195" s="22" t="n"/>
      <c r="F195" s="23" t="n"/>
      <c r="G195" s="22" t="n"/>
      <c r="H195" s="22" t="n"/>
      <c r="I195" s="23" t="n"/>
    </row>
    <row r="196">
      <c r="A196" s="24" t="n"/>
      <c r="B196" s="22" t="n"/>
      <c r="C196" s="22" t="n"/>
      <c r="D196" s="22" t="n"/>
      <c r="E196" s="22" t="n"/>
      <c r="F196" s="23" t="n"/>
      <c r="G196" s="22" t="n"/>
      <c r="H196" s="22" t="n"/>
      <c r="I196" s="23" t="n"/>
    </row>
    <row r="197">
      <c r="A197" s="24" t="n"/>
      <c r="B197" s="22" t="n"/>
      <c r="C197" s="22" t="n"/>
      <c r="D197" s="22" t="n"/>
      <c r="E197" s="22" t="n"/>
      <c r="F197" s="23" t="n"/>
      <c r="G197" s="22" t="n"/>
      <c r="H197" s="22" t="n"/>
      <c r="I197" s="23" t="n"/>
    </row>
    <row r="198">
      <c r="A198" s="24" t="n"/>
      <c r="B198" s="22" t="n"/>
      <c r="C198" s="22" t="n"/>
      <c r="D198" s="22" t="n"/>
      <c r="E198" s="22" t="n"/>
      <c r="F198" s="23" t="n"/>
      <c r="G198" s="22" t="n"/>
      <c r="H198" s="22" t="n"/>
      <c r="I198" s="23" t="n"/>
    </row>
    <row r="199">
      <c r="A199" s="24" t="n"/>
      <c r="B199" s="22" t="n"/>
      <c r="C199" s="22" t="n"/>
      <c r="D199" s="22" t="n"/>
      <c r="E199" s="22" t="n"/>
      <c r="F199" s="23" t="n"/>
      <c r="G199" s="22" t="n"/>
      <c r="H199" s="22" t="n"/>
      <c r="I199" s="23" t="n"/>
    </row>
    <row r="200">
      <c r="A200" s="24" t="n"/>
      <c r="B200" s="22" t="n"/>
      <c r="C200" s="22" t="n"/>
      <c r="D200" s="22" t="n"/>
      <c r="E200" s="22" t="n"/>
      <c r="F200" s="23" t="n"/>
      <c r="G200" s="22" t="n"/>
      <c r="H200" s="22" t="n"/>
      <c r="I200" s="23" t="n"/>
    </row>
    <row r="201">
      <c r="A201" s="24" t="n"/>
      <c r="B201" s="22" t="n"/>
      <c r="C201" s="22" t="n"/>
      <c r="D201" s="22" t="n"/>
      <c r="E201" s="22" t="n"/>
      <c r="F201" s="23" t="n"/>
      <c r="G201" s="22" t="n"/>
      <c r="H201" s="22" t="n"/>
      <c r="I201" s="23" t="n"/>
    </row>
    <row r="202">
      <c r="A202" s="24" t="n"/>
      <c r="B202" s="22" t="n"/>
      <c r="C202" s="22" t="n"/>
      <c r="D202" s="22" t="n"/>
      <c r="E202" s="22" t="n"/>
      <c r="F202" s="23" t="n"/>
      <c r="G202" s="22" t="n"/>
      <c r="H202" s="22" t="n"/>
      <c r="I202" s="23" t="n"/>
    </row>
    <row r="203">
      <c r="A203" s="24" t="n"/>
      <c r="B203" s="22" t="n"/>
      <c r="C203" s="22" t="n"/>
      <c r="D203" s="22" t="n"/>
      <c r="E203" s="22" t="n"/>
      <c r="F203" s="23" t="n"/>
      <c r="G203" s="22" t="n"/>
      <c r="H203" s="22" t="n"/>
      <c r="I203" s="23" t="n"/>
    </row>
    <row r="204">
      <c r="A204" s="24" t="n"/>
      <c r="B204" s="22" t="n"/>
      <c r="C204" s="22" t="n"/>
      <c r="D204" s="22" t="n"/>
      <c r="E204" s="22" t="n"/>
      <c r="F204" s="23" t="n"/>
      <c r="G204" s="22" t="n"/>
      <c r="H204" s="22" t="n"/>
      <c r="I204" s="23" t="n"/>
    </row>
    <row r="205">
      <c r="A205" s="24" t="n"/>
      <c r="B205" s="22" t="n"/>
      <c r="C205" s="22" t="n"/>
      <c r="D205" s="22" t="n"/>
      <c r="E205" s="22" t="n"/>
      <c r="F205" s="23" t="n"/>
      <c r="G205" s="22" t="n"/>
      <c r="H205" s="22" t="n"/>
      <c r="I205" s="23" t="n"/>
    </row>
    <row r="206">
      <c r="A206" s="24" t="n"/>
      <c r="B206" s="22" t="n"/>
      <c r="C206" s="22" t="n"/>
      <c r="D206" s="22" t="n"/>
      <c r="E206" s="22" t="n"/>
      <c r="F206" s="23" t="n"/>
      <c r="G206" s="22" t="n"/>
      <c r="H206" s="22" t="n"/>
      <c r="I206" s="23" t="n"/>
    </row>
    <row r="207">
      <c r="A207" s="24" t="n"/>
      <c r="B207" s="22" t="n"/>
      <c r="C207" s="22" t="n"/>
      <c r="D207" s="22" t="n"/>
      <c r="E207" s="22" t="n"/>
      <c r="F207" s="23" t="n"/>
      <c r="G207" s="22" t="n"/>
      <c r="H207" s="22" t="n"/>
      <c r="I207" s="23" t="n"/>
    </row>
    <row r="208">
      <c r="A208" s="24" t="n"/>
      <c r="B208" s="22" t="n"/>
      <c r="C208" s="22" t="n"/>
      <c r="D208" s="22" t="n"/>
      <c r="E208" s="22" t="n"/>
      <c r="F208" s="23" t="n"/>
      <c r="G208" s="22" t="n"/>
      <c r="H208" s="22" t="n"/>
      <c r="I208" s="23" t="n"/>
    </row>
    <row r="209">
      <c r="A209" s="24" t="n"/>
      <c r="B209" s="22" t="n"/>
      <c r="C209" s="22" t="n"/>
      <c r="D209" s="22" t="n"/>
      <c r="E209" s="22" t="n"/>
      <c r="F209" s="23" t="n"/>
      <c r="G209" s="22" t="n"/>
      <c r="H209" s="22" t="n"/>
      <c r="I209" s="23" t="n"/>
    </row>
    <row r="210">
      <c r="A210" s="24" t="n"/>
      <c r="B210" s="22" t="n"/>
      <c r="C210" s="22" t="n"/>
      <c r="D210" s="22" t="n"/>
      <c r="E210" s="22" t="n"/>
      <c r="F210" s="23" t="n"/>
      <c r="G210" s="22" t="n"/>
      <c r="H210" s="22" t="n"/>
      <c r="I210" s="23" t="n"/>
    </row>
    <row r="211">
      <c r="A211" s="24" t="n"/>
      <c r="B211" s="22" t="n"/>
      <c r="C211" s="22" t="n"/>
      <c r="D211" s="22" t="n"/>
      <c r="E211" s="22" t="n"/>
      <c r="F211" s="23" t="n"/>
      <c r="G211" s="22" t="n"/>
      <c r="H211" s="22" t="n"/>
      <c r="I211" s="23" t="n"/>
    </row>
    <row r="212">
      <c r="A212" s="24" t="n"/>
      <c r="B212" s="22" t="n"/>
      <c r="C212" s="22" t="n"/>
      <c r="D212" s="22" t="n"/>
      <c r="E212" s="22" t="n"/>
      <c r="F212" s="23" t="n"/>
      <c r="G212" s="22" t="n"/>
      <c r="H212" s="22" t="n"/>
      <c r="I212" s="23" t="n"/>
    </row>
    <row r="213">
      <c r="A213" s="24" t="n"/>
      <c r="B213" s="22" t="n"/>
      <c r="C213" s="22" t="n"/>
      <c r="D213" s="22" t="n"/>
      <c r="E213" s="22" t="n"/>
      <c r="F213" s="23" t="n"/>
      <c r="G213" s="22" t="n"/>
      <c r="H213" s="22" t="n"/>
      <c r="I213" s="23" t="n"/>
    </row>
    <row r="214">
      <c r="A214" s="24" t="n"/>
      <c r="B214" s="22" t="n"/>
      <c r="C214" s="22" t="n"/>
      <c r="D214" s="22" t="n"/>
      <c r="E214" s="22" t="n"/>
      <c r="F214" s="23" t="n"/>
      <c r="G214" s="22" t="n"/>
      <c r="H214" s="22" t="n"/>
      <c r="I214" s="23" t="n"/>
    </row>
    <row r="215">
      <c r="A215" s="24" t="n"/>
      <c r="B215" s="22" t="n"/>
      <c r="C215" s="22" t="n"/>
      <c r="D215" s="22" t="n"/>
      <c r="E215" s="22" t="n"/>
      <c r="F215" s="23" t="n"/>
      <c r="G215" s="22" t="n"/>
      <c r="H215" s="22" t="n"/>
      <c r="I215" s="23" t="n"/>
    </row>
    <row r="216">
      <c r="A216" s="24" t="n"/>
      <c r="B216" s="22" t="n"/>
      <c r="C216" s="22" t="n"/>
      <c r="D216" s="22" t="n"/>
      <c r="E216" s="22" t="n"/>
      <c r="F216" s="23" t="n"/>
      <c r="G216" s="22" t="n"/>
      <c r="H216" s="22" t="n"/>
      <c r="I216" s="23" t="n"/>
    </row>
    <row r="217">
      <c r="A217" s="24" t="n"/>
      <c r="B217" s="22" t="n"/>
      <c r="C217" s="22" t="n"/>
      <c r="D217" s="22" t="n"/>
      <c r="E217" s="22" t="n"/>
      <c r="F217" s="23" t="n"/>
      <c r="G217" s="22" t="n"/>
      <c r="H217" s="22" t="n"/>
      <c r="I217" s="23" t="n"/>
    </row>
    <row r="218">
      <c r="A218" s="24" t="n"/>
      <c r="B218" s="22" t="n"/>
      <c r="C218" s="22" t="n"/>
      <c r="D218" s="22" t="n"/>
      <c r="E218" s="22" t="n"/>
      <c r="F218" s="23" t="n"/>
      <c r="G218" s="22" t="n"/>
      <c r="H218" s="22" t="n"/>
      <c r="I218" s="23" t="n"/>
    </row>
    <row r="219">
      <c r="A219" s="24" t="n"/>
      <c r="B219" s="22" t="n"/>
      <c r="C219" s="22" t="n"/>
      <c r="D219" s="22" t="n"/>
      <c r="E219" s="22" t="n"/>
      <c r="F219" s="23" t="n"/>
      <c r="G219" s="22" t="n"/>
      <c r="H219" s="22" t="n"/>
      <c r="I219" s="23" t="n"/>
    </row>
    <row r="220">
      <c r="A220" s="24" t="n"/>
      <c r="B220" s="22" t="n"/>
      <c r="C220" s="22" t="n"/>
      <c r="D220" s="22" t="n"/>
      <c r="E220" s="22" t="n"/>
      <c r="F220" s="23" t="n"/>
      <c r="G220" s="22" t="n"/>
      <c r="H220" s="22" t="n"/>
      <c r="I220" s="23" t="n"/>
    </row>
    <row r="221">
      <c r="A221" s="24" t="n"/>
      <c r="B221" s="22" t="n"/>
      <c r="C221" s="22" t="n"/>
      <c r="D221" s="22" t="n"/>
      <c r="E221" s="22" t="n"/>
      <c r="F221" s="23" t="n"/>
      <c r="G221" s="22" t="n"/>
      <c r="H221" s="22" t="n"/>
      <c r="I221" s="23" t="n"/>
    </row>
    <row r="222">
      <c r="A222" s="24" t="n"/>
      <c r="B222" s="22" t="n"/>
      <c r="C222" s="22" t="n"/>
      <c r="D222" s="22" t="n"/>
      <c r="E222" s="22" t="n"/>
      <c r="F222" s="23" t="n"/>
      <c r="G222" s="22" t="n"/>
      <c r="H222" s="22" t="n"/>
      <c r="I222" s="23" t="n"/>
    </row>
    <row r="223">
      <c r="A223" s="24" t="n"/>
      <c r="B223" s="22" t="n"/>
      <c r="C223" s="22" t="n"/>
      <c r="D223" s="22" t="n"/>
      <c r="E223" s="22" t="n"/>
      <c r="F223" s="23" t="n"/>
      <c r="G223" s="22" t="n"/>
      <c r="H223" s="22" t="n"/>
      <c r="I223" s="23" t="n"/>
    </row>
    <row r="224">
      <c r="A224" s="24" t="n"/>
      <c r="B224" s="22" t="n"/>
      <c r="C224" s="22" t="n"/>
      <c r="D224" s="22" t="n"/>
      <c r="E224" s="22" t="n"/>
      <c r="F224" s="23" t="n"/>
      <c r="G224" s="22" t="n"/>
      <c r="H224" s="22" t="n"/>
      <c r="I224" s="23" t="n"/>
    </row>
    <row r="225">
      <c r="A225" s="24" t="n"/>
      <c r="B225" s="22" t="n"/>
      <c r="C225" s="22" t="n"/>
      <c r="D225" s="22" t="n"/>
      <c r="E225" s="22" t="n"/>
      <c r="F225" s="23" t="n"/>
      <c r="G225" s="22" t="n"/>
      <c r="H225" s="22" t="n"/>
      <c r="I225" s="23" t="n"/>
    </row>
    <row r="226">
      <c r="A226" s="24" t="n"/>
      <c r="B226" s="22" t="n"/>
      <c r="C226" s="22" t="n"/>
      <c r="D226" s="22" t="n"/>
      <c r="E226" s="22" t="n"/>
      <c r="F226" s="23" t="n"/>
      <c r="G226" s="22" t="n"/>
      <c r="H226" s="22" t="n"/>
      <c r="I226" s="23" t="n"/>
    </row>
    <row r="227">
      <c r="A227" s="24" t="n"/>
      <c r="B227" s="22" t="n"/>
      <c r="C227" s="22" t="n"/>
      <c r="D227" s="22" t="n"/>
      <c r="E227" s="22" t="n"/>
      <c r="F227" s="23" t="n"/>
      <c r="G227" s="22" t="n"/>
      <c r="H227" s="22" t="n"/>
      <c r="I227" s="23" t="n"/>
    </row>
    <row r="228">
      <c r="A228" s="24" t="n"/>
      <c r="B228" s="22" t="n"/>
      <c r="C228" s="22" t="n"/>
      <c r="D228" s="22" t="n"/>
      <c r="E228" s="22" t="n"/>
      <c r="F228" s="23" t="n"/>
      <c r="G228" s="22" t="n"/>
      <c r="H228" s="22" t="n"/>
      <c r="I228" s="23" t="n"/>
    </row>
    <row r="229">
      <c r="A229" s="24" t="n"/>
      <c r="B229" s="22" t="n"/>
      <c r="C229" s="22" t="n"/>
      <c r="D229" s="22" t="n"/>
      <c r="E229" s="22" t="n"/>
      <c r="F229" s="23" t="n"/>
      <c r="G229" s="22" t="n"/>
      <c r="H229" s="22" t="n"/>
      <c r="I229" s="23" t="n"/>
    </row>
    <row r="230">
      <c r="A230" s="24" t="n"/>
      <c r="B230" s="22" t="n"/>
      <c r="C230" s="22" t="n"/>
      <c r="D230" s="22" t="n"/>
      <c r="E230" s="22" t="n"/>
      <c r="F230" s="23" t="n"/>
      <c r="G230" s="22" t="n"/>
      <c r="H230" s="22" t="n"/>
      <c r="I230" s="23" t="n"/>
    </row>
    <row r="231">
      <c r="A231" s="24" t="n"/>
      <c r="B231" s="22" t="n"/>
      <c r="C231" s="22" t="n"/>
      <c r="D231" s="22" t="n"/>
      <c r="E231" s="22" t="n"/>
      <c r="F231" s="23" t="n"/>
      <c r="G231" s="22" t="n"/>
      <c r="H231" s="22" t="n"/>
      <c r="I231" s="23" t="n"/>
    </row>
    <row r="232">
      <c r="A232" s="24" t="n"/>
      <c r="B232" s="22" t="n"/>
      <c r="C232" s="22" t="n"/>
      <c r="D232" s="22" t="n"/>
      <c r="E232" s="22" t="n"/>
      <c r="F232" s="23" t="n"/>
      <c r="G232" s="22" t="n"/>
      <c r="H232" s="22" t="n"/>
      <c r="I232" s="23" t="n"/>
    </row>
    <row r="233">
      <c r="A233" s="24" t="n"/>
      <c r="B233" s="22" t="n"/>
      <c r="C233" s="22" t="n"/>
      <c r="D233" s="22" t="n"/>
      <c r="E233" s="22" t="n"/>
      <c r="F233" s="23" t="n"/>
      <c r="G233" s="22" t="n"/>
      <c r="H233" s="22" t="n"/>
      <c r="I233" s="23" t="n"/>
    </row>
    <row r="234">
      <c r="A234" s="24" t="n"/>
      <c r="B234" s="22" t="n"/>
      <c r="C234" s="22" t="n"/>
      <c r="D234" s="22" t="n"/>
      <c r="E234" s="22" t="n"/>
      <c r="F234" s="23" t="n"/>
      <c r="G234" s="22" t="n"/>
      <c r="H234" s="22" t="n"/>
      <c r="I234" s="23" t="n"/>
    </row>
    <row r="235">
      <c r="A235" s="24" t="n"/>
      <c r="B235" s="22" t="n"/>
      <c r="C235" s="22" t="n"/>
      <c r="D235" s="22" t="n"/>
      <c r="E235" s="22" t="n"/>
      <c r="F235" s="23" t="n"/>
      <c r="G235" s="22" t="n"/>
      <c r="H235" s="22" t="n"/>
      <c r="I235" s="23" t="n"/>
    </row>
    <row r="236">
      <c r="A236" s="24" t="n"/>
      <c r="B236" s="22" t="n"/>
      <c r="C236" s="22" t="n"/>
      <c r="D236" s="22" t="n"/>
      <c r="E236" s="22" t="n"/>
      <c r="F236" s="23" t="n"/>
      <c r="G236" s="22" t="n"/>
      <c r="H236" s="22" t="n"/>
      <c r="I236" s="23" t="n"/>
    </row>
    <row r="237">
      <c r="A237" s="24" t="n"/>
      <c r="B237" s="22" t="n"/>
      <c r="C237" s="22" t="n"/>
      <c r="D237" s="22" t="n"/>
      <c r="E237" s="22" t="n"/>
      <c r="F237" s="23" t="n"/>
      <c r="G237" s="22" t="n"/>
      <c r="H237" s="22" t="n"/>
      <c r="I237" s="23" t="n"/>
    </row>
    <row r="238">
      <c r="A238" s="24" t="n"/>
      <c r="B238" s="22" t="n"/>
      <c r="C238" s="22" t="n"/>
      <c r="D238" s="22" t="n"/>
      <c r="E238" s="22" t="n"/>
      <c r="F238" s="23" t="n"/>
      <c r="G238" s="22" t="n"/>
      <c r="H238" s="22" t="n"/>
      <c r="I238" s="23" t="n"/>
    </row>
    <row r="239">
      <c r="A239" s="24" t="n"/>
      <c r="B239" s="22" t="n"/>
      <c r="C239" s="22" t="n"/>
      <c r="D239" s="22" t="n"/>
      <c r="E239" s="22" t="n"/>
      <c r="F239" s="23" t="n"/>
      <c r="G239" s="22" t="n"/>
      <c r="H239" s="22" t="n"/>
      <c r="I239" s="23" t="n"/>
    </row>
    <row r="240">
      <c r="A240" s="24" t="n"/>
      <c r="B240" s="22" t="n"/>
      <c r="C240" s="22" t="n"/>
      <c r="D240" s="22" t="n"/>
      <c r="E240" s="22" t="n"/>
      <c r="F240" s="23" t="n"/>
      <c r="G240" s="22" t="n"/>
      <c r="H240" s="22" t="n"/>
      <c r="I240" s="23" t="n"/>
    </row>
    <row r="241">
      <c r="A241" s="24" t="n"/>
      <c r="B241" s="22" t="n"/>
      <c r="C241" s="22" t="n"/>
      <c r="D241" s="22" t="n"/>
      <c r="E241" s="22" t="n"/>
      <c r="F241" s="23" t="n"/>
      <c r="G241" s="22" t="n"/>
      <c r="H241" s="22" t="n"/>
      <c r="I241" s="23" t="n"/>
    </row>
    <row r="242">
      <c r="A242" s="24" t="n"/>
      <c r="B242" s="22" t="n"/>
      <c r="C242" s="22" t="n"/>
      <c r="D242" s="22" t="n"/>
      <c r="E242" s="22" t="n"/>
      <c r="F242" s="23" t="n"/>
      <c r="G242" s="22" t="n"/>
      <c r="H242" s="22" t="n"/>
      <c r="I242" s="23" t="n"/>
    </row>
    <row r="243">
      <c r="A243" s="24" t="n"/>
      <c r="B243" s="22" t="n"/>
      <c r="C243" s="22" t="n"/>
      <c r="D243" s="22" t="n"/>
      <c r="E243" s="22" t="n"/>
      <c r="F243" s="23" t="n"/>
      <c r="G243" s="22" t="n"/>
      <c r="H243" s="22" t="n"/>
      <c r="I243" s="23" t="n"/>
    </row>
    <row r="244">
      <c r="A244" s="24" t="n"/>
      <c r="B244" s="22" t="n"/>
      <c r="C244" s="22" t="n"/>
      <c r="D244" s="22" t="n"/>
      <c r="E244" s="22" t="n"/>
      <c r="F244" s="23" t="n"/>
      <c r="G244" s="22" t="n"/>
      <c r="H244" s="22" t="n"/>
      <c r="I244" s="23" t="n"/>
    </row>
    <row r="245">
      <c r="A245" s="24" t="n"/>
      <c r="B245" s="22" t="n"/>
      <c r="C245" s="22" t="n"/>
      <c r="D245" s="22" t="n"/>
      <c r="E245" s="22" t="n"/>
      <c r="F245" s="23" t="n"/>
      <c r="G245" s="22" t="n"/>
      <c r="H245" s="22" t="n"/>
      <c r="I245" s="23" t="n"/>
    </row>
    <row r="246">
      <c r="A246" s="24" t="n"/>
      <c r="B246" s="22" t="n"/>
      <c r="C246" s="22" t="n"/>
      <c r="D246" s="22" t="n"/>
      <c r="E246" s="22" t="n"/>
      <c r="F246" s="23" t="n"/>
      <c r="G246" s="22" t="n"/>
      <c r="H246" s="22" t="n"/>
      <c r="I246" s="23" t="n"/>
    </row>
    <row r="247">
      <c r="A247" s="24" t="n"/>
      <c r="B247" s="22" t="n"/>
      <c r="C247" s="22" t="n"/>
      <c r="D247" s="22" t="n"/>
      <c r="E247" s="22" t="n"/>
      <c r="F247" s="23" t="n"/>
      <c r="G247" s="22" t="n"/>
      <c r="H247" s="22" t="n"/>
      <c r="I247" s="23" t="n"/>
    </row>
    <row r="248">
      <c r="A248" s="24" t="n"/>
      <c r="B248" s="22" t="n"/>
      <c r="C248" s="22" t="n"/>
      <c r="D248" s="22" t="n"/>
      <c r="E248" s="22" t="n"/>
      <c r="F248" s="23" t="n"/>
      <c r="G248" s="22" t="n"/>
      <c r="H248" s="22" t="n"/>
      <c r="I248" s="23" t="n"/>
    </row>
    <row r="249">
      <c r="A249" s="24" t="n"/>
      <c r="B249" s="22" t="n"/>
      <c r="C249" s="22" t="n"/>
      <c r="D249" s="22" t="n"/>
      <c r="E249" s="22" t="n"/>
      <c r="F249" s="23" t="n"/>
      <c r="G249" s="22" t="n"/>
      <c r="H249" s="22" t="n"/>
      <c r="I249" s="23" t="n"/>
    </row>
    <row r="250">
      <c r="A250" s="24" t="n"/>
      <c r="B250" s="22" t="n"/>
      <c r="C250" s="22" t="n"/>
      <c r="D250" s="22" t="n"/>
      <c r="E250" s="22" t="n"/>
      <c r="F250" s="23" t="n"/>
      <c r="G250" s="22" t="n"/>
      <c r="H250" s="22" t="n"/>
      <c r="I250" s="23" t="n"/>
    </row>
    <row r="251">
      <c r="A251" s="24" t="n"/>
      <c r="B251" s="22" t="n"/>
      <c r="C251" s="22" t="n"/>
      <c r="D251" s="22" t="n"/>
      <c r="E251" s="22" t="n"/>
      <c r="F251" s="23" t="n"/>
      <c r="G251" s="22" t="n"/>
      <c r="H251" s="22" t="n"/>
      <c r="I251" s="23" t="n"/>
    </row>
    <row r="252">
      <c r="A252" s="24" t="n"/>
      <c r="B252" s="22" t="n"/>
      <c r="C252" s="22" t="n"/>
      <c r="D252" s="22" t="n"/>
      <c r="E252" s="22" t="n"/>
      <c r="F252" s="23" t="n"/>
      <c r="G252" s="22" t="n"/>
      <c r="H252" s="22" t="n"/>
      <c r="I252" s="23" t="n"/>
    </row>
    <row r="253">
      <c r="A253" s="24" t="n"/>
      <c r="B253" s="22" t="n"/>
      <c r="C253" s="22" t="n"/>
      <c r="D253" s="22" t="n"/>
      <c r="E253" s="22" t="n"/>
      <c r="F253" s="23" t="n"/>
      <c r="G253" s="22" t="n"/>
      <c r="H253" s="22" t="n"/>
      <c r="I253" s="23" t="n"/>
    </row>
    <row r="254">
      <c r="A254" s="24" t="n"/>
      <c r="B254" s="22" t="n"/>
      <c r="C254" s="22" t="n"/>
      <c r="D254" s="22" t="n"/>
      <c r="E254" s="22" t="n"/>
      <c r="F254" s="23" t="n"/>
      <c r="G254" s="22" t="n"/>
      <c r="H254" s="22" t="n"/>
      <c r="I254" s="23" t="n"/>
    </row>
    <row r="255">
      <c r="A255" s="24" t="n"/>
      <c r="B255" s="22" t="n"/>
      <c r="C255" s="22" t="n"/>
      <c r="D255" s="22" t="n"/>
      <c r="E255" s="22" t="n"/>
      <c r="F255" s="23" t="n"/>
      <c r="G255" s="22" t="n"/>
      <c r="H255" s="22" t="n"/>
      <c r="I255" s="23" t="n"/>
    </row>
    <row r="256">
      <c r="A256" s="24" t="n"/>
      <c r="B256" s="22" t="n"/>
      <c r="C256" s="22" t="n"/>
      <c r="D256" s="22" t="n"/>
      <c r="E256" s="22" t="n"/>
      <c r="F256" s="23" t="n"/>
      <c r="G256" s="22" t="n"/>
      <c r="H256" s="22" t="n"/>
      <c r="I256" s="23" t="n"/>
    </row>
    <row r="257">
      <c r="A257" s="24" t="n"/>
      <c r="B257" s="22" t="n"/>
      <c r="C257" s="22" t="n"/>
      <c r="D257" s="22" t="n"/>
      <c r="E257" s="22" t="n"/>
      <c r="F257" s="23" t="n"/>
      <c r="G257" s="22" t="n"/>
      <c r="H257" s="22" t="n"/>
      <c r="I257" s="23" t="n"/>
    </row>
    <row r="258">
      <c r="A258" s="24" t="n"/>
      <c r="B258" s="22" t="n"/>
      <c r="C258" s="22" t="n"/>
      <c r="D258" s="22" t="n"/>
      <c r="E258" s="22" t="n"/>
      <c r="F258" s="23" t="n"/>
      <c r="G258" s="22" t="n"/>
      <c r="H258" s="22" t="n"/>
      <c r="I258" s="23" t="n"/>
    </row>
    <row r="259">
      <c r="A259" s="24" t="n"/>
      <c r="B259" s="22" t="n"/>
      <c r="C259" s="22" t="n"/>
      <c r="D259" s="22" t="n"/>
      <c r="E259" s="22" t="n"/>
      <c r="F259" s="23" t="n"/>
      <c r="G259" s="22" t="n"/>
      <c r="H259" s="22" t="n"/>
      <c r="I259" s="23" t="n"/>
    </row>
    <row r="260">
      <c r="A260" s="24" t="n"/>
      <c r="B260" s="22" t="n"/>
      <c r="C260" s="22" t="n"/>
      <c r="D260" s="22" t="n"/>
      <c r="E260" s="22" t="n"/>
      <c r="F260" s="23" t="n"/>
      <c r="G260" s="22" t="n"/>
      <c r="H260" s="22" t="n"/>
      <c r="I260" s="23" t="n"/>
    </row>
    <row r="261">
      <c r="A261" s="24" t="n"/>
      <c r="B261" s="22" t="n"/>
      <c r="C261" s="22" t="n"/>
      <c r="D261" s="22" t="n"/>
      <c r="E261" s="22" t="n"/>
      <c r="F261" s="23" t="n"/>
      <c r="G261" s="22" t="n"/>
      <c r="H261" s="22" t="n"/>
      <c r="I261" s="23" t="n"/>
    </row>
    <row r="262">
      <c r="A262" s="24" t="n"/>
      <c r="B262" s="22" t="n"/>
      <c r="C262" s="22" t="n"/>
      <c r="D262" s="22" t="n"/>
      <c r="E262" s="22" t="n"/>
      <c r="F262" s="23" t="n"/>
      <c r="G262" s="22" t="n"/>
      <c r="H262" s="22" t="n"/>
      <c r="I262" s="23" t="n"/>
    </row>
    <row r="263">
      <c r="A263" s="24" t="n"/>
      <c r="B263" s="22" t="n"/>
      <c r="C263" s="22" t="n"/>
      <c r="D263" s="22" t="n"/>
      <c r="E263" s="22" t="n"/>
      <c r="F263" s="23" t="n"/>
      <c r="G263" s="22" t="n"/>
      <c r="H263" s="22" t="n"/>
      <c r="I263" s="23" t="n"/>
    </row>
    <row r="264">
      <c r="A264" s="24" t="n"/>
      <c r="B264" s="22" t="n"/>
      <c r="C264" s="22" t="n"/>
      <c r="D264" s="22" t="n"/>
      <c r="E264" s="22" t="n"/>
      <c r="F264" s="23" t="n"/>
      <c r="G264" s="22" t="n"/>
      <c r="H264" s="22" t="n"/>
      <c r="I264" s="23" t="n"/>
    </row>
    <row r="265">
      <c r="A265" s="24" t="n"/>
      <c r="B265" s="22" t="n"/>
      <c r="C265" s="22" t="n"/>
      <c r="D265" s="22" t="n"/>
      <c r="E265" s="22" t="n"/>
      <c r="F265" s="23" t="n"/>
      <c r="G265" s="22" t="n"/>
      <c r="H265" s="22" t="n"/>
      <c r="I265" s="23" t="n"/>
    </row>
    <row r="266">
      <c r="A266" s="24" t="n"/>
      <c r="B266" s="22" t="n"/>
      <c r="C266" s="22" t="n"/>
      <c r="D266" s="22" t="n"/>
      <c r="E266" s="22" t="n"/>
      <c r="F266" s="23" t="n"/>
      <c r="G266" s="22" t="n"/>
      <c r="H266" s="22" t="n"/>
      <c r="I266" s="23" t="n"/>
    </row>
    <row r="267">
      <c r="A267" s="24" t="n"/>
      <c r="B267" s="22" t="n"/>
      <c r="C267" s="22" t="n"/>
      <c r="D267" s="22" t="n"/>
      <c r="E267" s="22" t="n"/>
      <c r="F267" s="23" t="n"/>
      <c r="G267" s="22" t="n"/>
      <c r="H267" s="22" t="n"/>
      <c r="I267" s="23" t="n"/>
    </row>
    <row r="268">
      <c r="A268" s="24" t="n"/>
      <c r="B268" s="22" t="n"/>
      <c r="C268" s="22" t="n"/>
      <c r="D268" s="22" t="n"/>
      <c r="E268" s="22" t="n"/>
      <c r="F268" s="23" t="n"/>
      <c r="G268" s="22" t="n"/>
      <c r="H268" s="22" t="n"/>
      <c r="I268" s="23" t="n"/>
    </row>
    <row r="269">
      <c r="A269" s="24" t="n"/>
      <c r="B269" s="22" t="n"/>
      <c r="C269" s="22" t="n"/>
      <c r="D269" s="22" t="n"/>
      <c r="E269" s="22" t="n"/>
      <c r="F269" s="23" t="n"/>
      <c r="G269" s="22" t="n"/>
      <c r="H269" s="22" t="n"/>
      <c r="I269" s="23" t="n"/>
    </row>
    <row r="270">
      <c r="A270" s="24" t="n"/>
      <c r="B270" s="22" t="n"/>
      <c r="C270" s="22" t="n"/>
      <c r="D270" s="22" t="n"/>
      <c r="E270" s="22" t="n"/>
      <c r="F270" s="23" t="n"/>
      <c r="G270" s="22" t="n"/>
      <c r="H270" s="22" t="n"/>
      <c r="I270" s="23" t="n"/>
    </row>
    <row r="271">
      <c r="A271" s="24" t="n"/>
      <c r="B271" s="22" t="n"/>
      <c r="C271" s="22" t="n"/>
      <c r="D271" s="22" t="n"/>
      <c r="E271" s="22" t="n"/>
      <c r="F271" s="23" t="n"/>
      <c r="G271" s="22" t="n"/>
      <c r="H271" s="22" t="n"/>
      <c r="I271" s="23" t="n"/>
    </row>
    <row r="272">
      <c r="A272" s="24" t="n"/>
      <c r="B272" s="22" t="n"/>
      <c r="C272" s="22" t="n"/>
      <c r="D272" s="22" t="n"/>
      <c r="E272" s="22" t="n"/>
      <c r="F272" s="23" t="n"/>
      <c r="G272" s="22" t="n"/>
      <c r="H272" s="22" t="n"/>
      <c r="I272" s="23" t="n"/>
    </row>
    <row r="273">
      <c r="A273" s="24" t="n"/>
      <c r="B273" s="22" t="n"/>
      <c r="C273" s="22" t="n"/>
      <c r="D273" s="22" t="n"/>
      <c r="E273" s="22" t="n"/>
      <c r="F273" s="23" t="n"/>
      <c r="G273" s="22" t="n"/>
      <c r="H273" s="22" t="n"/>
      <c r="I273" s="23" t="n"/>
    </row>
    <row r="274">
      <c r="A274" s="24" t="n"/>
      <c r="B274" s="22" t="n"/>
      <c r="C274" s="22" t="n"/>
      <c r="D274" s="22" t="n"/>
      <c r="E274" s="22" t="n"/>
      <c r="F274" s="23" t="n"/>
      <c r="G274" s="22" t="n"/>
      <c r="H274" s="22" t="n"/>
      <c r="I274" s="23" t="n"/>
    </row>
    <row r="275">
      <c r="A275" s="24" t="n"/>
      <c r="B275" s="22" t="n"/>
      <c r="C275" s="22" t="n"/>
      <c r="D275" s="22" t="n"/>
      <c r="E275" s="22" t="n"/>
      <c r="F275" s="23" t="n"/>
      <c r="G275" s="22" t="n"/>
      <c r="H275" s="22" t="n"/>
      <c r="I275" s="23" t="n"/>
    </row>
    <row r="276">
      <c r="A276" s="24" t="n"/>
      <c r="B276" s="22" t="n"/>
      <c r="C276" s="22" t="n"/>
      <c r="D276" s="22" t="n"/>
      <c r="E276" s="22" t="n"/>
      <c r="F276" s="23" t="n"/>
      <c r="G276" s="22" t="n"/>
      <c r="H276" s="22" t="n"/>
      <c r="I276" s="23" t="n"/>
    </row>
    <row r="277">
      <c r="A277" s="24" t="n"/>
      <c r="B277" s="22" t="n"/>
      <c r="C277" s="22" t="n"/>
      <c r="D277" s="22" t="n"/>
      <c r="E277" s="22" t="n"/>
      <c r="F277" s="23" t="n"/>
      <c r="G277" s="22" t="n"/>
      <c r="H277" s="22" t="n"/>
      <c r="I277" s="23" t="n"/>
    </row>
    <row r="278">
      <c r="A278" s="24" t="n"/>
      <c r="B278" s="22" t="n"/>
      <c r="C278" s="22" t="n"/>
      <c r="D278" s="22" t="n"/>
      <c r="E278" s="22" t="n"/>
      <c r="F278" s="23" t="n"/>
      <c r="G278" s="22" t="n"/>
      <c r="H278" s="22" t="n"/>
      <c r="I278" s="23" t="n"/>
    </row>
    <row r="279">
      <c r="A279" s="24" t="n"/>
      <c r="B279" s="22" t="n"/>
      <c r="C279" s="22" t="n"/>
      <c r="D279" s="22" t="n"/>
      <c r="E279" s="22" t="n"/>
      <c r="F279" s="23" t="n"/>
      <c r="G279" s="22" t="n"/>
      <c r="H279" s="22" t="n"/>
      <c r="I279" s="23" t="n"/>
    </row>
    <row r="280">
      <c r="A280" s="24" t="n"/>
      <c r="B280" s="22" t="n"/>
      <c r="C280" s="22" t="n"/>
      <c r="D280" s="22" t="n"/>
      <c r="E280" s="22" t="n"/>
      <c r="F280" s="23" t="n"/>
      <c r="G280" s="22" t="n"/>
      <c r="H280" s="22" t="n"/>
      <c r="I280" s="23" t="n"/>
    </row>
    <row r="281">
      <c r="A281" s="24" t="n"/>
      <c r="B281" s="22" t="n"/>
      <c r="C281" s="22" t="n"/>
      <c r="D281" s="22" t="n"/>
      <c r="E281" s="22" t="n"/>
      <c r="F281" s="23" t="n"/>
      <c r="G281" s="22" t="n"/>
      <c r="H281" s="22" t="n"/>
      <c r="I281" s="23" t="n"/>
    </row>
    <row r="282">
      <c r="A282" s="24" t="n"/>
      <c r="B282" s="22" t="n"/>
      <c r="C282" s="22" t="n"/>
      <c r="D282" s="22" t="n"/>
      <c r="E282" s="22" t="n"/>
      <c r="F282" s="23" t="n"/>
      <c r="G282" s="22" t="n"/>
      <c r="H282" s="22" t="n"/>
      <c r="I282" s="23" t="n"/>
    </row>
    <row r="283">
      <c r="A283" s="24" t="n"/>
      <c r="B283" s="22" t="n"/>
      <c r="C283" s="22" t="n"/>
      <c r="D283" s="22" t="n"/>
      <c r="E283" s="22" t="n"/>
      <c r="F283" s="23" t="n"/>
      <c r="G283" s="22" t="n"/>
      <c r="H283" s="22" t="n"/>
      <c r="I283" s="23" t="n"/>
    </row>
    <row r="284">
      <c r="A284" s="24" t="n"/>
      <c r="B284" s="22" t="n"/>
      <c r="C284" s="22" t="n"/>
      <c r="D284" s="22" t="n"/>
      <c r="E284" s="22" t="n"/>
      <c r="F284" s="23" t="n"/>
      <c r="G284" s="22" t="n"/>
      <c r="H284" s="22" t="n"/>
      <c r="I284" s="23" t="n"/>
    </row>
    <row r="285">
      <c r="A285" s="24" t="n"/>
      <c r="B285" s="22" t="n"/>
      <c r="C285" s="22" t="n"/>
      <c r="D285" s="22" t="n"/>
      <c r="E285" s="22" t="n"/>
      <c r="F285" s="23" t="n"/>
      <c r="G285" s="22" t="n"/>
      <c r="H285" s="22" t="n"/>
      <c r="I285" s="23" t="n"/>
    </row>
    <row r="286">
      <c r="A286" s="24" t="n"/>
      <c r="B286" s="22" t="n"/>
      <c r="C286" s="22" t="n"/>
      <c r="D286" s="22" t="n"/>
      <c r="E286" s="22" t="n"/>
      <c r="F286" s="23" t="n"/>
      <c r="G286" s="22" t="n"/>
      <c r="H286" s="22" t="n"/>
      <c r="I286" s="23" t="n"/>
    </row>
    <row r="287">
      <c r="A287" s="24" t="n"/>
      <c r="B287" s="22" t="n"/>
      <c r="C287" s="22" t="n"/>
      <c r="D287" s="22" t="n"/>
      <c r="E287" s="22" t="n"/>
      <c r="F287" s="23" t="n"/>
      <c r="G287" s="22" t="n"/>
      <c r="H287" s="22" t="n"/>
      <c r="I287" s="23" t="n"/>
    </row>
    <row r="288">
      <c r="A288" s="24" t="n"/>
      <c r="B288" s="22" t="n"/>
      <c r="C288" s="22" t="n"/>
      <c r="D288" s="22" t="n"/>
      <c r="E288" s="22" t="n"/>
      <c r="F288" s="23" t="n"/>
      <c r="G288" s="22" t="n"/>
      <c r="H288" s="22" t="n"/>
      <c r="I288" s="23" t="n"/>
    </row>
    <row r="289">
      <c r="A289" s="24" t="n"/>
      <c r="B289" s="22" t="n"/>
      <c r="C289" s="22" t="n"/>
      <c r="D289" s="22" t="n"/>
      <c r="E289" s="22" t="n"/>
      <c r="F289" s="23" t="n"/>
      <c r="G289" s="22" t="n"/>
      <c r="H289" s="22" t="n"/>
      <c r="I289" s="23" t="n"/>
    </row>
    <row r="290">
      <c r="A290" s="24" t="n"/>
      <c r="B290" s="22" t="n"/>
      <c r="C290" s="22" t="n"/>
      <c r="D290" s="22" t="n"/>
      <c r="E290" s="22" t="n"/>
      <c r="F290" s="23" t="n"/>
      <c r="G290" s="22" t="n"/>
      <c r="H290" s="22" t="n"/>
      <c r="I290" s="23" t="n"/>
    </row>
    <row r="291">
      <c r="A291" s="24" t="n"/>
      <c r="B291" s="22" t="n"/>
      <c r="C291" s="22" t="n"/>
      <c r="D291" s="22" t="n"/>
      <c r="E291" s="22" t="n"/>
      <c r="F291" s="23" t="n"/>
      <c r="G291" s="22" t="n"/>
      <c r="H291" s="22" t="n"/>
      <c r="I291" s="23" t="n"/>
    </row>
    <row r="292">
      <c r="A292" s="24" t="n"/>
      <c r="B292" s="22" t="n"/>
      <c r="C292" s="22" t="n"/>
      <c r="D292" s="22" t="n"/>
      <c r="E292" s="22" t="n"/>
      <c r="F292" s="23" t="n"/>
      <c r="G292" s="22" t="n"/>
      <c r="H292" s="22" t="n"/>
      <c r="I292" s="23" t="n"/>
    </row>
    <row r="293">
      <c r="A293" s="24" t="n"/>
      <c r="B293" s="22" t="n"/>
      <c r="C293" s="22" t="n"/>
      <c r="D293" s="22" t="n"/>
      <c r="E293" s="22" t="n"/>
      <c r="F293" s="23" t="n"/>
      <c r="G293" s="22" t="n"/>
      <c r="H293" s="22" t="n"/>
      <c r="I293" s="23" t="n"/>
    </row>
    <row r="294">
      <c r="A294" s="24" t="n"/>
      <c r="B294" s="22" t="n"/>
      <c r="C294" s="22" t="n"/>
      <c r="D294" s="22" t="n"/>
      <c r="E294" s="22" t="n"/>
      <c r="F294" s="23" t="n"/>
      <c r="G294" s="22" t="n"/>
      <c r="H294" s="22" t="n"/>
      <c r="I294" s="23" t="n"/>
    </row>
    <row r="295">
      <c r="A295" s="24" t="n"/>
      <c r="B295" s="22" t="n"/>
      <c r="C295" s="22" t="n"/>
      <c r="D295" s="22" t="n"/>
      <c r="E295" s="22" t="n"/>
      <c r="F295" s="23" t="n"/>
      <c r="G295" s="22" t="n"/>
      <c r="H295" s="22" t="n"/>
      <c r="I295" s="23" t="n"/>
    </row>
    <row r="296">
      <c r="A296" s="24" t="n"/>
      <c r="B296" s="22" t="n"/>
      <c r="C296" s="22" t="n"/>
      <c r="D296" s="22" t="n"/>
      <c r="E296" s="22" t="n"/>
      <c r="F296" s="23" t="n"/>
      <c r="G296" s="22" t="n"/>
      <c r="H296" s="22" t="n"/>
      <c r="I296" s="23" t="n"/>
    </row>
    <row r="297">
      <c r="A297" s="24" t="n"/>
      <c r="B297" s="22" t="n"/>
      <c r="C297" s="22" t="n"/>
      <c r="D297" s="22" t="n"/>
      <c r="E297" s="22" t="n"/>
      <c r="F297" s="23" t="n"/>
      <c r="G297" s="22" t="n"/>
      <c r="H297" s="22" t="n"/>
      <c r="I297" s="23" t="n"/>
    </row>
    <row r="298">
      <c r="A298" s="24" t="n"/>
      <c r="B298" s="22" t="n"/>
      <c r="C298" s="22" t="n"/>
      <c r="D298" s="22" t="n"/>
      <c r="E298" s="22" t="n"/>
      <c r="F298" s="23" t="n"/>
      <c r="G298" s="22" t="n"/>
      <c r="H298" s="22" t="n"/>
      <c r="I298" s="23" t="n"/>
    </row>
    <row r="299">
      <c r="A299" s="24" t="n"/>
      <c r="B299" s="22" t="n"/>
      <c r="C299" s="22" t="n"/>
      <c r="D299" s="22" t="n"/>
      <c r="E299" s="22" t="n"/>
      <c r="F299" s="23" t="n"/>
      <c r="G299" s="22" t="n"/>
      <c r="H299" s="22" t="n"/>
      <c r="I299" s="23" t="n"/>
    </row>
    <row r="300">
      <c r="A300" s="24" t="n"/>
      <c r="B300" s="22" t="n"/>
      <c r="C300" s="22" t="n"/>
      <c r="D300" s="22" t="n"/>
      <c r="E300" s="22" t="n"/>
      <c r="F300" s="23" t="n"/>
      <c r="G300" s="22" t="n"/>
      <c r="H300" s="22" t="n"/>
      <c r="I300" s="23" t="n"/>
    </row>
    <row r="301">
      <c r="A301" s="24" t="n"/>
      <c r="B301" s="22" t="n"/>
      <c r="C301" s="22" t="n"/>
      <c r="D301" s="22" t="n"/>
      <c r="E301" s="22" t="n"/>
      <c r="F301" s="23" t="n"/>
      <c r="G301" s="22" t="n"/>
      <c r="H301" s="22" t="n"/>
      <c r="I301" s="23" t="n"/>
    </row>
    <row r="302">
      <c r="A302" s="24" t="n"/>
      <c r="B302" s="22" t="n"/>
      <c r="C302" s="22" t="n"/>
      <c r="D302" s="22" t="n"/>
      <c r="E302" s="22" t="n"/>
      <c r="F302" s="23" t="n"/>
      <c r="G302" s="22" t="n"/>
      <c r="H302" s="22" t="n"/>
      <c r="I302" s="23" t="n"/>
    </row>
    <row r="303">
      <c r="A303" s="24" t="n"/>
      <c r="B303" s="22" t="n"/>
      <c r="C303" s="22" t="n"/>
      <c r="D303" s="22" t="n"/>
      <c r="E303" s="22" t="n"/>
      <c r="F303" s="23" t="n"/>
      <c r="G303" s="22" t="n"/>
      <c r="H303" s="22" t="n"/>
      <c r="I303" s="23" t="n"/>
    </row>
  </sheetData>
  <sheetProtection selectLockedCells="0" selectUnlockedCells="0" sheet="1" objects="0" insertRows="0" insertHyperlinks="0" autoFilter="0" scenarios="0" formatColumns="0" deleteColumns="1" insertColumns="1" pivotTables="1" deleteRows="0" formatCells="0" formatRows="0" sort="0"/>
  <autoFilter ref="A3:I303"/>
  <dataValidations count="3">
    <dataValidation sqref="B4:B303" showDropDown="0" showInputMessage="0" showErrorMessage="0" allowBlank="1" error="Pick a value from the list." type="list" errorStyle="warning">
      <formula1>=Lists!$A$2:$A$9</formula1>
    </dataValidation>
    <dataValidation sqref="D4:D303" showDropDown="0" showInputMessage="0" showErrorMessage="0" allowBlank="1" error="Pick a value from the list." type="list" errorStyle="warning">
      <formula1>=Lists!$K$2:$K$9</formula1>
    </dataValidation>
    <dataValidation sqref="E4:E303" showDropDown="0" showInputMessage="0" showErrorMessage="0" allowBlank="1" error="Pick a value from the list." type="list" errorStyle="warning">
      <formula1>=Lists!$B$2:$B$3</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T303"/>
  <sheetViews>
    <sheetView workbookViewId="0">
      <pane xSplit="6" ySplit="3" topLeftCell="G4" activePane="bottomRight" state="frozen"/>
      <selection pane="topRight"/>
      <selection pane="bottomLeft"/>
      <selection pane="bottomRight" activeCell="A1" sqref="A1"/>
    </sheetView>
  </sheetViews>
  <sheetFormatPr baseColWidth="8" defaultRowHeight="15"/>
  <cols>
    <col width="8" customWidth="1" min="1" max="1"/>
    <col width="8" customWidth="1" min="2" max="2"/>
    <col width="6" customWidth="1" min="3" max="3"/>
    <col hidden="1" width="6" customWidth="1" min="4" max="4"/>
    <col width="9" customWidth="1" min="5" max="5"/>
    <col width="14" customWidth="1" min="6" max="6"/>
    <col width="34" customWidth="1" min="7" max="7"/>
    <col width="6" customWidth="1" min="8" max="8"/>
    <col width="12" customWidth="1" min="9" max="9"/>
    <col width="18" customWidth="1" min="10" max="10"/>
    <col width="22" customWidth="1" min="11" max="11"/>
    <col width="11" customWidth="1" min="12" max="12"/>
    <col width="8" customWidth="1" min="13" max="13"/>
    <col width="12" customWidth="1" min="14" max="14"/>
    <col width="40" customWidth="1" min="15" max="15"/>
    <col width="38" customWidth="1" min="16" max="16"/>
    <col width="8" customWidth="1" min="17" max="17"/>
    <col width="26" customWidth="1" min="18" max="18"/>
    <col width="30" customWidth="1" min="19" max="19"/>
    <col width="28" customWidth="1" min="20" max="20"/>
  </cols>
  <sheetData>
    <row r="1" ht="24" customHeight="1">
      <c r="A1" s="1" t="inlineStr">
        <is>
          <t>Document register</t>
        </is>
      </c>
    </row>
    <row r="2">
      <c r="A2" s="2" t="inlineStr">
        <is>
          <t>Register every plan, permit, quote, contract, certificate and photo set. Pick the folder and type, type the number shown under 'Next free no.', and save the file with the name in column N.</t>
        </is>
      </c>
    </row>
    <row r="3" ht="32" customHeight="1">
      <c r="A3" s="20" t="inlineStr">
        <is>
          <t>Folder</t>
        </is>
      </c>
      <c r="B3" s="20" t="inlineStr">
        <is>
          <t>Type</t>
        </is>
      </c>
      <c r="C3" s="20" t="inlineStr">
        <is>
          <t>No.</t>
        </is>
      </c>
      <c r="D3" s="21" t="inlineStr">
        <is>
          <t>Folder code</t>
        </is>
      </c>
      <c r="E3" s="21" t="inlineStr">
        <is>
          <t>Next free no.</t>
        </is>
      </c>
      <c r="F3" s="21" t="inlineStr">
        <is>
          <t>Doc ID</t>
        </is>
      </c>
      <c r="G3" s="20" t="inlineStr">
        <is>
          <t>Description</t>
        </is>
      </c>
      <c r="H3" s="20" t="inlineStr">
        <is>
          <t>Rev</t>
        </is>
      </c>
      <c r="I3" s="20" t="inlineStr">
        <is>
          <t>Date</t>
        </is>
      </c>
      <c r="J3" s="20" t="inlineStr">
        <is>
          <t>From / issued by</t>
        </is>
      </c>
      <c r="K3" s="20" t="inlineStr">
        <is>
          <t>Trade package</t>
        </is>
      </c>
      <c r="L3" s="20" t="inlineStr">
        <is>
          <t>Status</t>
        </is>
      </c>
      <c r="M3" s="20" t="inlineStr">
        <is>
          <t>Gateway</t>
        </is>
      </c>
      <c r="N3" s="20" t="inlineStr">
        <is>
          <t>Compliance ID</t>
        </is>
      </c>
      <c r="O3" s="21" t="inlineStr">
        <is>
          <t>File name to use</t>
        </is>
      </c>
      <c r="P3" s="21" t="inlineStr">
        <is>
          <t>Save in Drive folder</t>
        </is>
      </c>
      <c r="Q3" s="21" t="inlineStr">
        <is>
          <t>Folder</t>
        </is>
      </c>
      <c r="R3" s="21" t="inlineStr">
        <is>
          <t>Check</t>
        </is>
      </c>
      <c r="S3" s="20" t="inlineStr">
        <is>
          <t>File link</t>
        </is>
      </c>
      <c r="T3" s="20" t="inlineStr">
        <is>
          <t>Notes</t>
        </is>
      </c>
    </row>
    <row r="4">
      <c r="A4" s="34" t="inlineStr">
        <is>
          <t>02</t>
        </is>
      </c>
      <c r="B4" s="27" t="inlineStr">
        <is>
          <t>DWG</t>
        </is>
      </c>
      <c r="C4" s="27" t="n">
        <v>1</v>
      </c>
      <c r="D4" s="7">
        <f>IF(A4="","",IF(ISNUMBER(A4),TEXT(A4,"00"),TRIM(A4)))</f>
        <v/>
      </c>
      <c r="E4" s="7">
        <f t="array" ref="E4">IF(OR(D4="",B4=""),"",MAX(IF((D$4:D$303=D4)*(B$4:B$303=B4)*ISNUMBER(C$4:C$303),C$4:C$303,0))+1)</f>
        <v/>
      </c>
      <c r="F4" s="7">
        <f>IF(OR(D4="",B4="",NOT(ISNUMBER(C4))),"",D4&amp;"-"&amp;B4&amp;"-"&amp;TEXT(C4,"000"))</f>
        <v/>
      </c>
      <c r="G4" s="29" t="inlineStr">
        <is>
          <t>Floor plan</t>
        </is>
      </c>
      <c r="H4" s="27" t="inlineStr">
        <is>
          <t>C</t>
        </is>
      </c>
      <c r="I4" s="32" t="n"/>
      <c r="J4" s="27" t="inlineStr">
        <is>
          <t>Draftsperson</t>
        </is>
      </c>
      <c r="K4" s="27" t="n"/>
      <c r="L4" s="27" t="inlineStr">
        <is>
          <t>Current</t>
        </is>
      </c>
      <c r="M4" s="27" t="inlineStr">
        <is>
          <t>G2</t>
        </is>
      </c>
      <c r="N4" s="27" t="inlineStr">
        <is>
          <t>de-drawings</t>
        </is>
      </c>
      <c r="O4" s="7">
        <f>IF(F4="","",F4&amp;"_"&amp;SUBSTITUTE(SUBSTITUTE(SUBSTITUTE(SUBSTITUTE(SUBSTITUTE(SUBSTITUTE(SUBSTITUTE(SUBSTITUTE(SUBSTITUTE(SUBSTITUTE(TRIM(G4)," ","-"),"/","-"),"\","-"),":","-"),"*","-"),"?","-"),"""","-"),"&lt;","-"),"&gt;","-"),"|","-")&amp;IF(H4="","","_Rev"&amp;H4))</f>
        <v/>
      </c>
      <c r="P4" s="7">
        <f>IF(D4="","",IF(L4="Superseded","99 Archive",IF(AND(D4="04",K4&lt;&gt;""),IFERROR(INDEX('Google Drive Map'!$B$4:$B$33,MATCH("04/"&amp;LEFT(K4,2),'Google Drive Map'!$A$4:$A$33,0)),"04 Trades &amp; Tenders/"&amp;K4),IFERROR(INDEX('Google Drive Map'!$B$4:$B$33,MATCH(D4,'Google Drive Map'!$A$4:$A$33,0)),""))))</f>
        <v/>
      </c>
      <c r="Q4" s="7">
        <f>IF(P4="","",IF(IFERROR(INDEX('Google Drive Map'!$G$4:$G$33,MATCH(P4,'Google Drive Map'!$B$4:$B$33,0))&amp;"","")="","",HYPERLINK(INDEX('Google Drive Map'!$G$4:$G$33,MATCH(P4,'Google Drive Map'!$B$4:$B$33,0)),"Open")))</f>
        <v/>
      </c>
      <c r="R4" s="7">
        <f>IF(AND(A4="",B4="",C4=""),"",TRIM(IF(AND(D4&lt;&gt;"",ISNA(MATCH(D4,'Google Drive Map'!$A$4:$A$33,0))),"Folder code isn't on the folder map. ","")&amp;IF(AND(C4&lt;&gt;"",NOT(ISNUMBER(C4))),"No. must be a whole number. ","")&amp;IF(AND(D4&lt;&gt;"",B4&lt;&gt;"",C4=""),"Type the next free no. ","")&amp;IF(AND(F4&lt;&gt;"",COUNTIF(F$4:F$303,F4)&gt;1),"Duplicate Doc ID. ","")))</f>
        <v/>
      </c>
      <c r="S4" s="27" t="n"/>
      <c r="T4" s="29" t="inlineStr">
        <is>
          <t>EXAMPLE: delete this row</t>
        </is>
      </c>
    </row>
    <row r="5">
      <c r="A5" s="35" t="n"/>
      <c r="B5" s="22" t="n"/>
      <c r="C5" s="22" t="n"/>
      <c r="D5" s="7">
        <f>IF(A5="","",IF(ISNUMBER(A5),TEXT(A5,"00"),TRIM(A5)))</f>
        <v/>
      </c>
      <c r="E5" s="7">
        <f t="array" ref="E5">IF(OR(D5="",B5=""),"",MAX(IF((D$4:D$303=D5)*(B$4:B$303=B5)*ISNUMBER(C$4:C$303),C$4:C$303,0))+1)</f>
        <v/>
      </c>
      <c r="F5" s="7">
        <f>IF(OR(D5="",B5="",NOT(ISNUMBER(C5))),"",D5&amp;"-"&amp;B5&amp;"-"&amp;TEXT(C5,"000"))</f>
        <v/>
      </c>
      <c r="G5" s="23" t="n"/>
      <c r="H5" s="22" t="n"/>
      <c r="I5" s="24" t="n"/>
      <c r="J5" s="22" t="n"/>
      <c r="K5" s="22" t="n"/>
      <c r="L5" s="22" t="n"/>
      <c r="M5" s="22" t="n"/>
      <c r="N5" s="22" t="n"/>
      <c r="O5" s="7">
        <f>IF(F5="","",F5&amp;"_"&amp;SUBSTITUTE(SUBSTITUTE(SUBSTITUTE(SUBSTITUTE(SUBSTITUTE(SUBSTITUTE(SUBSTITUTE(SUBSTITUTE(SUBSTITUTE(SUBSTITUTE(TRIM(G5)," ","-"),"/","-"),"\","-"),":","-"),"*","-"),"?","-"),"""","-"),"&lt;","-"),"&gt;","-"),"|","-")&amp;IF(H5="","","_Rev"&amp;H5))</f>
        <v/>
      </c>
      <c r="P5" s="7">
        <f>IF(D5="","",IF(L5="Superseded","99 Archive",IF(AND(D5="04",K5&lt;&gt;""),IFERROR(INDEX('Google Drive Map'!$B$4:$B$33,MATCH("04/"&amp;LEFT(K5,2),'Google Drive Map'!$A$4:$A$33,0)),"04 Trades &amp; Tenders/"&amp;K5),IFERROR(INDEX('Google Drive Map'!$B$4:$B$33,MATCH(D5,'Google Drive Map'!$A$4:$A$33,0)),""))))</f>
        <v/>
      </c>
      <c r="Q5" s="7">
        <f>IF(P5="","",IF(IFERROR(INDEX('Google Drive Map'!$G$4:$G$33,MATCH(P5,'Google Drive Map'!$B$4:$B$33,0))&amp;"","")="","",HYPERLINK(INDEX('Google Drive Map'!$G$4:$G$33,MATCH(P5,'Google Drive Map'!$B$4:$B$33,0)),"Open")))</f>
        <v/>
      </c>
      <c r="R5" s="7">
        <f>IF(AND(A5="",B5="",C5=""),"",TRIM(IF(AND(D5&lt;&gt;"",ISNA(MATCH(D5,'Google Drive Map'!$A$4:$A$33,0))),"Folder code isn't on the folder map. ","")&amp;IF(AND(C5&lt;&gt;"",NOT(ISNUMBER(C5))),"No. must be a whole number. ","")&amp;IF(AND(D5&lt;&gt;"",B5&lt;&gt;"",C5=""),"Type the next free no. ","")&amp;IF(AND(F5&lt;&gt;"",COUNTIF(F$4:F$303,F5)&gt;1),"Duplicate Doc ID. ","")))</f>
        <v/>
      </c>
      <c r="S5" s="22" t="n"/>
      <c r="T5" s="23" t="n"/>
    </row>
    <row r="6">
      <c r="A6" s="35" t="n"/>
      <c r="B6" s="22" t="n"/>
      <c r="C6" s="22" t="n"/>
      <c r="D6" s="7">
        <f>IF(A6="","",IF(ISNUMBER(A6),TEXT(A6,"00"),TRIM(A6)))</f>
        <v/>
      </c>
      <c r="E6" s="7">
        <f t="array" ref="E6">IF(OR(D6="",B6=""),"",MAX(IF((D$4:D$303=D6)*(B$4:B$303=B6)*ISNUMBER(C$4:C$303),C$4:C$303,0))+1)</f>
        <v/>
      </c>
      <c r="F6" s="7">
        <f>IF(OR(D6="",B6="",NOT(ISNUMBER(C6))),"",D6&amp;"-"&amp;B6&amp;"-"&amp;TEXT(C6,"000"))</f>
        <v/>
      </c>
      <c r="G6" s="23" t="n"/>
      <c r="H6" s="22" t="n"/>
      <c r="I6" s="24" t="n"/>
      <c r="J6" s="22" t="n"/>
      <c r="K6" s="22" t="n"/>
      <c r="L6" s="22" t="n"/>
      <c r="M6" s="22" t="n"/>
      <c r="N6" s="22" t="n"/>
      <c r="O6" s="7">
        <f>IF(F6="","",F6&amp;"_"&amp;SUBSTITUTE(SUBSTITUTE(SUBSTITUTE(SUBSTITUTE(SUBSTITUTE(SUBSTITUTE(SUBSTITUTE(SUBSTITUTE(SUBSTITUTE(SUBSTITUTE(TRIM(G6)," ","-"),"/","-"),"\","-"),":","-"),"*","-"),"?","-"),"""","-"),"&lt;","-"),"&gt;","-"),"|","-")&amp;IF(H6="","","_Rev"&amp;H6))</f>
        <v/>
      </c>
      <c r="P6" s="7">
        <f>IF(D6="","",IF(L6="Superseded","99 Archive",IF(AND(D6="04",K6&lt;&gt;""),IFERROR(INDEX('Google Drive Map'!$B$4:$B$33,MATCH("04/"&amp;LEFT(K6,2),'Google Drive Map'!$A$4:$A$33,0)),"04 Trades &amp; Tenders/"&amp;K6),IFERROR(INDEX('Google Drive Map'!$B$4:$B$33,MATCH(D6,'Google Drive Map'!$A$4:$A$33,0)),""))))</f>
        <v/>
      </c>
      <c r="Q6" s="7">
        <f>IF(P6="","",IF(IFERROR(INDEX('Google Drive Map'!$G$4:$G$33,MATCH(P6,'Google Drive Map'!$B$4:$B$33,0))&amp;"","")="","",HYPERLINK(INDEX('Google Drive Map'!$G$4:$G$33,MATCH(P6,'Google Drive Map'!$B$4:$B$33,0)),"Open")))</f>
        <v/>
      </c>
      <c r="R6" s="7">
        <f>IF(AND(A6="",B6="",C6=""),"",TRIM(IF(AND(D6&lt;&gt;"",ISNA(MATCH(D6,'Google Drive Map'!$A$4:$A$33,0))),"Folder code isn't on the folder map. ","")&amp;IF(AND(C6&lt;&gt;"",NOT(ISNUMBER(C6))),"No. must be a whole number. ","")&amp;IF(AND(D6&lt;&gt;"",B6&lt;&gt;"",C6=""),"Type the next free no. ","")&amp;IF(AND(F6&lt;&gt;"",COUNTIF(F$4:F$303,F6)&gt;1),"Duplicate Doc ID. ","")))</f>
        <v/>
      </c>
      <c r="S6" s="22" t="n"/>
      <c r="T6" s="23" t="n"/>
    </row>
    <row r="7">
      <c r="A7" s="35" t="n"/>
      <c r="B7" s="22" t="n"/>
      <c r="C7" s="22" t="n"/>
      <c r="D7" s="7">
        <f>IF(A7="","",IF(ISNUMBER(A7),TEXT(A7,"00"),TRIM(A7)))</f>
        <v/>
      </c>
      <c r="E7" s="7">
        <f t="array" ref="E7">IF(OR(D7="",B7=""),"",MAX(IF((D$4:D$303=D7)*(B$4:B$303=B7)*ISNUMBER(C$4:C$303),C$4:C$303,0))+1)</f>
        <v/>
      </c>
      <c r="F7" s="7">
        <f>IF(OR(D7="",B7="",NOT(ISNUMBER(C7))),"",D7&amp;"-"&amp;B7&amp;"-"&amp;TEXT(C7,"000"))</f>
        <v/>
      </c>
      <c r="G7" s="23" t="n"/>
      <c r="H7" s="22" t="n"/>
      <c r="I7" s="24" t="n"/>
      <c r="J7" s="22" t="n"/>
      <c r="K7" s="22" t="n"/>
      <c r="L7" s="22" t="n"/>
      <c r="M7" s="22" t="n"/>
      <c r="N7" s="22" t="n"/>
      <c r="O7" s="7">
        <f>IF(F7="","",F7&amp;"_"&amp;SUBSTITUTE(SUBSTITUTE(SUBSTITUTE(SUBSTITUTE(SUBSTITUTE(SUBSTITUTE(SUBSTITUTE(SUBSTITUTE(SUBSTITUTE(SUBSTITUTE(TRIM(G7)," ","-"),"/","-"),"\","-"),":","-"),"*","-"),"?","-"),"""","-"),"&lt;","-"),"&gt;","-"),"|","-")&amp;IF(H7="","","_Rev"&amp;H7))</f>
        <v/>
      </c>
      <c r="P7" s="7">
        <f>IF(D7="","",IF(L7="Superseded","99 Archive",IF(AND(D7="04",K7&lt;&gt;""),IFERROR(INDEX('Google Drive Map'!$B$4:$B$33,MATCH("04/"&amp;LEFT(K7,2),'Google Drive Map'!$A$4:$A$33,0)),"04 Trades &amp; Tenders/"&amp;K7),IFERROR(INDEX('Google Drive Map'!$B$4:$B$33,MATCH(D7,'Google Drive Map'!$A$4:$A$33,0)),""))))</f>
        <v/>
      </c>
      <c r="Q7" s="7">
        <f>IF(P7="","",IF(IFERROR(INDEX('Google Drive Map'!$G$4:$G$33,MATCH(P7,'Google Drive Map'!$B$4:$B$33,0))&amp;"","")="","",HYPERLINK(INDEX('Google Drive Map'!$G$4:$G$33,MATCH(P7,'Google Drive Map'!$B$4:$B$33,0)),"Open")))</f>
        <v/>
      </c>
      <c r="R7" s="7">
        <f>IF(AND(A7="",B7="",C7=""),"",TRIM(IF(AND(D7&lt;&gt;"",ISNA(MATCH(D7,'Google Drive Map'!$A$4:$A$33,0))),"Folder code isn't on the folder map. ","")&amp;IF(AND(C7&lt;&gt;"",NOT(ISNUMBER(C7))),"No. must be a whole number. ","")&amp;IF(AND(D7&lt;&gt;"",B7&lt;&gt;"",C7=""),"Type the next free no. ","")&amp;IF(AND(F7&lt;&gt;"",COUNTIF(F$4:F$303,F7)&gt;1),"Duplicate Doc ID. ","")))</f>
        <v/>
      </c>
      <c r="S7" s="22" t="n"/>
      <c r="T7" s="23" t="n"/>
    </row>
    <row r="8">
      <c r="A8" s="35" t="n"/>
      <c r="B8" s="22" t="n"/>
      <c r="C8" s="22" t="n"/>
      <c r="D8" s="7">
        <f>IF(A8="","",IF(ISNUMBER(A8),TEXT(A8,"00"),TRIM(A8)))</f>
        <v/>
      </c>
      <c r="E8" s="7">
        <f t="array" ref="E8">IF(OR(D8="",B8=""),"",MAX(IF((D$4:D$303=D8)*(B$4:B$303=B8)*ISNUMBER(C$4:C$303),C$4:C$303,0))+1)</f>
        <v/>
      </c>
      <c r="F8" s="7">
        <f>IF(OR(D8="",B8="",NOT(ISNUMBER(C8))),"",D8&amp;"-"&amp;B8&amp;"-"&amp;TEXT(C8,"000"))</f>
        <v/>
      </c>
      <c r="G8" s="23" t="n"/>
      <c r="H8" s="22" t="n"/>
      <c r="I8" s="24" t="n"/>
      <c r="J8" s="22" t="n"/>
      <c r="K8" s="22" t="n"/>
      <c r="L8" s="22" t="n"/>
      <c r="M8" s="22" t="n"/>
      <c r="N8" s="22" t="n"/>
      <c r="O8" s="7">
        <f>IF(F8="","",F8&amp;"_"&amp;SUBSTITUTE(SUBSTITUTE(SUBSTITUTE(SUBSTITUTE(SUBSTITUTE(SUBSTITUTE(SUBSTITUTE(SUBSTITUTE(SUBSTITUTE(SUBSTITUTE(TRIM(G8)," ","-"),"/","-"),"\","-"),":","-"),"*","-"),"?","-"),"""","-"),"&lt;","-"),"&gt;","-"),"|","-")&amp;IF(H8="","","_Rev"&amp;H8))</f>
        <v/>
      </c>
      <c r="P8" s="7">
        <f>IF(D8="","",IF(L8="Superseded","99 Archive",IF(AND(D8="04",K8&lt;&gt;""),IFERROR(INDEX('Google Drive Map'!$B$4:$B$33,MATCH("04/"&amp;LEFT(K8,2),'Google Drive Map'!$A$4:$A$33,0)),"04 Trades &amp; Tenders/"&amp;K8),IFERROR(INDEX('Google Drive Map'!$B$4:$B$33,MATCH(D8,'Google Drive Map'!$A$4:$A$33,0)),""))))</f>
        <v/>
      </c>
      <c r="Q8" s="7">
        <f>IF(P8="","",IF(IFERROR(INDEX('Google Drive Map'!$G$4:$G$33,MATCH(P8,'Google Drive Map'!$B$4:$B$33,0))&amp;"","")="","",HYPERLINK(INDEX('Google Drive Map'!$G$4:$G$33,MATCH(P8,'Google Drive Map'!$B$4:$B$33,0)),"Open")))</f>
        <v/>
      </c>
      <c r="R8" s="7">
        <f>IF(AND(A8="",B8="",C8=""),"",TRIM(IF(AND(D8&lt;&gt;"",ISNA(MATCH(D8,'Google Drive Map'!$A$4:$A$33,0))),"Folder code isn't on the folder map. ","")&amp;IF(AND(C8&lt;&gt;"",NOT(ISNUMBER(C8))),"No. must be a whole number. ","")&amp;IF(AND(D8&lt;&gt;"",B8&lt;&gt;"",C8=""),"Type the next free no. ","")&amp;IF(AND(F8&lt;&gt;"",COUNTIF(F$4:F$303,F8)&gt;1),"Duplicate Doc ID. ","")))</f>
        <v/>
      </c>
      <c r="S8" s="22" t="n"/>
      <c r="T8" s="23" t="n"/>
    </row>
    <row r="9">
      <c r="A9" s="35" t="n"/>
      <c r="B9" s="22" t="n"/>
      <c r="C9" s="22" t="n"/>
      <c r="D9" s="7">
        <f>IF(A9="","",IF(ISNUMBER(A9),TEXT(A9,"00"),TRIM(A9)))</f>
        <v/>
      </c>
      <c r="E9" s="7">
        <f t="array" ref="E9">IF(OR(D9="",B9=""),"",MAX(IF((D$4:D$303=D9)*(B$4:B$303=B9)*ISNUMBER(C$4:C$303),C$4:C$303,0))+1)</f>
        <v/>
      </c>
      <c r="F9" s="7">
        <f>IF(OR(D9="",B9="",NOT(ISNUMBER(C9))),"",D9&amp;"-"&amp;B9&amp;"-"&amp;TEXT(C9,"000"))</f>
        <v/>
      </c>
      <c r="G9" s="23" t="n"/>
      <c r="H9" s="22" t="n"/>
      <c r="I9" s="24" t="n"/>
      <c r="J9" s="22" t="n"/>
      <c r="K9" s="22" t="n"/>
      <c r="L9" s="22" t="n"/>
      <c r="M9" s="22" t="n"/>
      <c r="N9" s="22" t="n"/>
      <c r="O9" s="7">
        <f>IF(F9="","",F9&amp;"_"&amp;SUBSTITUTE(SUBSTITUTE(SUBSTITUTE(SUBSTITUTE(SUBSTITUTE(SUBSTITUTE(SUBSTITUTE(SUBSTITUTE(SUBSTITUTE(SUBSTITUTE(TRIM(G9)," ","-"),"/","-"),"\","-"),":","-"),"*","-"),"?","-"),"""","-"),"&lt;","-"),"&gt;","-"),"|","-")&amp;IF(H9="","","_Rev"&amp;H9))</f>
        <v/>
      </c>
      <c r="P9" s="7">
        <f>IF(D9="","",IF(L9="Superseded","99 Archive",IF(AND(D9="04",K9&lt;&gt;""),IFERROR(INDEX('Google Drive Map'!$B$4:$B$33,MATCH("04/"&amp;LEFT(K9,2),'Google Drive Map'!$A$4:$A$33,0)),"04 Trades &amp; Tenders/"&amp;K9),IFERROR(INDEX('Google Drive Map'!$B$4:$B$33,MATCH(D9,'Google Drive Map'!$A$4:$A$33,0)),""))))</f>
        <v/>
      </c>
      <c r="Q9" s="7">
        <f>IF(P9="","",IF(IFERROR(INDEX('Google Drive Map'!$G$4:$G$33,MATCH(P9,'Google Drive Map'!$B$4:$B$33,0))&amp;"","")="","",HYPERLINK(INDEX('Google Drive Map'!$G$4:$G$33,MATCH(P9,'Google Drive Map'!$B$4:$B$33,0)),"Open")))</f>
        <v/>
      </c>
      <c r="R9" s="7">
        <f>IF(AND(A9="",B9="",C9=""),"",TRIM(IF(AND(D9&lt;&gt;"",ISNA(MATCH(D9,'Google Drive Map'!$A$4:$A$33,0))),"Folder code isn't on the folder map. ","")&amp;IF(AND(C9&lt;&gt;"",NOT(ISNUMBER(C9))),"No. must be a whole number. ","")&amp;IF(AND(D9&lt;&gt;"",B9&lt;&gt;"",C9=""),"Type the next free no. ","")&amp;IF(AND(F9&lt;&gt;"",COUNTIF(F$4:F$303,F9)&gt;1),"Duplicate Doc ID. ","")))</f>
        <v/>
      </c>
      <c r="S9" s="22" t="n"/>
      <c r="T9" s="23" t="n"/>
    </row>
    <row r="10">
      <c r="A10" s="35" t="n"/>
      <c r="B10" s="22" t="n"/>
      <c r="C10" s="22" t="n"/>
      <c r="D10" s="7">
        <f>IF(A10="","",IF(ISNUMBER(A10),TEXT(A10,"00"),TRIM(A10)))</f>
        <v/>
      </c>
      <c r="E10" s="7">
        <f t="array" ref="E10">IF(OR(D10="",B10=""),"",MAX(IF((D$4:D$303=D10)*(B$4:B$303=B10)*ISNUMBER(C$4:C$303),C$4:C$303,0))+1)</f>
        <v/>
      </c>
      <c r="F10" s="7">
        <f>IF(OR(D10="",B10="",NOT(ISNUMBER(C10))),"",D10&amp;"-"&amp;B10&amp;"-"&amp;TEXT(C10,"000"))</f>
        <v/>
      </c>
      <c r="G10" s="23" t="n"/>
      <c r="H10" s="22" t="n"/>
      <c r="I10" s="24" t="n"/>
      <c r="J10" s="22" t="n"/>
      <c r="K10" s="22" t="n"/>
      <c r="L10" s="22" t="n"/>
      <c r="M10" s="22" t="n"/>
      <c r="N10" s="22" t="n"/>
      <c r="O10" s="7">
        <f>IF(F10="","",F10&amp;"_"&amp;SUBSTITUTE(SUBSTITUTE(SUBSTITUTE(SUBSTITUTE(SUBSTITUTE(SUBSTITUTE(SUBSTITUTE(SUBSTITUTE(SUBSTITUTE(SUBSTITUTE(TRIM(G10)," ","-"),"/","-"),"\","-"),":","-"),"*","-"),"?","-"),"""","-"),"&lt;","-"),"&gt;","-"),"|","-")&amp;IF(H10="","","_Rev"&amp;H10))</f>
        <v/>
      </c>
      <c r="P10" s="7">
        <f>IF(D10="","",IF(L10="Superseded","99 Archive",IF(AND(D10="04",K10&lt;&gt;""),IFERROR(INDEX('Google Drive Map'!$B$4:$B$33,MATCH("04/"&amp;LEFT(K10,2),'Google Drive Map'!$A$4:$A$33,0)),"04 Trades &amp; Tenders/"&amp;K10),IFERROR(INDEX('Google Drive Map'!$B$4:$B$33,MATCH(D10,'Google Drive Map'!$A$4:$A$33,0)),""))))</f>
        <v/>
      </c>
      <c r="Q10" s="7">
        <f>IF(P10="","",IF(IFERROR(INDEX('Google Drive Map'!$G$4:$G$33,MATCH(P10,'Google Drive Map'!$B$4:$B$33,0))&amp;"","")="","",HYPERLINK(INDEX('Google Drive Map'!$G$4:$G$33,MATCH(P10,'Google Drive Map'!$B$4:$B$33,0)),"Open")))</f>
        <v/>
      </c>
      <c r="R10" s="7">
        <f>IF(AND(A10="",B10="",C10=""),"",TRIM(IF(AND(D10&lt;&gt;"",ISNA(MATCH(D10,'Google Drive Map'!$A$4:$A$33,0))),"Folder code isn't on the folder map. ","")&amp;IF(AND(C10&lt;&gt;"",NOT(ISNUMBER(C10))),"No. must be a whole number. ","")&amp;IF(AND(D10&lt;&gt;"",B10&lt;&gt;"",C10=""),"Type the next free no. ","")&amp;IF(AND(F10&lt;&gt;"",COUNTIF(F$4:F$303,F10)&gt;1),"Duplicate Doc ID. ","")))</f>
        <v/>
      </c>
      <c r="S10" s="22" t="n"/>
      <c r="T10" s="23" t="n"/>
    </row>
    <row r="11">
      <c r="A11" s="35" t="n"/>
      <c r="B11" s="22" t="n"/>
      <c r="C11" s="22" t="n"/>
      <c r="D11" s="7">
        <f>IF(A11="","",IF(ISNUMBER(A11),TEXT(A11,"00"),TRIM(A11)))</f>
        <v/>
      </c>
      <c r="E11" s="7">
        <f t="array" ref="E11">IF(OR(D11="",B11=""),"",MAX(IF((D$4:D$303=D11)*(B$4:B$303=B11)*ISNUMBER(C$4:C$303),C$4:C$303,0))+1)</f>
        <v/>
      </c>
      <c r="F11" s="7">
        <f>IF(OR(D11="",B11="",NOT(ISNUMBER(C11))),"",D11&amp;"-"&amp;B11&amp;"-"&amp;TEXT(C11,"000"))</f>
        <v/>
      </c>
      <c r="G11" s="23" t="n"/>
      <c r="H11" s="22" t="n"/>
      <c r="I11" s="24" t="n"/>
      <c r="J11" s="22" t="n"/>
      <c r="K11" s="22" t="n"/>
      <c r="L11" s="22" t="n"/>
      <c r="M11" s="22" t="n"/>
      <c r="N11" s="22" t="n"/>
      <c r="O11" s="7">
        <f>IF(F11="","",F11&amp;"_"&amp;SUBSTITUTE(SUBSTITUTE(SUBSTITUTE(SUBSTITUTE(SUBSTITUTE(SUBSTITUTE(SUBSTITUTE(SUBSTITUTE(SUBSTITUTE(SUBSTITUTE(TRIM(G11)," ","-"),"/","-"),"\","-"),":","-"),"*","-"),"?","-"),"""","-"),"&lt;","-"),"&gt;","-"),"|","-")&amp;IF(H11="","","_Rev"&amp;H11))</f>
        <v/>
      </c>
      <c r="P11" s="7">
        <f>IF(D11="","",IF(L11="Superseded","99 Archive",IF(AND(D11="04",K11&lt;&gt;""),IFERROR(INDEX('Google Drive Map'!$B$4:$B$33,MATCH("04/"&amp;LEFT(K11,2),'Google Drive Map'!$A$4:$A$33,0)),"04 Trades &amp; Tenders/"&amp;K11),IFERROR(INDEX('Google Drive Map'!$B$4:$B$33,MATCH(D11,'Google Drive Map'!$A$4:$A$33,0)),""))))</f>
        <v/>
      </c>
      <c r="Q11" s="7">
        <f>IF(P11="","",IF(IFERROR(INDEX('Google Drive Map'!$G$4:$G$33,MATCH(P11,'Google Drive Map'!$B$4:$B$33,0))&amp;"","")="","",HYPERLINK(INDEX('Google Drive Map'!$G$4:$G$33,MATCH(P11,'Google Drive Map'!$B$4:$B$33,0)),"Open")))</f>
        <v/>
      </c>
      <c r="R11" s="7">
        <f>IF(AND(A11="",B11="",C11=""),"",TRIM(IF(AND(D11&lt;&gt;"",ISNA(MATCH(D11,'Google Drive Map'!$A$4:$A$33,0))),"Folder code isn't on the folder map. ","")&amp;IF(AND(C11&lt;&gt;"",NOT(ISNUMBER(C11))),"No. must be a whole number. ","")&amp;IF(AND(D11&lt;&gt;"",B11&lt;&gt;"",C11=""),"Type the next free no. ","")&amp;IF(AND(F11&lt;&gt;"",COUNTIF(F$4:F$303,F11)&gt;1),"Duplicate Doc ID. ","")))</f>
        <v/>
      </c>
      <c r="S11" s="22" t="n"/>
      <c r="T11" s="23" t="n"/>
    </row>
    <row r="12">
      <c r="A12" s="35" t="n"/>
      <c r="B12" s="22" t="n"/>
      <c r="C12" s="22" t="n"/>
      <c r="D12" s="7">
        <f>IF(A12="","",IF(ISNUMBER(A12),TEXT(A12,"00"),TRIM(A12)))</f>
        <v/>
      </c>
      <c r="E12" s="7">
        <f t="array" ref="E12">IF(OR(D12="",B12=""),"",MAX(IF((D$4:D$303=D12)*(B$4:B$303=B12)*ISNUMBER(C$4:C$303),C$4:C$303,0))+1)</f>
        <v/>
      </c>
      <c r="F12" s="7">
        <f>IF(OR(D12="",B12="",NOT(ISNUMBER(C12))),"",D12&amp;"-"&amp;B12&amp;"-"&amp;TEXT(C12,"000"))</f>
        <v/>
      </c>
      <c r="G12" s="23" t="n"/>
      <c r="H12" s="22" t="n"/>
      <c r="I12" s="24" t="n"/>
      <c r="J12" s="22" t="n"/>
      <c r="K12" s="22" t="n"/>
      <c r="L12" s="22" t="n"/>
      <c r="M12" s="22" t="n"/>
      <c r="N12" s="22" t="n"/>
      <c r="O12" s="7">
        <f>IF(F12="","",F12&amp;"_"&amp;SUBSTITUTE(SUBSTITUTE(SUBSTITUTE(SUBSTITUTE(SUBSTITUTE(SUBSTITUTE(SUBSTITUTE(SUBSTITUTE(SUBSTITUTE(SUBSTITUTE(TRIM(G12)," ","-"),"/","-"),"\","-"),":","-"),"*","-"),"?","-"),"""","-"),"&lt;","-"),"&gt;","-"),"|","-")&amp;IF(H12="","","_Rev"&amp;H12))</f>
        <v/>
      </c>
      <c r="P12" s="7">
        <f>IF(D12="","",IF(L12="Superseded","99 Archive",IF(AND(D12="04",K12&lt;&gt;""),IFERROR(INDEX('Google Drive Map'!$B$4:$B$33,MATCH("04/"&amp;LEFT(K12,2),'Google Drive Map'!$A$4:$A$33,0)),"04 Trades &amp; Tenders/"&amp;K12),IFERROR(INDEX('Google Drive Map'!$B$4:$B$33,MATCH(D12,'Google Drive Map'!$A$4:$A$33,0)),""))))</f>
        <v/>
      </c>
      <c r="Q12" s="7">
        <f>IF(P12="","",IF(IFERROR(INDEX('Google Drive Map'!$G$4:$G$33,MATCH(P12,'Google Drive Map'!$B$4:$B$33,0))&amp;"","")="","",HYPERLINK(INDEX('Google Drive Map'!$G$4:$G$33,MATCH(P12,'Google Drive Map'!$B$4:$B$33,0)),"Open")))</f>
        <v/>
      </c>
      <c r="R12" s="7">
        <f>IF(AND(A12="",B12="",C12=""),"",TRIM(IF(AND(D12&lt;&gt;"",ISNA(MATCH(D12,'Google Drive Map'!$A$4:$A$33,0))),"Folder code isn't on the folder map. ","")&amp;IF(AND(C12&lt;&gt;"",NOT(ISNUMBER(C12))),"No. must be a whole number. ","")&amp;IF(AND(D12&lt;&gt;"",B12&lt;&gt;"",C12=""),"Type the next free no. ","")&amp;IF(AND(F12&lt;&gt;"",COUNTIF(F$4:F$303,F12)&gt;1),"Duplicate Doc ID. ","")))</f>
        <v/>
      </c>
      <c r="S12" s="22" t="n"/>
      <c r="T12" s="23" t="n"/>
    </row>
    <row r="13">
      <c r="A13" s="35" t="n"/>
      <c r="B13" s="22" t="n"/>
      <c r="C13" s="22" t="n"/>
      <c r="D13" s="7">
        <f>IF(A13="","",IF(ISNUMBER(A13),TEXT(A13,"00"),TRIM(A13)))</f>
        <v/>
      </c>
      <c r="E13" s="7">
        <f t="array" ref="E13">IF(OR(D13="",B13=""),"",MAX(IF((D$4:D$303=D13)*(B$4:B$303=B13)*ISNUMBER(C$4:C$303),C$4:C$303,0))+1)</f>
        <v/>
      </c>
      <c r="F13" s="7">
        <f>IF(OR(D13="",B13="",NOT(ISNUMBER(C13))),"",D13&amp;"-"&amp;B13&amp;"-"&amp;TEXT(C13,"000"))</f>
        <v/>
      </c>
      <c r="G13" s="23" t="n"/>
      <c r="H13" s="22" t="n"/>
      <c r="I13" s="24" t="n"/>
      <c r="J13" s="22" t="n"/>
      <c r="K13" s="22" t="n"/>
      <c r="L13" s="22" t="n"/>
      <c r="M13" s="22" t="n"/>
      <c r="N13" s="22" t="n"/>
      <c r="O13" s="7">
        <f>IF(F13="","",F13&amp;"_"&amp;SUBSTITUTE(SUBSTITUTE(SUBSTITUTE(SUBSTITUTE(SUBSTITUTE(SUBSTITUTE(SUBSTITUTE(SUBSTITUTE(SUBSTITUTE(SUBSTITUTE(TRIM(G13)," ","-"),"/","-"),"\","-"),":","-"),"*","-"),"?","-"),"""","-"),"&lt;","-"),"&gt;","-"),"|","-")&amp;IF(H13="","","_Rev"&amp;H13))</f>
        <v/>
      </c>
      <c r="P13" s="7">
        <f>IF(D13="","",IF(L13="Superseded","99 Archive",IF(AND(D13="04",K13&lt;&gt;""),IFERROR(INDEX('Google Drive Map'!$B$4:$B$33,MATCH("04/"&amp;LEFT(K13,2),'Google Drive Map'!$A$4:$A$33,0)),"04 Trades &amp; Tenders/"&amp;K13),IFERROR(INDEX('Google Drive Map'!$B$4:$B$33,MATCH(D13,'Google Drive Map'!$A$4:$A$33,0)),""))))</f>
        <v/>
      </c>
      <c r="Q13" s="7">
        <f>IF(P13="","",IF(IFERROR(INDEX('Google Drive Map'!$G$4:$G$33,MATCH(P13,'Google Drive Map'!$B$4:$B$33,0))&amp;"","")="","",HYPERLINK(INDEX('Google Drive Map'!$G$4:$G$33,MATCH(P13,'Google Drive Map'!$B$4:$B$33,0)),"Open")))</f>
        <v/>
      </c>
      <c r="R13" s="7">
        <f>IF(AND(A13="",B13="",C13=""),"",TRIM(IF(AND(D13&lt;&gt;"",ISNA(MATCH(D13,'Google Drive Map'!$A$4:$A$33,0))),"Folder code isn't on the folder map. ","")&amp;IF(AND(C13&lt;&gt;"",NOT(ISNUMBER(C13))),"No. must be a whole number. ","")&amp;IF(AND(D13&lt;&gt;"",B13&lt;&gt;"",C13=""),"Type the next free no. ","")&amp;IF(AND(F13&lt;&gt;"",COUNTIF(F$4:F$303,F13)&gt;1),"Duplicate Doc ID. ","")))</f>
        <v/>
      </c>
      <c r="S13" s="22" t="n"/>
      <c r="T13" s="23" t="n"/>
    </row>
    <row r="14">
      <c r="A14" s="35" t="n"/>
      <c r="B14" s="22" t="n"/>
      <c r="C14" s="22" t="n"/>
      <c r="D14" s="7">
        <f>IF(A14="","",IF(ISNUMBER(A14),TEXT(A14,"00"),TRIM(A14)))</f>
        <v/>
      </c>
      <c r="E14" s="7">
        <f t="array" ref="E14">IF(OR(D14="",B14=""),"",MAX(IF((D$4:D$303=D14)*(B$4:B$303=B14)*ISNUMBER(C$4:C$303),C$4:C$303,0))+1)</f>
        <v/>
      </c>
      <c r="F14" s="7">
        <f>IF(OR(D14="",B14="",NOT(ISNUMBER(C14))),"",D14&amp;"-"&amp;B14&amp;"-"&amp;TEXT(C14,"000"))</f>
        <v/>
      </c>
      <c r="G14" s="23" t="n"/>
      <c r="H14" s="22" t="n"/>
      <c r="I14" s="24" t="n"/>
      <c r="J14" s="22" t="n"/>
      <c r="K14" s="22" t="n"/>
      <c r="L14" s="22" t="n"/>
      <c r="M14" s="22" t="n"/>
      <c r="N14" s="22" t="n"/>
      <c r="O14" s="7">
        <f>IF(F14="","",F14&amp;"_"&amp;SUBSTITUTE(SUBSTITUTE(SUBSTITUTE(SUBSTITUTE(SUBSTITUTE(SUBSTITUTE(SUBSTITUTE(SUBSTITUTE(SUBSTITUTE(SUBSTITUTE(TRIM(G14)," ","-"),"/","-"),"\","-"),":","-"),"*","-"),"?","-"),"""","-"),"&lt;","-"),"&gt;","-"),"|","-")&amp;IF(H14="","","_Rev"&amp;H14))</f>
        <v/>
      </c>
      <c r="P14" s="7">
        <f>IF(D14="","",IF(L14="Superseded","99 Archive",IF(AND(D14="04",K14&lt;&gt;""),IFERROR(INDEX('Google Drive Map'!$B$4:$B$33,MATCH("04/"&amp;LEFT(K14,2),'Google Drive Map'!$A$4:$A$33,0)),"04 Trades &amp; Tenders/"&amp;K14),IFERROR(INDEX('Google Drive Map'!$B$4:$B$33,MATCH(D14,'Google Drive Map'!$A$4:$A$33,0)),""))))</f>
        <v/>
      </c>
      <c r="Q14" s="7">
        <f>IF(P14="","",IF(IFERROR(INDEX('Google Drive Map'!$G$4:$G$33,MATCH(P14,'Google Drive Map'!$B$4:$B$33,0))&amp;"","")="","",HYPERLINK(INDEX('Google Drive Map'!$G$4:$G$33,MATCH(P14,'Google Drive Map'!$B$4:$B$33,0)),"Open")))</f>
        <v/>
      </c>
      <c r="R14" s="7">
        <f>IF(AND(A14="",B14="",C14=""),"",TRIM(IF(AND(D14&lt;&gt;"",ISNA(MATCH(D14,'Google Drive Map'!$A$4:$A$33,0))),"Folder code isn't on the folder map. ","")&amp;IF(AND(C14&lt;&gt;"",NOT(ISNUMBER(C14))),"No. must be a whole number. ","")&amp;IF(AND(D14&lt;&gt;"",B14&lt;&gt;"",C14=""),"Type the next free no. ","")&amp;IF(AND(F14&lt;&gt;"",COUNTIF(F$4:F$303,F14)&gt;1),"Duplicate Doc ID. ","")))</f>
        <v/>
      </c>
      <c r="S14" s="22" t="n"/>
      <c r="T14" s="23" t="n"/>
    </row>
    <row r="15">
      <c r="A15" s="35" t="n"/>
      <c r="B15" s="22" t="n"/>
      <c r="C15" s="22" t="n"/>
      <c r="D15" s="7">
        <f>IF(A15="","",IF(ISNUMBER(A15),TEXT(A15,"00"),TRIM(A15)))</f>
        <v/>
      </c>
      <c r="E15" s="7">
        <f t="array" ref="E15">IF(OR(D15="",B15=""),"",MAX(IF((D$4:D$303=D15)*(B$4:B$303=B15)*ISNUMBER(C$4:C$303),C$4:C$303,0))+1)</f>
        <v/>
      </c>
      <c r="F15" s="7">
        <f>IF(OR(D15="",B15="",NOT(ISNUMBER(C15))),"",D15&amp;"-"&amp;B15&amp;"-"&amp;TEXT(C15,"000"))</f>
        <v/>
      </c>
      <c r="G15" s="23" t="n"/>
      <c r="H15" s="22" t="n"/>
      <c r="I15" s="24" t="n"/>
      <c r="J15" s="22" t="n"/>
      <c r="K15" s="22" t="n"/>
      <c r="L15" s="22" t="n"/>
      <c r="M15" s="22" t="n"/>
      <c r="N15" s="22" t="n"/>
      <c r="O15" s="7">
        <f>IF(F15="","",F15&amp;"_"&amp;SUBSTITUTE(SUBSTITUTE(SUBSTITUTE(SUBSTITUTE(SUBSTITUTE(SUBSTITUTE(SUBSTITUTE(SUBSTITUTE(SUBSTITUTE(SUBSTITUTE(TRIM(G15)," ","-"),"/","-"),"\","-"),":","-"),"*","-"),"?","-"),"""","-"),"&lt;","-"),"&gt;","-"),"|","-")&amp;IF(H15="","","_Rev"&amp;H15))</f>
        <v/>
      </c>
      <c r="P15" s="7">
        <f>IF(D15="","",IF(L15="Superseded","99 Archive",IF(AND(D15="04",K15&lt;&gt;""),IFERROR(INDEX('Google Drive Map'!$B$4:$B$33,MATCH("04/"&amp;LEFT(K15,2),'Google Drive Map'!$A$4:$A$33,0)),"04 Trades &amp; Tenders/"&amp;K15),IFERROR(INDEX('Google Drive Map'!$B$4:$B$33,MATCH(D15,'Google Drive Map'!$A$4:$A$33,0)),""))))</f>
        <v/>
      </c>
      <c r="Q15" s="7">
        <f>IF(P15="","",IF(IFERROR(INDEX('Google Drive Map'!$G$4:$G$33,MATCH(P15,'Google Drive Map'!$B$4:$B$33,0))&amp;"","")="","",HYPERLINK(INDEX('Google Drive Map'!$G$4:$G$33,MATCH(P15,'Google Drive Map'!$B$4:$B$33,0)),"Open")))</f>
        <v/>
      </c>
      <c r="R15" s="7">
        <f>IF(AND(A15="",B15="",C15=""),"",TRIM(IF(AND(D15&lt;&gt;"",ISNA(MATCH(D15,'Google Drive Map'!$A$4:$A$33,0))),"Folder code isn't on the folder map. ","")&amp;IF(AND(C15&lt;&gt;"",NOT(ISNUMBER(C15))),"No. must be a whole number. ","")&amp;IF(AND(D15&lt;&gt;"",B15&lt;&gt;"",C15=""),"Type the next free no. ","")&amp;IF(AND(F15&lt;&gt;"",COUNTIF(F$4:F$303,F15)&gt;1),"Duplicate Doc ID. ","")))</f>
        <v/>
      </c>
      <c r="S15" s="22" t="n"/>
      <c r="T15" s="23" t="n"/>
    </row>
    <row r="16">
      <c r="A16" s="35" t="n"/>
      <c r="B16" s="22" t="n"/>
      <c r="C16" s="22" t="n"/>
      <c r="D16" s="7">
        <f>IF(A16="","",IF(ISNUMBER(A16),TEXT(A16,"00"),TRIM(A16)))</f>
        <v/>
      </c>
      <c r="E16" s="7">
        <f t="array" ref="E16">IF(OR(D16="",B16=""),"",MAX(IF((D$4:D$303=D16)*(B$4:B$303=B16)*ISNUMBER(C$4:C$303),C$4:C$303,0))+1)</f>
        <v/>
      </c>
      <c r="F16" s="7">
        <f>IF(OR(D16="",B16="",NOT(ISNUMBER(C16))),"",D16&amp;"-"&amp;B16&amp;"-"&amp;TEXT(C16,"000"))</f>
        <v/>
      </c>
      <c r="G16" s="23" t="n"/>
      <c r="H16" s="22" t="n"/>
      <c r="I16" s="24" t="n"/>
      <c r="J16" s="22" t="n"/>
      <c r="K16" s="22" t="n"/>
      <c r="L16" s="22" t="n"/>
      <c r="M16" s="22" t="n"/>
      <c r="N16" s="22" t="n"/>
      <c r="O16" s="7">
        <f>IF(F16="","",F16&amp;"_"&amp;SUBSTITUTE(SUBSTITUTE(SUBSTITUTE(SUBSTITUTE(SUBSTITUTE(SUBSTITUTE(SUBSTITUTE(SUBSTITUTE(SUBSTITUTE(SUBSTITUTE(TRIM(G16)," ","-"),"/","-"),"\","-"),":","-"),"*","-"),"?","-"),"""","-"),"&lt;","-"),"&gt;","-"),"|","-")&amp;IF(H16="","","_Rev"&amp;H16))</f>
        <v/>
      </c>
      <c r="P16" s="7">
        <f>IF(D16="","",IF(L16="Superseded","99 Archive",IF(AND(D16="04",K16&lt;&gt;""),IFERROR(INDEX('Google Drive Map'!$B$4:$B$33,MATCH("04/"&amp;LEFT(K16,2),'Google Drive Map'!$A$4:$A$33,0)),"04 Trades &amp; Tenders/"&amp;K16),IFERROR(INDEX('Google Drive Map'!$B$4:$B$33,MATCH(D16,'Google Drive Map'!$A$4:$A$33,0)),""))))</f>
        <v/>
      </c>
      <c r="Q16" s="7">
        <f>IF(P16="","",IF(IFERROR(INDEX('Google Drive Map'!$G$4:$G$33,MATCH(P16,'Google Drive Map'!$B$4:$B$33,0))&amp;"","")="","",HYPERLINK(INDEX('Google Drive Map'!$G$4:$G$33,MATCH(P16,'Google Drive Map'!$B$4:$B$33,0)),"Open")))</f>
        <v/>
      </c>
      <c r="R16" s="7">
        <f>IF(AND(A16="",B16="",C16=""),"",TRIM(IF(AND(D16&lt;&gt;"",ISNA(MATCH(D16,'Google Drive Map'!$A$4:$A$33,0))),"Folder code isn't on the folder map. ","")&amp;IF(AND(C16&lt;&gt;"",NOT(ISNUMBER(C16))),"No. must be a whole number. ","")&amp;IF(AND(D16&lt;&gt;"",B16&lt;&gt;"",C16=""),"Type the next free no. ","")&amp;IF(AND(F16&lt;&gt;"",COUNTIF(F$4:F$303,F16)&gt;1),"Duplicate Doc ID. ","")))</f>
        <v/>
      </c>
      <c r="S16" s="22" t="n"/>
      <c r="T16" s="23" t="n"/>
    </row>
    <row r="17">
      <c r="A17" s="35" t="n"/>
      <c r="B17" s="22" t="n"/>
      <c r="C17" s="22" t="n"/>
      <c r="D17" s="7">
        <f>IF(A17="","",IF(ISNUMBER(A17),TEXT(A17,"00"),TRIM(A17)))</f>
        <v/>
      </c>
      <c r="E17" s="7">
        <f t="array" ref="E17">IF(OR(D17="",B17=""),"",MAX(IF((D$4:D$303=D17)*(B$4:B$303=B17)*ISNUMBER(C$4:C$303),C$4:C$303,0))+1)</f>
        <v/>
      </c>
      <c r="F17" s="7">
        <f>IF(OR(D17="",B17="",NOT(ISNUMBER(C17))),"",D17&amp;"-"&amp;B17&amp;"-"&amp;TEXT(C17,"000"))</f>
        <v/>
      </c>
      <c r="G17" s="23" t="n"/>
      <c r="H17" s="22" t="n"/>
      <c r="I17" s="24" t="n"/>
      <c r="J17" s="22" t="n"/>
      <c r="K17" s="22" t="n"/>
      <c r="L17" s="22" t="n"/>
      <c r="M17" s="22" t="n"/>
      <c r="N17" s="22" t="n"/>
      <c r="O17" s="7">
        <f>IF(F17="","",F17&amp;"_"&amp;SUBSTITUTE(SUBSTITUTE(SUBSTITUTE(SUBSTITUTE(SUBSTITUTE(SUBSTITUTE(SUBSTITUTE(SUBSTITUTE(SUBSTITUTE(SUBSTITUTE(TRIM(G17)," ","-"),"/","-"),"\","-"),":","-"),"*","-"),"?","-"),"""","-"),"&lt;","-"),"&gt;","-"),"|","-")&amp;IF(H17="","","_Rev"&amp;H17))</f>
        <v/>
      </c>
      <c r="P17" s="7">
        <f>IF(D17="","",IF(L17="Superseded","99 Archive",IF(AND(D17="04",K17&lt;&gt;""),IFERROR(INDEX('Google Drive Map'!$B$4:$B$33,MATCH("04/"&amp;LEFT(K17,2),'Google Drive Map'!$A$4:$A$33,0)),"04 Trades &amp; Tenders/"&amp;K17),IFERROR(INDEX('Google Drive Map'!$B$4:$B$33,MATCH(D17,'Google Drive Map'!$A$4:$A$33,0)),""))))</f>
        <v/>
      </c>
      <c r="Q17" s="7">
        <f>IF(P17="","",IF(IFERROR(INDEX('Google Drive Map'!$G$4:$G$33,MATCH(P17,'Google Drive Map'!$B$4:$B$33,0))&amp;"","")="","",HYPERLINK(INDEX('Google Drive Map'!$G$4:$G$33,MATCH(P17,'Google Drive Map'!$B$4:$B$33,0)),"Open")))</f>
        <v/>
      </c>
      <c r="R17" s="7">
        <f>IF(AND(A17="",B17="",C17=""),"",TRIM(IF(AND(D17&lt;&gt;"",ISNA(MATCH(D17,'Google Drive Map'!$A$4:$A$33,0))),"Folder code isn't on the folder map. ","")&amp;IF(AND(C17&lt;&gt;"",NOT(ISNUMBER(C17))),"No. must be a whole number. ","")&amp;IF(AND(D17&lt;&gt;"",B17&lt;&gt;"",C17=""),"Type the next free no. ","")&amp;IF(AND(F17&lt;&gt;"",COUNTIF(F$4:F$303,F17)&gt;1),"Duplicate Doc ID. ","")))</f>
        <v/>
      </c>
      <c r="S17" s="22" t="n"/>
      <c r="T17" s="23" t="n"/>
    </row>
    <row r="18">
      <c r="A18" s="35" t="n"/>
      <c r="B18" s="22" t="n"/>
      <c r="C18" s="22" t="n"/>
      <c r="D18" s="7">
        <f>IF(A18="","",IF(ISNUMBER(A18),TEXT(A18,"00"),TRIM(A18)))</f>
        <v/>
      </c>
      <c r="E18" s="7">
        <f t="array" ref="E18">IF(OR(D18="",B18=""),"",MAX(IF((D$4:D$303=D18)*(B$4:B$303=B18)*ISNUMBER(C$4:C$303),C$4:C$303,0))+1)</f>
        <v/>
      </c>
      <c r="F18" s="7">
        <f>IF(OR(D18="",B18="",NOT(ISNUMBER(C18))),"",D18&amp;"-"&amp;B18&amp;"-"&amp;TEXT(C18,"000"))</f>
        <v/>
      </c>
      <c r="G18" s="23" t="n"/>
      <c r="H18" s="22" t="n"/>
      <c r="I18" s="24" t="n"/>
      <c r="J18" s="22" t="n"/>
      <c r="K18" s="22" t="n"/>
      <c r="L18" s="22" t="n"/>
      <c r="M18" s="22" t="n"/>
      <c r="N18" s="22" t="n"/>
      <c r="O18" s="7">
        <f>IF(F18="","",F18&amp;"_"&amp;SUBSTITUTE(SUBSTITUTE(SUBSTITUTE(SUBSTITUTE(SUBSTITUTE(SUBSTITUTE(SUBSTITUTE(SUBSTITUTE(SUBSTITUTE(SUBSTITUTE(TRIM(G18)," ","-"),"/","-"),"\","-"),":","-"),"*","-"),"?","-"),"""","-"),"&lt;","-"),"&gt;","-"),"|","-")&amp;IF(H18="","","_Rev"&amp;H18))</f>
        <v/>
      </c>
      <c r="P18" s="7">
        <f>IF(D18="","",IF(L18="Superseded","99 Archive",IF(AND(D18="04",K18&lt;&gt;""),IFERROR(INDEX('Google Drive Map'!$B$4:$B$33,MATCH("04/"&amp;LEFT(K18,2),'Google Drive Map'!$A$4:$A$33,0)),"04 Trades &amp; Tenders/"&amp;K18),IFERROR(INDEX('Google Drive Map'!$B$4:$B$33,MATCH(D18,'Google Drive Map'!$A$4:$A$33,0)),""))))</f>
        <v/>
      </c>
      <c r="Q18" s="7">
        <f>IF(P18="","",IF(IFERROR(INDEX('Google Drive Map'!$G$4:$G$33,MATCH(P18,'Google Drive Map'!$B$4:$B$33,0))&amp;"","")="","",HYPERLINK(INDEX('Google Drive Map'!$G$4:$G$33,MATCH(P18,'Google Drive Map'!$B$4:$B$33,0)),"Open")))</f>
        <v/>
      </c>
      <c r="R18" s="7">
        <f>IF(AND(A18="",B18="",C18=""),"",TRIM(IF(AND(D18&lt;&gt;"",ISNA(MATCH(D18,'Google Drive Map'!$A$4:$A$33,0))),"Folder code isn't on the folder map. ","")&amp;IF(AND(C18&lt;&gt;"",NOT(ISNUMBER(C18))),"No. must be a whole number. ","")&amp;IF(AND(D18&lt;&gt;"",B18&lt;&gt;"",C18=""),"Type the next free no. ","")&amp;IF(AND(F18&lt;&gt;"",COUNTIF(F$4:F$303,F18)&gt;1),"Duplicate Doc ID. ","")))</f>
        <v/>
      </c>
      <c r="S18" s="22" t="n"/>
      <c r="T18" s="23" t="n"/>
    </row>
    <row r="19">
      <c r="A19" s="35" t="n"/>
      <c r="B19" s="22" t="n"/>
      <c r="C19" s="22" t="n"/>
      <c r="D19" s="7">
        <f>IF(A19="","",IF(ISNUMBER(A19),TEXT(A19,"00"),TRIM(A19)))</f>
        <v/>
      </c>
      <c r="E19" s="7">
        <f t="array" ref="E19">IF(OR(D19="",B19=""),"",MAX(IF((D$4:D$303=D19)*(B$4:B$303=B19)*ISNUMBER(C$4:C$303),C$4:C$303,0))+1)</f>
        <v/>
      </c>
      <c r="F19" s="7">
        <f>IF(OR(D19="",B19="",NOT(ISNUMBER(C19))),"",D19&amp;"-"&amp;B19&amp;"-"&amp;TEXT(C19,"000"))</f>
        <v/>
      </c>
      <c r="G19" s="23" t="n"/>
      <c r="H19" s="22" t="n"/>
      <c r="I19" s="24" t="n"/>
      <c r="J19" s="22" t="n"/>
      <c r="K19" s="22" t="n"/>
      <c r="L19" s="22" t="n"/>
      <c r="M19" s="22" t="n"/>
      <c r="N19" s="22" t="n"/>
      <c r="O19" s="7">
        <f>IF(F19="","",F19&amp;"_"&amp;SUBSTITUTE(SUBSTITUTE(SUBSTITUTE(SUBSTITUTE(SUBSTITUTE(SUBSTITUTE(SUBSTITUTE(SUBSTITUTE(SUBSTITUTE(SUBSTITUTE(TRIM(G19)," ","-"),"/","-"),"\","-"),":","-"),"*","-"),"?","-"),"""","-"),"&lt;","-"),"&gt;","-"),"|","-")&amp;IF(H19="","","_Rev"&amp;H19))</f>
        <v/>
      </c>
      <c r="P19" s="7">
        <f>IF(D19="","",IF(L19="Superseded","99 Archive",IF(AND(D19="04",K19&lt;&gt;""),IFERROR(INDEX('Google Drive Map'!$B$4:$B$33,MATCH("04/"&amp;LEFT(K19,2),'Google Drive Map'!$A$4:$A$33,0)),"04 Trades &amp; Tenders/"&amp;K19),IFERROR(INDEX('Google Drive Map'!$B$4:$B$33,MATCH(D19,'Google Drive Map'!$A$4:$A$33,0)),""))))</f>
        <v/>
      </c>
      <c r="Q19" s="7">
        <f>IF(P19="","",IF(IFERROR(INDEX('Google Drive Map'!$G$4:$G$33,MATCH(P19,'Google Drive Map'!$B$4:$B$33,0))&amp;"","")="","",HYPERLINK(INDEX('Google Drive Map'!$G$4:$G$33,MATCH(P19,'Google Drive Map'!$B$4:$B$33,0)),"Open")))</f>
        <v/>
      </c>
      <c r="R19" s="7">
        <f>IF(AND(A19="",B19="",C19=""),"",TRIM(IF(AND(D19&lt;&gt;"",ISNA(MATCH(D19,'Google Drive Map'!$A$4:$A$33,0))),"Folder code isn't on the folder map. ","")&amp;IF(AND(C19&lt;&gt;"",NOT(ISNUMBER(C19))),"No. must be a whole number. ","")&amp;IF(AND(D19&lt;&gt;"",B19&lt;&gt;"",C19=""),"Type the next free no. ","")&amp;IF(AND(F19&lt;&gt;"",COUNTIF(F$4:F$303,F19)&gt;1),"Duplicate Doc ID. ","")))</f>
        <v/>
      </c>
      <c r="S19" s="22" t="n"/>
      <c r="T19" s="23" t="n"/>
    </row>
    <row r="20">
      <c r="A20" s="35" t="n"/>
      <c r="B20" s="22" t="n"/>
      <c r="C20" s="22" t="n"/>
      <c r="D20" s="7">
        <f>IF(A20="","",IF(ISNUMBER(A20),TEXT(A20,"00"),TRIM(A20)))</f>
        <v/>
      </c>
      <c r="E20" s="7">
        <f t="array" ref="E20">IF(OR(D20="",B20=""),"",MAX(IF((D$4:D$303=D20)*(B$4:B$303=B20)*ISNUMBER(C$4:C$303),C$4:C$303,0))+1)</f>
        <v/>
      </c>
      <c r="F20" s="7">
        <f>IF(OR(D20="",B20="",NOT(ISNUMBER(C20))),"",D20&amp;"-"&amp;B20&amp;"-"&amp;TEXT(C20,"000"))</f>
        <v/>
      </c>
      <c r="G20" s="23" t="n"/>
      <c r="H20" s="22" t="n"/>
      <c r="I20" s="24" t="n"/>
      <c r="J20" s="22" t="n"/>
      <c r="K20" s="22" t="n"/>
      <c r="L20" s="22" t="n"/>
      <c r="M20" s="22" t="n"/>
      <c r="N20" s="22" t="n"/>
      <c r="O20" s="7">
        <f>IF(F20="","",F20&amp;"_"&amp;SUBSTITUTE(SUBSTITUTE(SUBSTITUTE(SUBSTITUTE(SUBSTITUTE(SUBSTITUTE(SUBSTITUTE(SUBSTITUTE(SUBSTITUTE(SUBSTITUTE(TRIM(G20)," ","-"),"/","-"),"\","-"),":","-"),"*","-"),"?","-"),"""","-"),"&lt;","-"),"&gt;","-"),"|","-")&amp;IF(H20="","","_Rev"&amp;H20))</f>
        <v/>
      </c>
      <c r="P20" s="7">
        <f>IF(D20="","",IF(L20="Superseded","99 Archive",IF(AND(D20="04",K20&lt;&gt;""),IFERROR(INDEX('Google Drive Map'!$B$4:$B$33,MATCH("04/"&amp;LEFT(K20,2),'Google Drive Map'!$A$4:$A$33,0)),"04 Trades &amp; Tenders/"&amp;K20),IFERROR(INDEX('Google Drive Map'!$B$4:$B$33,MATCH(D20,'Google Drive Map'!$A$4:$A$33,0)),""))))</f>
        <v/>
      </c>
      <c r="Q20" s="7">
        <f>IF(P20="","",IF(IFERROR(INDEX('Google Drive Map'!$G$4:$G$33,MATCH(P20,'Google Drive Map'!$B$4:$B$33,0))&amp;"","")="","",HYPERLINK(INDEX('Google Drive Map'!$G$4:$G$33,MATCH(P20,'Google Drive Map'!$B$4:$B$33,0)),"Open")))</f>
        <v/>
      </c>
      <c r="R20" s="7">
        <f>IF(AND(A20="",B20="",C20=""),"",TRIM(IF(AND(D20&lt;&gt;"",ISNA(MATCH(D20,'Google Drive Map'!$A$4:$A$33,0))),"Folder code isn't on the folder map. ","")&amp;IF(AND(C20&lt;&gt;"",NOT(ISNUMBER(C20))),"No. must be a whole number. ","")&amp;IF(AND(D20&lt;&gt;"",B20&lt;&gt;"",C20=""),"Type the next free no. ","")&amp;IF(AND(F20&lt;&gt;"",COUNTIF(F$4:F$303,F20)&gt;1),"Duplicate Doc ID. ","")))</f>
        <v/>
      </c>
      <c r="S20" s="22" t="n"/>
      <c r="T20" s="23" t="n"/>
    </row>
    <row r="21">
      <c r="A21" s="35" t="n"/>
      <c r="B21" s="22" t="n"/>
      <c r="C21" s="22" t="n"/>
      <c r="D21" s="7">
        <f>IF(A21="","",IF(ISNUMBER(A21),TEXT(A21,"00"),TRIM(A21)))</f>
        <v/>
      </c>
      <c r="E21" s="7">
        <f t="array" ref="E21">IF(OR(D21="",B21=""),"",MAX(IF((D$4:D$303=D21)*(B$4:B$303=B21)*ISNUMBER(C$4:C$303),C$4:C$303,0))+1)</f>
        <v/>
      </c>
      <c r="F21" s="7">
        <f>IF(OR(D21="",B21="",NOT(ISNUMBER(C21))),"",D21&amp;"-"&amp;B21&amp;"-"&amp;TEXT(C21,"000"))</f>
        <v/>
      </c>
      <c r="G21" s="23" t="n"/>
      <c r="H21" s="22" t="n"/>
      <c r="I21" s="24" t="n"/>
      <c r="J21" s="22" t="n"/>
      <c r="K21" s="22" t="n"/>
      <c r="L21" s="22" t="n"/>
      <c r="M21" s="22" t="n"/>
      <c r="N21" s="22" t="n"/>
      <c r="O21" s="7">
        <f>IF(F21="","",F21&amp;"_"&amp;SUBSTITUTE(SUBSTITUTE(SUBSTITUTE(SUBSTITUTE(SUBSTITUTE(SUBSTITUTE(SUBSTITUTE(SUBSTITUTE(SUBSTITUTE(SUBSTITUTE(TRIM(G21)," ","-"),"/","-"),"\","-"),":","-"),"*","-"),"?","-"),"""","-"),"&lt;","-"),"&gt;","-"),"|","-")&amp;IF(H21="","","_Rev"&amp;H21))</f>
        <v/>
      </c>
      <c r="P21" s="7">
        <f>IF(D21="","",IF(L21="Superseded","99 Archive",IF(AND(D21="04",K21&lt;&gt;""),IFERROR(INDEX('Google Drive Map'!$B$4:$B$33,MATCH("04/"&amp;LEFT(K21,2),'Google Drive Map'!$A$4:$A$33,0)),"04 Trades &amp; Tenders/"&amp;K21),IFERROR(INDEX('Google Drive Map'!$B$4:$B$33,MATCH(D21,'Google Drive Map'!$A$4:$A$33,0)),""))))</f>
        <v/>
      </c>
      <c r="Q21" s="7">
        <f>IF(P21="","",IF(IFERROR(INDEX('Google Drive Map'!$G$4:$G$33,MATCH(P21,'Google Drive Map'!$B$4:$B$33,0))&amp;"","")="","",HYPERLINK(INDEX('Google Drive Map'!$G$4:$G$33,MATCH(P21,'Google Drive Map'!$B$4:$B$33,0)),"Open")))</f>
        <v/>
      </c>
      <c r="R21" s="7">
        <f>IF(AND(A21="",B21="",C21=""),"",TRIM(IF(AND(D21&lt;&gt;"",ISNA(MATCH(D21,'Google Drive Map'!$A$4:$A$33,0))),"Folder code isn't on the folder map. ","")&amp;IF(AND(C21&lt;&gt;"",NOT(ISNUMBER(C21))),"No. must be a whole number. ","")&amp;IF(AND(D21&lt;&gt;"",B21&lt;&gt;"",C21=""),"Type the next free no. ","")&amp;IF(AND(F21&lt;&gt;"",COUNTIF(F$4:F$303,F21)&gt;1),"Duplicate Doc ID. ","")))</f>
        <v/>
      </c>
      <c r="S21" s="22" t="n"/>
      <c r="T21" s="23" t="n"/>
    </row>
    <row r="22">
      <c r="A22" s="35" t="n"/>
      <c r="B22" s="22" t="n"/>
      <c r="C22" s="22" t="n"/>
      <c r="D22" s="7">
        <f>IF(A22="","",IF(ISNUMBER(A22),TEXT(A22,"00"),TRIM(A22)))</f>
        <v/>
      </c>
      <c r="E22" s="7">
        <f t="array" ref="E22">IF(OR(D22="",B22=""),"",MAX(IF((D$4:D$303=D22)*(B$4:B$303=B22)*ISNUMBER(C$4:C$303),C$4:C$303,0))+1)</f>
        <v/>
      </c>
      <c r="F22" s="7">
        <f>IF(OR(D22="",B22="",NOT(ISNUMBER(C22))),"",D22&amp;"-"&amp;B22&amp;"-"&amp;TEXT(C22,"000"))</f>
        <v/>
      </c>
      <c r="G22" s="23" t="n"/>
      <c r="H22" s="22" t="n"/>
      <c r="I22" s="24" t="n"/>
      <c r="J22" s="22" t="n"/>
      <c r="K22" s="22" t="n"/>
      <c r="L22" s="22" t="n"/>
      <c r="M22" s="22" t="n"/>
      <c r="N22" s="22" t="n"/>
      <c r="O22" s="7">
        <f>IF(F22="","",F22&amp;"_"&amp;SUBSTITUTE(SUBSTITUTE(SUBSTITUTE(SUBSTITUTE(SUBSTITUTE(SUBSTITUTE(SUBSTITUTE(SUBSTITUTE(SUBSTITUTE(SUBSTITUTE(TRIM(G22)," ","-"),"/","-"),"\","-"),":","-"),"*","-"),"?","-"),"""","-"),"&lt;","-"),"&gt;","-"),"|","-")&amp;IF(H22="","","_Rev"&amp;H22))</f>
        <v/>
      </c>
      <c r="P22" s="7">
        <f>IF(D22="","",IF(L22="Superseded","99 Archive",IF(AND(D22="04",K22&lt;&gt;""),IFERROR(INDEX('Google Drive Map'!$B$4:$B$33,MATCH("04/"&amp;LEFT(K22,2),'Google Drive Map'!$A$4:$A$33,0)),"04 Trades &amp; Tenders/"&amp;K22),IFERROR(INDEX('Google Drive Map'!$B$4:$B$33,MATCH(D22,'Google Drive Map'!$A$4:$A$33,0)),""))))</f>
        <v/>
      </c>
      <c r="Q22" s="7">
        <f>IF(P22="","",IF(IFERROR(INDEX('Google Drive Map'!$G$4:$G$33,MATCH(P22,'Google Drive Map'!$B$4:$B$33,0))&amp;"","")="","",HYPERLINK(INDEX('Google Drive Map'!$G$4:$G$33,MATCH(P22,'Google Drive Map'!$B$4:$B$33,0)),"Open")))</f>
        <v/>
      </c>
      <c r="R22" s="7">
        <f>IF(AND(A22="",B22="",C22=""),"",TRIM(IF(AND(D22&lt;&gt;"",ISNA(MATCH(D22,'Google Drive Map'!$A$4:$A$33,0))),"Folder code isn't on the folder map. ","")&amp;IF(AND(C22&lt;&gt;"",NOT(ISNUMBER(C22))),"No. must be a whole number. ","")&amp;IF(AND(D22&lt;&gt;"",B22&lt;&gt;"",C22=""),"Type the next free no. ","")&amp;IF(AND(F22&lt;&gt;"",COUNTIF(F$4:F$303,F22)&gt;1),"Duplicate Doc ID. ","")))</f>
        <v/>
      </c>
      <c r="S22" s="22" t="n"/>
      <c r="T22" s="23" t="n"/>
    </row>
    <row r="23">
      <c r="A23" s="35" t="n"/>
      <c r="B23" s="22" t="n"/>
      <c r="C23" s="22" t="n"/>
      <c r="D23" s="7">
        <f>IF(A23="","",IF(ISNUMBER(A23),TEXT(A23,"00"),TRIM(A23)))</f>
        <v/>
      </c>
      <c r="E23" s="7">
        <f t="array" ref="E23">IF(OR(D23="",B23=""),"",MAX(IF((D$4:D$303=D23)*(B$4:B$303=B23)*ISNUMBER(C$4:C$303),C$4:C$303,0))+1)</f>
        <v/>
      </c>
      <c r="F23" s="7">
        <f>IF(OR(D23="",B23="",NOT(ISNUMBER(C23))),"",D23&amp;"-"&amp;B23&amp;"-"&amp;TEXT(C23,"000"))</f>
        <v/>
      </c>
      <c r="G23" s="23" t="n"/>
      <c r="H23" s="22" t="n"/>
      <c r="I23" s="24" t="n"/>
      <c r="J23" s="22" t="n"/>
      <c r="K23" s="22" t="n"/>
      <c r="L23" s="22" t="n"/>
      <c r="M23" s="22" t="n"/>
      <c r="N23" s="22" t="n"/>
      <c r="O23" s="7">
        <f>IF(F23="","",F23&amp;"_"&amp;SUBSTITUTE(SUBSTITUTE(SUBSTITUTE(SUBSTITUTE(SUBSTITUTE(SUBSTITUTE(SUBSTITUTE(SUBSTITUTE(SUBSTITUTE(SUBSTITUTE(TRIM(G23)," ","-"),"/","-"),"\","-"),":","-"),"*","-"),"?","-"),"""","-"),"&lt;","-"),"&gt;","-"),"|","-")&amp;IF(H23="","","_Rev"&amp;H23))</f>
        <v/>
      </c>
      <c r="P23" s="7">
        <f>IF(D23="","",IF(L23="Superseded","99 Archive",IF(AND(D23="04",K23&lt;&gt;""),IFERROR(INDEX('Google Drive Map'!$B$4:$B$33,MATCH("04/"&amp;LEFT(K23,2),'Google Drive Map'!$A$4:$A$33,0)),"04 Trades &amp; Tenders/"&amp;K23),IFERROR(INDEX('Google Drive Map'!$B$4:$B$33,MATCH(D23,'Google Drive Map'!$A$4:$A$33,0)),""))))</f>
        <v/>
      </c>
      <c r="Q23" s="7">
        <f>IF(P23="","",IF(IFERROR(INDEX('Google Drive Map'!$G$4:$G$33,MATCH(P23,'Google Drive Map'!$B$4:$B$33,0))&amp;"","")="","",HYPERLINK(INDEX('Google Drive Map'!$G$4:$G$33,MATCH(P23,'Google Drive Map'!$B$4:$B$33,0)),"Open")))</f>
        <v/>
      </c>
      <c r="R23" s="7">
        <f>IF(AND(A23="",B23="",C23=""),"",TRIM(IF(AND(D23&lt;&gt;"",ISNA(MATCH(D23,'Google Drive Map'!$A$4:$A$33,0))),"Folder code isn't on the folder map. ","")&amp;IF(AND(C23&lt;&gt;"",NOT(ISNUMBER(C23))),"No. must be a whole number. ","")&amp;IF(AND(D23&lt;&gt;"",B23&lt;&gt;"",C23=""),"Type the next free no. ","")&amp;IF(AND(F23&lt;&gt;"",COUNTIF(F$4:F$303,F23)&gt;1),"Duplicate Doc ID. ","")))</f>
        <v/>
      </c>
      <c r="S23" s="22" t="n"/>
      <c r="T23" s="23" t="n"/>
    </row>
    <row r="24">
      <c r="A24" s="35" t="n"/>
      <c r="B24" s="22" t="n"/>
      <c r="C24" s="22" t="n"/>
      <c r="D24" s="7">
        <f>IF(A24="","",IF(ISNUMBER(A24),TEXT(A24,"00"),TRIM(A24)))</f>
        <v/>
      </c>
      <c r="E24" s="7">
        <f t="array" ref="E24">IF(OR(D24="",B24=""),"",MAX(IF((D$4:D$303=D24)*(B$4:B$303=B24)*ISNUMBER(C$4:C$303),C$4:C$303,0))+1)</f>
        <v/>
      </c>
      <c r="F24" s="7">
        <f>IF(OR(D24="",B24="",NOT(ISNUMBER(C24))),"",D24&amp;"-"&amp;B24&amp;"-"&amp;TEXT(C24,"000"))</f>
        <v/>
      </c>
      <c r="G24" s="23" t="n"/>
      <c r="H24" s="22" t="n"/>
      <c r="I24" s="24" t="n"/>
      <c r="J24" s="22" t="n"/>
      <c r="K24" s="22" t="n"/>
      <c r="L24" s="22" t="n"/>
      <c r="M24" s="22" t="n"/>
      <c r="N24" s="22" t="n"/>
      <c r="O24" s="7">
        <f>IF(F24="","",F24&amp;"_"&amp;SUBSTITUTE(SUBSTITUTE(SUBSTITUTE(SUBSTITUTE(SUBSTITUTE(SUBSTITUTE(SUBSTITUTE(SUBSTITUTE(SUBSTITUTE(SUBSTITUTE(TRIM(G24)," ","-"),"/","-"),"\","-"),":","-"),"*","-"),"?","-"),"""","-"),"&lt;","-"),"&gt;","-"),"|","-")&amp;IF(H24="","","_Rev"&amp;H24))</f>
        <v/>
      </c>
      <c r="P24" s="7">
        <f>IF(D24="","",IF(L24="Superseded","99 Archive",IF(AND(D24="04",K24&lt;&gt;""),IFERROR(INDEX('Google Drive Map'!$B$4:$B$33,MATCH("04/"&amp;LEFT(K24,2),'Google Drive Map'!$A$4:$A$33,0)),"04 Trades &amp; Tenders/"&amp;K24),IFERROR(INDEX('Google Drive Map'!$B$4:$B$33,MATCH(D24,'Google Drive Map'!$A$4:$A$33,0)),""))))</f>
        <v/>
      </c>
      <c r="Q24" s="7">
        <f>IF(P24="","",IF(IFERROR(INDEX('Google Drive Map'!$G$4:$G$33,MATCH(P24,'Google Drive Map'!$B$4:$B$33,0))&amp;"","")="","",HYPERLINK(INDEX('Google Drive Map'!$G$4:$G$33,MATCH(P24,'Google Drive Map'!$B$4:$B$33,0)),"Open")))</f>
        <v/>
      </c>
      <c r="R24" s="7">
        <f>IF(AND(A24="",B24="",C24=""),"",TRIM(IF(AND(D24&lt;&gt;"",ISNA(MATCH(D24,'Google Drive Map'!$A$4:$A$33,0))),"Folder code isn't on the folder map. ","")&amp;IF(AND(C24&lt;&gt;"",NOT(ISNUMBER(C24))),"No. must be a whole number. ","")&amp;IF(AND(D24&lt;&gt;"",B24&lt;&gt;"",C24=""),"Type the next free no. ","")&amp;IF(AND(F24&lt;&gt;"",COUNTIF(F$4:F$303,F24)&gt;1),"Duplicate Doc ID. ","")))</f>
        <v/>
      </c>
      <c r="S24" s="22" t="n"/>
      <c r="T24" s="23" t="n"/>
    </row>
    <row r="25">
      <c r="A25" s="35" t="n"/>
      <c r="B25" s="22" t="n"/>
      <c r="C25" s="22" t="n"/>
      <c r="D25" s="7">
        <f>IF(A25="","",IF(ISNUMBER(A25),TEXT(A25,"00"),TRIM(A25)))</f>
        <v/>
      </c>
      <c r="E25" s="7">
        <f t="array" ref="E25">IF(OR(D25="",B25=""),"",MAX(IF((D$4:D$303=D25)*(B$4:B$303=B25)*ISNUMBER(C$4:C$303),C$4:C$303,0))+1)</f>
        <v/>
      </c>
      <c r="F25" s="7">
        <f>IF(OR(D25="",B25="",NOT(ISNUMBER(C25))),"",D25&amp;"-"&amp;B25&amp;"-"&amp;TEXT(C25,"000"))</f>
        <v/>
      </c>
      <c r="G25" s="23" t="n"/>
      <c r="H25" s="22" t="n"/>
      <c r="I25" s="24" t="n"/>
      <c r="J25" s="22" t="n"/>
      <c r="K25" s="22" t="n"/>
      <c r="L25" s="22" t="n"/>
      <c r="M25" s="22" t="n"/>
      <c r="N25" s="22" t="n"/>
      <c r="O25" s="7">
        <f>IF(F25="","",F25&amp;"_"&amp;SUBSTITUTE(SUBSTITUTE(SUBSTITUTE(SUBSTITUTE(SUBSTITUTE(SUBSTITUTE(SUBSTITUTE(SUBSTITUTE(SUBSTITUTE(SUBSTITUTE(TRIM(G25)," ","-"),"/","-"),"\","-"),":","-"),"*","-"),"?","-"),"""","-"),"&lt;","-"),"&gt;","-"),"|","-")&amp;IF(H25="","","_Rev"&amp;H25))</f>
        <v/>
      </c>
      <c r="P25" s="7">
        <f>IF(D25="","",IF(L25="Superseded","99 Archive",IF(AND(D25="04",K25&lt;&gt;""),IFERROR(INDEX('Google Drive Map'!$B$4:$B$33,MATCH("04/"&amp;LEFT(K25,2),'Google Drive Map'!$A$4:$A$33,0)),"04 Trades &amp; Tenders/"&amp;K25),IFERROR(INDEX('Google Drive Map'!$B$4:$B$33,MATCH(D25,'Google Drive Map'!$A$4:$A$33,0)),""))))</f>
        <v/>
      </c>
      <c r="Q25" s="7">
        <f>IF(P25="","",IF(IFERROR(INDEX('Google Drive Map'!$G$4:$G$33,MATCH(P25,'Google Drive Map'!$B$4:$B$33,0))&amp;"","")="","",HYPERLINK(INDEX('Google Drive Map'!$G$4:$G$33,MATCH(P25,'Google Drive Map'!$B$4:$B$33,0)),"Open")))</f>
        <v/>
      </c>
      <c r="R25" s="7">
        <f>IF(AND(A25="",B25="",C25=""),"",TRIM(IF(AND(D25&lt;&gt;"",ISNA(MATCH(D25,'Google Drive Map'!$A$4:$A$33,0))),"Folder code isn't on the folder map. ","")&amp;IF(AND(C25&lt;&gt;"",NOT(ISNUMBER(C25))),"No. must be a whole number. ","")&amp;IF(AND(D25&lt;&gt;"",B25&lt;&gt;"",C25=""),"Type the next free no. ","")&amp;IF(AND(F25&lt;&gt;"",COUNTIF(F$4:F$303,F25)&gt;1),"Duplicate Doc ID. ","")))</f>
        <v/>
      </c>
      <c r="S25" s="22" t="n"/>
      <c r="T25" s="23" t="n"/>
    </row>
    <row r="26">
      <c r="A26" s="35" t="n"/>
      <c r="B26" s="22" t="n"/>
      <c r="C26" s="22" t="n"/>
      <c r="D26" s="7">
        <f>IF(A26="","",IF(ISNUMBER(A26),TEXT(A26,"00"),TRIM(A26)))</f>
        <v/>
      </c>
      <c r="E26" s="7">
        <f t="array" ref="E26">IF(OR(D26="",B26=""),"",MAX(IF((D$4:D$303=D26)*(B$4:B$303=B26)*ISNUMBER(C$4:C$303),C$4:C$303,0))+1)</f>
        <v/>
      </c>
      <c r="F26" s="7">
        <f>IF(OR(D26="",B26="",NOT(ISNUMBER(C26))),"",D26&amp;"-"&amp;B26&amp;"-"&amp;TEXT(C26,"000"))</f>
        <v/>
      </c>
      <c r="G26" s="23" t="n"/>
      <c r="H26" s="22" t="n"/>
      <c r="I26" s="24" t="n"/>
      <c r="J26" s="22" t="n"/>
      <c r="K26" s="22" t="n"/>
      <c r="L26" s="22" t="n"/>
      <c r="M26" s="22" t="n"/>
      <c r="N26" s="22" t="n"/>
      <c r="O26" s="7">
        <f>IF(F26="","",F26&amp;"_"&amp;SUBSTITUTE(SUBSTITUTE(SUBSTITUTE(SUBSTITUTE(SUBSTITUTE(SUBSTITUTE(SUBSTITUTE(SUBSTITUTE(SUBSTITUTE(SUBSTITUTE(TRIM(G26)," ","-"),"/","-"),"\","-"),":","-"),"*","-"),"?","-"),"""","-"),"&lt;","-"),"&gt;","-"),"|","-")&amp;IF(H26="","","_Rev"&amp;H26))</f>
        <v/>
      </c>
      <c r="P26" s="7">
        <f>IF(D26="","",IF(L26="Superseded","99 Archive",IF(AND(D26="04",K26&lt;&gt;""),IFERROR(INDEX('Google Drive Map'!$B$4:$B$33,MATCH("04/"&amp;LEFT(K26,2),'Google Drive Map'!$A$4:$A$33,0)),"04 Trades &amp; Tenders/"&amp;K26),IFERROR(INDEX('Google Drive Map'!$B$4:$B$33,MATCH(D26,'Google Drive Map'!$A$4:$A$33,0)),""))))</f>
        <v/>
      </c>
      <c r="Q26" s="7">
        <f>IF(P26="","",IF(IFERROR(INDEX('Google Drive Map'!$G$4:$G$33,MATCH(P26,'Google Drive Map'!$B$4:$B$33,0))&amp;"","")="","",HYPERLINK(INDEX('Google Drive Map'!$G$4:$G$33,MATCH(P26,'Google Drive Map'!$B$4:$B$33,0)),"Open")))</f>
        <v/>
      </c>
      <c r="R26" s="7">
        <f>IF(AND(A26="",B26="",C26=""),"",TRIM(IF(AND(D26&lt;&gt;"",ISNA(MATCH(D26,'Google Drive Map'!$A$4:$A$33,0))),"Folder code isn't on the folder map. ","")&amp;IF(AND(C26&lt;&gt;"",NOT(ISNUMBER(C26))),"No. must be a whole number. ","")&amp;IF(AND(D26&lt;&gt;"",B26&lt;&gt;"",C26=""),"Type the next free no. ","")&amp;IF(AND(F26&lt;&gt;"",COUNTIF(F$4:F$303,F26)&gt;1),"Duplicate Doc ID. ","")))</f>
        <v/>
      </c>
      <c r="S26" s="22" t="n"/>
      <c r="T26" s="23" t="n"/>
    </row>
    <row r="27">
      <c r="A27" s="35" t="n"/>
      <c r="B27" s="22" t="n"/>
      <c r="C27" s="22" t="n"/>
      <c r="D27" s="7">
        <f>IF(A27="","",IF(ISNUMBER(A27),TEXT(A27,"00"),TRIM(A27)))</f>
        <v/>
      </c>
      <c r="E27" s="7">
        <f t="array" ref="E27">IF(OR(D27="",B27=""),"",MAX(IF((D$4:D$303=D27)*(B$4:B$303=B27)*ISNUMBER(C$4:C$303),C$4:C$303,0))+1)</f>
        <v/>
      </c>
      <c r="F27" s="7">
        <f>IF(OR(D27="",B27="",NOT(ISNUMBER(C27))),"",D27&amp;"-"&amp;B27&amp;"-"&amp;TEXT(C27,"000"))</f>
        <v/>
      </c>
      <c r="G27" s="23" t="n"/>
      <c r="H27" s="22" t="n"/>
      <c r="I27" s="24" t="n"/>
      <c r="J27" s="22" t="n"/>
      <c r="K27" s="22" t="n"/>
      <c r="L27" s="22" t="n"/>
      <c r="M27" s="22" t="n"/>
      <c r="N27" s="22" t="n"/>
      <c r="O27" s="7">
        <f>IF(F27="","",F27&amp;"_"&amp;SUBSTITUTE(SUBSTITUTE(SUBSTITUTE(SUBSTITUTE(SUBSTITUTE(SUBSTITUTE(SUBSTITUTE(SUBSTITUTE(SUBSTITUTE(SUBSTITUTE(TRIM(G27)," ","-"),"/","-"),"\","-"),":","-"),"*","-"),"?","-"),"""","-"),"&lt;","-"),"&gt;","-"),"|","-")&amp;IF(H27="","","_Rev"&amp;H27))</f>
        <v/>
      </c>
      <c r="P27" s="7">
        <f>IF(D27="","",IF(L27="Superseded","99 Archive",IF(AND(D27="04",K27&lt;&gt;""),IFERROR(INDEX('Google Drive Map'!$B$4:$B$33,MATCH("04/"&amp;LEFT(K27,2),'Google Drive Map'!$A$4:$A$33,0)),"04 Trades &amp; Tenders/"&amp;K27),IFERROR(INDEX('Google Drive Map'!$B$4:$B$33,MATCH(D27,'Google Drive Map'!$A$4:$A$33,0)),""))))</f>
        <v/>
      </c>
      <c r="Q27" s="7">
        <f>IF(P27="","",IF(IFERROR(INDEX('Google Drive Map'!$G$4:$G$33,MATCH(P27,'Google Drive Map'!$B$4:$B$33,0))&amp;"","")="","",HYPERLINK(INDEX('Google Drive Map'!$G$4:$G$33,MATCH(P27,'Google Drive Map'!$B$4:$B$33,0)),"Open")))</f>
        <v/>
      </c>
      <c r="R27" s="7">
        <f>IF(AND(A27="",B27="",C27=""),"",TRIM(IF(AND(D27&lt;&gt;"",ISNA(MATCH(D27,'Google Drive Map'!$A$4:$A$33,0))),"Folder code isn't on the folder map. ","")&amp;IF(AND(C27&lt;&gt;"",NOT(ISNUMBER(C27))),"No. must be a whole number. ","")&amp;IF(AND(D27&lt;&gt;"",B27&lt;&gt;"",C27=""),"Type the next free no. ","")&amp;IF(AND(F27&lt;&gt;"",COUNTIF(F$4:F$303,F27)&gt;1),"Duplicate Doc ID. ","")))</f>
        <v/>
      </c>
      <c r="S27" s="22" t="n"/>
      <c r="T27" s="23" t="n"/>
    </row>
    <row r="28">
      <c r="A28" s="35" t="n"/>
      <c r="B28" s="22" t="n"/>
      <c r="C28" s="22" t="n"/>
      <c r="D28" s="7">
        <f>IF(A28="","",IF(ISNUMBER(A28),TEXT(A28,"00"),TRIM(A28)))</f>
        <v/>
      </c>
      <c r="E28" s="7">
        <f t="array" ref="E28">IF(OR(D28="",B28=""),"",MAX(IF((D$4:D$303=D28)*(B$4:B$303=B28)*ISNUMBER(C$4:C$303),C$4:C$303,0))+1)</f>
        <v/>
      </c>
      <c r="F28" s="7">
        <f>IF(OR(D28="",B28="",NOT(ISNUMBER(C28))),"",D28&amp;"-"&amp;B28&amp;"-"&amp;TEXT(C28,"000"))</f>
        <v/>
      </c>
      <c r="G28" s="23" t="n"/>
      <c r="H28" s="22" t="n"/>
      <c r="I28" s="24" t="n"/>
      <c r="J28" s="22" t="n"/>
      <c r="K28" s="22" t="n"/>
      <c r="L28" s="22" t="n"/>
      <c r="M28" s="22" t="n"/>
      <c r="N28" s="22" t="n"/>
      <c r="O28" s="7">
        <f>IF(F28="","",F28&amp;"_"&amp;SUBSTITUTE(SUBSTITUTE(SUBSTITUTE(SUBSTITUTE(SUBSTITUTE(SUBSTITUTE(SUBSTITUTE(SUBSTITUTE(SUBSTITUTE(SUBSTITUTE(TRIM(G28)," ","-"),"/","-"),"\","-"),":","-"),"*","-"),"?","-"),"""","-"),"&lt;","-"),"&gt;","-"),"|","-")&amp;IF(H28="","","_Rev"&amp;H28))</f>
        <v/>
      </c>
      <c r="P28" s="7">
        <f>IF(D28="","",IF(L28="Superseded","99 Archive",IF(AND(D28="04",K28&lt;&gt;""),IFERROR(INDEX('Google Drive Map'!$B$4:$B$33,MATCH("04/"&amp;LEFT(K28,2),'Google Drive Map'!$A$4:$A$33,0)),"04 Trades &amp; Tenders/"&amp;K28),IFERROR(INDEX('Google Drive Map'!$B$4:$B$33,MATCH(D28,'Google Drive Map'!$A$4:$A$33,0)),""))))</f>
        <v/>
      </c>
      <c r="Q28" s="7">
        <f>IF(P28="","",IF(IFERROR(INDEX('Google Drive Map'!$G$4:$G$33,MATCH(P28,'Google Drive Map'!$B$4:$B$33,0))&amp;"","")="","",HYPERLINK(INDEX('Google Drive Map'!$G$4:$G$33,MATCH(P28,'Google Drive Map'!$B$4:$B$33,0)),"Open")))</f>
        <v/>
      </c>
      <c r="R28" s="7">
        <f>IF(AND(A28="",B28="",C28=""),"",TRIM(IF(AND(D28&lt;&gt;"",ISNA(MATCH(D28,'Google Drive Map'!$A$4:$A$33,0))),"Folder code isn't on the folder map. ","")&amp;IF(AND(C28&lt;&gt;"",NOT(ISNUMBER(C28))),"No. must be a whole number. ","")&amp;IF(AND(D28&lt;&gt;"",B28&lt;&gt;"",C28=""),"Type the next free no. ","")&amp;IF(AND(F28&lt;&gt;"",COUNTIF(F$4:F$303,F28)&gt;1),"Duplicate Doc ID. ","")))</f>
        <v/>
      </c>
      <c r="S28" s="22" t="n"/>
      <c r="T28" s="23" t="n"/>
    </row>
    <row r="29">
      <c r="A29" s="35" t="n"/>
      <c r="B29" s="22" t="n"/>
      <c r="C29" s="22" t="n"/>
      <c r="D29" s="7">
        <f>IF(A29="","",IF(ISNUMBER(A29),TEXT(A29,"00"),TRIM(A29)))</f>
        <v/>
      </c>
      <c r="E29" s="7">
        <f t="array" ref="E29">IF(OR(D29="",B29=""),"",MAX(IF((D$4:D$303=D29)*(B$4:B$303=B29)*ISNUMBER(C$4:C$303),C$4:C$303,0))+1)</f>
        <v/>
      </c>
      <c r="F29" s="7">
        <f>IF(OR(D29="",B29="",NOT(ISNUMBER(C29))),"",D29&amp;"-"&amp;B29&amp;"-"&amp;TEXT(C29,"000"))</f>
        <v/>
      </c>
      <c r="G29" s="23" t="n"/>
      <c r="H29" s="22" t="n"/>
      <c r="I29" s="24" t="n"/>
      <c r="J29" s="22" t="n"/>
      <c r="K29" s="22" t="n"/>
      <c r="L29" s="22" t="n"/>
      <c r="M29" s="22" t="n"/>
      <c r="N29" s="22" t="n"/>
      <c r="O29" s="7">
        <f>IF(F29="","",F29&amp;"_"&amp;SUBSTITUTE(SUBSTITUTE(SUBSTITUTE(SUBSTITUTE(SUBSTITUTE(SUBSTITUTE(SUBSTITUTE(SUBSTITUTE(SUBSTITUTE(SUBSTITUTE(TRIM(G29)," ","-"),"/","-"),"\","-"),":","-"),"*","-"),"?","-"),"""","-"),"&lt;","-"),"&gt;","-"),"|","-")&amp;IF(H29="","","_Rev"&amp;H29))</f>
        <v/>
      </c>
      <c r="P29" s="7">
        <f>IF(D29="","",IF(L29="Superseded","99 Archive",IF(AND(D29="04",K29&lt;&gt;""),IFERROR(INDEX('Google Drive Map'!$B$4:$B$33,MATCH("04/"&amp;LEFT(K29,2),'Google Drive Map'!$A$4:$A$33,0)),"04 Trades &amp; Tenders/"&amp;K29),IFERROR(INDEX('Google Drive Map'!$B$4:$B$33,MATCH(D29,'Google Drive Map'!$A$4:$A$33,0)),""))))</f>
        <v/>
      </c>
      <c r="Q29" s="7">
        <f>IF(P29="","",IF(IFERROR(INDEX('Google Drive Map'!$G$4:$G$33,MATCH(P29,'Google Drive Map'!$B$4:$B$33,0))&amp;"","")="","",HYPERLINK(INDEX('Google Drive Map'!$G$4:$G$33,MATCH(P29,'Google Drive Map'!$B$4:$B$33,0)),"Open")))</f>
        <v/>
      </c>
      <c r="R29" s="7">
        <f>IF(AND(A29="",B29="",C29=""),"",TRIM(IF(AND(D29&lt;&gt;"",ISNA(MATCH(D29,'Google Drive Map'!$A$4:$A$33,0))),"Folder code isn't on the folder map. ","")&amp;IF(AND(C29&lt;&gt;"",NOT(ISNUMBER(C29))),"No. must be a whole number. ","")&amp;IF(AND(D29&lt;&gt;"",B29&lt;&gt;"",C29=""),"Type the next free no. ","")&amp;IF(AND(F29&lt;&gt;"",COUNTIF(F$4:F$303,F29)&gt;1),"Duplicate Doc ID. ","")))</f>
        <v/>
      </c>
      <c r="S29" s="22" t="n"/>
      <c r="T29" s="23" t="n"/>
    </row>
    <row r="30">
      <c r="A30" s="35" t="n"/>
      <c r="B30" s="22" t="n"/>
      <c r="C30" s="22" t="n"/>
      <c r="D30" s="7">
        <f>IF(A30="","",IF(ISNUMBER(A30),TEXT(A30,"00"),TRIM(A30)))</f>
        <v/>
      </c>
      <c r="E30" s="7">
        <f t="array" ref="E30">IF(OR(D30="",B30=""),"",MAX(IF((D$4:D$303=D30)*(B$4:B$303=B30)*ISNUMBER(C$4:C$303),C$4:C$303,0))+1)</f>
        <v/>
      </c>
      <c r="F30" s="7">
        <f>IF(OR(D30="",B30="",NOT(ISNUMBER(C30))),"",D30&amp;"-"&amp;B30&amp;"-"&amp;TEXT(C30,"000"))</f>
        <v/>
      </c>
      <c r="G30" s="23" t="n"/>
      <c r="H30" s="22" t="n"/>
      <c r="I30" s="24" t="n"/>
      <c r="J30" s="22" t="n"/>
      <c r="K30" s="22" t="n"/>
      <c r="L30" s="22" t="n"/>
      <c r="M30" s="22" t="n"/>
      <c r="N30" s="22" t="n"/>
      <c r="O30" s="7">
        <f>IF(F30="","",F30&amp;"_"&amp;SUBSTITUTE(SUBSTITUTE(SUBSTITUTE(SUBSTITUTE(SUBSTITUTE(SUBSTITUTE(SUBSTITUTE(SUBSTITUTE(SUBSTITUTE(SUBSTITUTE(TRIM(G30)," ","-"),"/","-"),"\","-"),":","-"),"*","-"),"?","-"),"""","-"),"&lt;","-"),"&gt;","-"),"|","-")&amp;IF(H30="","","_Rev"&amp;H30))</f>
        <v/>
      </c>
      <c r="P30" s="7">
        <f>IF(D30="","",IF(L30="Superseded","99 Archive",IF(AND(D30="04",K30&lt;&gt;""),IFERROR(INDEX('Google Drive Map'!$B$4:$B$33,MATCH("04/"&amp;LEFT(K30,2),'Google Drive Map'!$A$4:$A$33,0)),"04 Trades &amp; Tenders/"&amp;K30),IFERROR(INDEX('Google Drive Map'!$B$4:$B$33,MATCH(D30,'Google Drive Map'!$A$4:$A$33,0)),""))))</f>
        <v/>
      </c>
      <c r="Q30" s="7">
        <f>IF(P30="","",IF(IFERROR(INDEX('Google Drive Map'!$G$4:$G$33,MATCH(P30,'Google Drive Map'!$B$4:$B$33,0))&amp;"","")="","",HYPERLINK(INDEX('Google Drive Map'!$G$4:$G$33,MATCH(P30,'Google Drive Map'!$B$4:$B$33,0)),"Open")))</f>
        <v/>
      </c>
      <c r="R30" s="7">
        <f>IF(AND(A30="",B30="",C30=""),"",TRIM(IF(AND(D30&lt;&gt;"",ISNA(MATCH(D30,'Google Drive Map'!$A$4:$A$33,0))),"Folder code isn't on the folder map. ","")&amp;IF(AND(C30&lt;&gt;"",NOT(ISNUMBER(C30))),"No. must be a whole number. ","")&amp;IF(AND(D30&lt;&gt;"",B30&lt;&gt;"",C30=""),"Type the next free no. ","")&amp;IF(AND(F30&lt;&gt;"",COUNTIF(F$4:F$303,F30)&gt;1),"Duplicate Doc ID. ","")))</f>
        <v/>
      </c>
      <c r="S30" s="22" t="n"/>
      <c r="T30" s="23" t="n"/>
    </row>
    <row r="31">
      <c r="A31" s="35" t="n"/>
      <c r="B31" s="22" t="n"/>
      <c r="C31" s="22" t="n"/>
      <c r="D31" s="7">
        <f>IF(A31="","",IF(ISNUMBER(A31),TEXT(A31,"00"),TRIM(A31)))</f>
        <v/>
      </c>
      <c r="E31" s="7">
        <f t="array" ref="E31">IF(OR(D31="",B31=""),"",MAX(IF((D$4:D$303=D31)*(B$4:B$303=B31)*ISNUMBER(C$4:C$303),C$4:C$303,0))+1)</f>
        <v/>
      </c>
      <c r="F31" s="7">
        <f>IF(OR(D31="",B31="",NOT(ISNUMBER(C31))),"",D31&amp;"-"&amp;B31&amp;"-"&amp;TEXT(C31,"000"))</f>
        <v/>
      </c>
      <c r="G31" s="23" t="n"/>
      <c r="H31" s="22" t="n"/>
      <c r="I31" s="24" t="n"/>
      <c r="J31" s="22" t="n"/>
      <c r="K31" s="22" t="n"/>
      <c r="L31" s="22" t="n"/>
      <c r="M31" s="22" t="n"/>
      <c r="N31" s="22" t="n"/>
      <c r="O31" s="7">
        <f>IF(F31="","",F31&amp;"_"&amp;SUBSTITUTE(SUBSTITUTE(SUBSTITUTE(SUBSTITUTE(SUBSTITUTE(SUBSTITUTE(SUBSTITUTE(SUBSTITUTE(SUBSTITUTE(SUBSTITUTE(TRIM(G31)," ","-"),"/","-"),"\","-"),":","-"),"*","-"),"?","-"),"""","-"),"&lt;","-"),"&gt;","-"),"|","-")&amp;IF(H31="","","_Rev"&amp;H31))</f>
        <v/>
      </c>
      <c r="P31" s="7">
        <f>IF(D31="","",IF(L31="Superseded","99 Archive",IF(AND(D31="04",K31&lt;&gt;""),IFERROR(INDEX('Google Drive Map'!$B$4:$B$33,MATCH("04/"&amp;LEFT(K31,2),'Google Drive Map'!$A$4:$A$33,0)),"04 Trades &amp; Tenders/"&amp;K31),IFERROR(INDEX('Google Drive Map'!$B$4:$B$33,MATCH(D31,'Google Drive Map'!$A$4:$A$33,0)),""))))</f>
        <v/>
      </c>
      <c r="Q31" s="7">
        <f>IF(P31="","",IF(IFERROR(INDEX('Google Drive Map'!$G$4:$G$33,MATCH(P31,'Google Drive Map'!$B$4:$B$33,0))&amp;"","")="","",HYPERLINK(INDEX('Google Drive Map'!$G$4:$G$33,MATCH(P31,'Google Drive Map'!$B$4:$B$33,0)),"Open")))</f>
        <v/>
      </c>
      <c r="R31" s="7">
        <f>IF(AND(A31="",B31="",C31=""),"",TRIM(IF(AND(D31&lt;&gt;"",ISNA(MATCH(D31,'Google Drive Map'!$A$4:$A$33,0))),"Folder code isn't on the folder map. ","")&amp;IF(AND(C31&lt;&gt;"",NOT(ISNUMBER(C31))),"No. must be a whole number. ","")&amp;IF(AND(D31&lt;&gt;"",B31&lt;&gt;"",C31=""),"Type the next free no. ","")&amp;IF(AND(F31&lt;&gt;"",COUNTIF(F$4:F$303,F31)&gt;1),"Duplicate Doc ID. ","")))</f>
        <v/>
      </c>
      <c r="S31" s="22" t="n"/>
      <c r="T31" s="23" t="n"/>
    </row>
    <row r="32">
      <c r="A32" s="35" t="n"/>
      <c r="B32" s="22" t="n"/>
      <c r="C32" s="22" t="n"/>
      <c r="D32" s="7">
        <f>IF(A32="","",IF(ISNUMBER(A32),TEXT(A32,"00"),TRIM(A32)))</f>
        <v/>
      </c>
      <c r="E32" s="7">
        <f t="array" ref="E32">IF(OR(D32="",B32=""),"",MAX(IF((D$4:D$303=D32)*(B$4:B$303=B32)*ISNUMBER(C$4:C$303),C$4:C$303,0))+1)</f>
        <v/>
      </c>
      <c r="F32" s="7">
        <f>IF(OR(D32="",B32="",NOT(ISNUMBER(C32))),"",D32&amp;"-"&amp;B32&amp;"-"&amp;TEXT(C32,"000"))</f>
        <v/>
      </c>
      <c r="G32" s="23" t="n"/>
      <c r="H32" s="22" t="n"/>
      <c r="I32" s="24" t="n"/>
      <c r="J32" s="22" t="n"/>
      <c r="K32" s="22" t="n"/>
      <c r="L32" s="22" t="n"/>
      <c r="M32" s="22" t="n"/>
      <c r="N32" s="22" t="n"/>
      <c r="O32" s="7">
        <f>IF(F32="","",F32&amp;"_"&amp;SUBSTITUTE(SUBSTITUTE(SUBSTITUTE(SUBSTITUTE(SUBSTITUTE(SUBSTITUTE(SUBSTITUTE(SUBSTITUTE(SUBSTITUTE(SUBSTITUTE(TRIM(G32)," ","-"),"/","-"),"\","-"),":","-"),"*","-"),"?","-"),"""","-"),"&lt;","-"),"&gt;","-"),"|","-")&amp;IF(H32="","","_Rev"&amp;H32))</f>
        <v/>
      </c>
      <c r="P32" s="7">
        <f>IF(D32="","",IF(L32="Superseded","99 Archive",IF(AND(D32="04",K32&lt;&gt;""),IFERROR(INDEX('Google Drive Map'!$B$4:$B$33,MATCH("04/"&amp;LEFT(K32,2),'Google Drive Map'!$A$4:$A$33,0)),"04 Trades &amp; Tenders/"&amp;K32),IFERROR(INDEX('Google Drive Map'!$B$4:$B$33,MATCH(D32,'Google Drive Map'!$A$4:$A$33,0)),""))))</f>
        <v/>
      </c>
      <c r="Q32" s="7">
        <f>IF(P32="","",IF(IFERROR(INDEX('Google Drive Map'!$G$4:$G$33,MATCH(P32,'Google Drive Map'!$B$4:$B$33,0))&amp;"","")="","",HYPERLINK(INDEX('Google Drive Map'!$G$4:$G$33,MATCH(P32,'Google Drive Map'!$B$4:$B$33,0)),"Open")))</f>
        <v/>
      </c>
      <c r="R32" s="7">
        <f>IF(AND(A32="",B32="",C32=""),"",TRIM(IF(AND(D32&lt;&gt;"",ISNA(MATCH(D32,'Google Drive Map'!$A$4:$A$33,0))),"Folder code isn't on the folder map. ","")&amp;IF(AND(C32&lt;&gt;"",NOT(ISNUMBER(C32))),"No. must be a whole number. ","")&amp;IF(AND(D32&lt;&gt;"",B32&lt;&gt;"",C32=""),"Type the next free no. ","")&amp;IF(AND(F32&lt;&gt;"",COUNTIF(F$4:F$303,F32)&gt;1),"Duplicate Doc ID. ","")))</f>
        <v/>
      </c>
      <c r="S32" s="22" t="n"/>
      <c r="T32" s="23" t="n"/>
    </row>
    <row r="33">
      <c r="A33" s="35" t="n"/>
      <c r="B33" s="22" t="n"/>
      <c r="C33" s="22" t="n"/>
      <c r="D33" s="7">
        <f>IF(A33="","",IF(ISNUMBER(A33),TEXT(A33,"00"),TRIM(A33)))</f>
        <v/>
      </c>
      <c r="E33" s="7">
        <f t="array" ref="E33">IF(OR(D33="",B33=""),"",MAX(IF((D$4:D$303=D33)*(B$4:B$303=B33)*ISNUMBER(C$4:C$303),C$4:C$303,0))+1)</f>
        <v/>
      </c>
      <c r="F33" s="7">
        <f>IF(OR(D33="",B33="",NOT(ISNUMBER(C33))),"",D33&amp;"-"&amp;B33&amp;"-"&amp;TEXT(C33,"000"))</f>
        <v/>
      </c>
      <c r="G33" s="23" t="n"/>
      <c r="H33" s="22" t="n"/>
      <c r="I33" s="24" t="n"/>
      <c r="J33" s="22" t="n"/>
      <c r="K33" s="22" t="n"/>
      <c r="L33" s="22" t="n"/>
      <c r="M33" s="22" t="n"/>
      <c r="N33" s="22" t="n"/>
      <c r="O33" s="7">
        <f>IF(F33="","",F33&amp;"_"&amp;SUBSTITUTE(SUBSTITUTE(SUBSTITUTE(SUBSTITUTE(SUBSTITUTE(SUBSTITUTE(SUBSTITUTE(SUBSTITUTE(SUBSTITUTE(SUBSTITUTE(TRIM(G33)," ","-"),"/","-"),"\","-"),":","-"),"*","-"),"?","-"),"""","-"),"&lt;","-"),"&gt;","-"),"|","-")&amp;IF(H33="","","_Rev"&amp;H33))</f>
        <v/>
      </c>
      <c r="P33" s="7">
        <f>IF(D33="","",IF(L33="Superseded","99 Archive",IF(AND(D33="04",K33&lt;&gt;""),IFERROR(INDEX('Google Drive Map'!$B$4:$B$33,MATCH("04/"&amp;LEFT(K33,2),'Google Drive Map'!$A$4:$A$33,0)),"04 Trades &amp; Tenders/"&amp;K33),IFERROR(INDEX('Google Drive Map'!$B$4:$B$33,MATCH(D33,'Google Drive Map'!$A$4:$A$33,0)),""))))</f>
        <v/>
      </c>
      <c r="Q33" s="7">
        <f>IF(P33="","",IF(IFERROR(INDEX('Google Drive Map'!$G$4:$G$33,MATCH(P33,'Google Drive Map'!$B$4:$B$33,0))&amp;"","")="","",HYPERLINK(INDEX('Google Drive Map'!$G$4:$G$33,MATCH(P33,'Google Drive Map'!$B$4:$B$33,0)),"Open")))</f>
        <v/>
      </c>
      <c r="R33" s="7">
        <f>IF(AND(A33="",B33="",C33=""),"",TRIM(IF(AND(D33&lt;&gt;"",ISNA(MATCH(D33,'Google Drive Map'!$A$4:$A$33,0))),"Folder code isn't on the folder map. ","")&amp;IF(AND(C33&lt;&gt;"",NOT(ISNUMBER(C33))),"No. must be a whole number. ","")&amp;IF(AND(D33&lt;&gt;"",B33&lt;&gt;"",C33=""),"Type the next free no. ","")&amp;IF(AND(F33&lt;&gt;"",COUNTIF(F$4:F$303,F33)&gt;1),"Duplicate Doc ID. ","")))</f>
        <v/>
      </c>
      <c r="S33" s="22" t="n"/>
      <c r="T33" s="23" t="n"/>
    </row>
    <row r="34">
      <c r="A34" s="35" t="n"/>
      <c r="B34" s="22" t="n"/>
      <c r="C34" s="22" t="n"/>
      <c r="D34" s="7">
        <f>IF(A34="","",IF(ISNUMBER(A34),TEXT(A34,"00"),TRIM(A34)))</f>
        <v/>
      </c>
      <c r="E34" s="7">
        <f t="array" ref="E34">IF(OR(D34="",B34=""),"",MAX(IF((D$4:D$303=D34)*(B$4:B$303=B34)*ISNUMBER(C$4:C$303),C$4:C$303,0))+1)</f>
        <v/>
      </c>
      <c r="F34" s="7">
        <f>IF(OR(D34="",B34="",NOT(ISNUMBER(C34))),"",D34&amp;"-"&amp;B34&amp;"-"&amp;TEXT(C34,"000"))</f>
        <v/>
      </c>
      <c r="G34" s="23" t="n"/>
      <c r="H34" s="22" t="n"/>
      <c r="I34" s="24" t="n"/>
      <c r="J34" s="22" t="n"/>
      <c r="K34" s="22" t="n"/>
      <c r="L34" s="22" t="n"/>
      <c r="M34" s="22" t="n"/>
      <c r="N34" s="22" t="n"/>
      <c r="O34" s="7">
        <f>IF(F34="","",F34&amp;"_"&amp;SUBSTITUTE(SUBSTITUTE(SUBSTITUTE(SUBSTITUTE(SUBSTITUTE(SUBSTITUTE(SUBSTITUTE(SUBSTITUTE(SUBSTITUTE(SUBSTITUTE(TRIM(G34)," ","-"),"/","-"),"\","-"),":","-"),"*","-"),"?","-"),"""","-"),"&lt;","-"),"&gt;","-"),"|","-")&amp;IF(H34="","","_Rev"&amp;H34))</f>
        <v/>
      </c>
      <c r="P34" s="7">
        <f>IF(D34="","",IF(L34="Superseded","99 Archive",IF(AND(D34="04",K34&lt;&gt;""),IFERROR(INDEX('Google Drive Map'!$B$4:$B$33,MATCH("04/"&amp;LEFT(K34,2),'Google Drive Map'!$A$4:$A$33,0)),"04 Trades &amp; Tenders/"&amp;K34),IFERROR(INDEX('Google Drive Map'!$B$4:$B$33,MATCH(D34,'Google Drive Map'!$A$4:$A$33,0)),""))))</f>
        <v/>
      </c>
      <c r="Q34" s="7">
        <f>IF(P34="","",IF(IFERROR(INDEX('Google Drive Map'!$G$4:$G$33,MATCH(P34,'Google Drive Map'!$B$4:$B$33,0))&amp;"","")="","",HYPERLINK(INDEX('Google Drive Map'!$G$4:$G$33,MATCH(P34,'Google Drive Map'!$B$4:$B$33,0)),"Open")))</f>
        <v/>
      </c>
      <c r="R34" s="7">
        <f>IF(AND(A34="",B34="",C34=""),"",TRIM(IF(AND(D34&lt;&gt;"",ISNA(MATCH(D34,'Google Drive Map'!$A$4:$A$33,0))),"Folder code isn't on the folder map. ","")&amp;IF(AND(C34&lt;&gt;"",NOT(ISNUMBER(C34))),"No. must be a whole number. ","")&amp;IF(AND(D34&lt;&gt;"",B34&lt;&gt;"",C34=""),"Type the next free no. ","")&amp;IF(AND(F34&lt;&gt;"",COUNTIF(F$4:F$303,F34)&gt;1),"Duplicate Doc ID. ","")))</f>
        <v/>
      </c>
      <c r="S34" s="22" t="n"/>
      <c r="T34" s="23" t="n"/>
    </row>
    <row r="35">
      <c r="A35" s="35" t="n"/>
      <c r="B35" s="22" t="n"/>
      <c r="C35" s="22" t="n"/>
      <c r="D35" s="7">
        <f>IF(A35="","",IF(ISNUMBER(A35),TEXT(A35,"00"),TRIM(A35)))</f>
        <v/>
      </c>
      <c r="E35" s="7">
        <f t="array" ref="E35">IF(OR(D35="",B35=""),"",MAX(IF((D$4:D$303=D35)*(B$4:B$303=B35)*ISNUMBER(C$4:C$303),C$4:C$303,0))+1)</f>
        <v/>
      </c>
      <c r="F35" s="7">
        <f>IF(OR(D35="",B35="",NOT(ISNUMBER(C35))),"",D35&amp;"-"&amp;B35&amp;"-"&amp;TEXT(C35,"000"))</f>
        <v/>
      </c>
      <c r="G35" s="23" t="n"/>
      <c r="H35" s="22" t="n"/>
      <c r="I35" s="24" t="n"/>
      <c r="J35" s="22" t="n"/>
      <c r="K35" s="22" t="n"/>
      <c r="L35" s="22" t="n"/>
      <c r="M35" s="22" t="n"/>
      <c r="N35" s="22" t="n"/>
      <c r="O35" s="7">
        <f>IF(F35="","",F35&amp;"_"&amp;SUBSTITUTE(SUBSTITUTE(SUBSTITUTE(SUBSTITUTE(SUBSTITUTE(SUBSTITUTE(SUBSTITUTE(SUBSTITUTE(SUBSTITUTE(SUBSTITUTE(TRIM(G35)," ","-"),"/","-"),"\","-"),":","-"),"*","-"),"?","-"),"""","-"),"&lt;","-"),"&gt;","-"),"|","-")&amp;IF(H35="","","_Rev"&amp;H35))</f>
        <v/>
      </c>
      <c r="P35" s="7">
        <f>IF(D35="","",IF(L35="Superseded","99 Archive",IF(AND(D35="04",K35&lt;&gt;""),IFERROR(INDEX('Google Drive Map'!$B$4:$B$33,MATCH("04/"&amp;LEFT(K35,2),'Google Drive Map'!$A$4:$A$33,0)),"04 Trades &amp; Tenders/"&amp;K35),IFERROR(INDEX('Google Drive Map'!$B$4:$B$33,MATCH(D35,'Google Drive Map'!$A$4:$A$33,0)),""))))</f>
        <v/>
      </c>
      <c r="Q35" s="7">
        <f>IF(P35="","",IF(IFERROR(INDEX('Google Drive Map'!$G$4:$G$33,MATCH(P35,'Google Drive Map'!$B$4:$B$33,0))&amp;"","")="","",HYPERLINK(INDEX('Google Drive Map'!$G$4:$G$33,MATCH(P35,'Google Drive Map'!$B$4:$B$33,0)),"Open")))</f>
        <v/>
      </c>
      <c r="R35" s="7">
        <f>IF(AND(A35="",B35="",C35=""),"",TRIM(IF(AND(D35&lt;&gt;"",ISNA(MATCH(D35,'Google Drive Map'!$A$4:$A$33,0))),"Folder code isn't on the folder map. ","")&amp;IF(AND(C35&lt;&gt;"",NOT(ISNUMBER(C35))),"No. must be a whole number. ","")&amp;IF(AND(D35&lt;&gt;"",B35&lt;&gt;"",C35=""),"Type the next free no. ","")&amp;IF(AND(F35&lt;&gt;"",COUNTIF(F$4:F$303,F35)&gt;1),"Duplicate Doc ID. ","")))</f>
        <v/>
      </c>
      <c r="S35" s="22" t="n"/>
      <c r="T35" s="23" t="n"/>
    </row>
    <row r="36">
      <c r="A36" s="35" t="n"/>
      <c r="B36" s="22" t="n"/>
      <c r="C36" s="22" t="n"/>
      <c r="D36" s="7">
        <f>IF(A36="","",IF(ISNUMBER(A36),TEXT(A36,"00"),TRIM(A36)))</f>
        <v/>
      </c>
      <c r="E36" s="7">
        <f t="array" ref="E36">IF(OR(D36="",B36=""),"",MAX(IF((D$4:D$303=D36)*(B$4:B$303=B36)*ISNUMBER(C$4:C$303),C$4:C$303,0))+1)</f>
        <v/>
      </c>
      <c r="F36" s="7">
        <f>IF(OR(D36="",B36="",NOT(ISNUMBER(C36))),"",D36&amp;"-"&amp;B36&amp;"-"&amp;TEXT(C36,"000"))</f>
        <v/>
      </c>
      <c r="G36" s="23" t="n"/>
      <c r="H36" s="22" t="n"/>
      <c r="I36" s="24" t="n"/>
      <c r="J36" s="22" t="n"/>
      <c r="K36" s="22" t="n"/>
      <c r="L36" s="22" t="n"/>
      <c r="M36" s="22" t="n"/>
      <c r="N36" s="22" t="n"/>
      <c r="O36" s="7">
        <f>IF(F36="","",F36&amp;"_"&amp;SUBSTITUTE(SUBSTITUTE(SUBSTITUTE(SUBSTITUTE(SUBSTITUTE(SUBSTITUTE(SUBSTITUTE(SUBSTITUTE(SUBSTITUTE(SUBSTITUTE(TRIM(G36)," ","-"),"/","-"),"\","-"),":","-"),"*","-"),"?","-"),"""","-"),"&lt;","-"),"&gt;","-"),"|","-")&amp;IF(H36="","","_Rev"&amp;H36))</f>
        <v/>
      </c>
      <c r="P36" s="7">
        <f>IF(D36="","",IF(L36="Superseded","99 Archive",IF(AND(D36="04",K36&lt;&gt;""),IFERROR(INDEX('Google Drive Map'!$B$4:$B$33,MATCH("04/"&amp;LEFT(K36,2),'Google Drive Map'!$A$4:$A$33,0)),"04 Trades &amp; Tenders/"&amp;K36),IFERROR(INDEX('Google Drive Map'!$B$4:$B$33,MATCH(D36,'Google Drive Map'!$A$4:$A$33,0)),""))))</f>
        <v/>
      </c>
      <c r="Q36" s="7">
        <f>IF(P36="","",IF(IFERROR(INDEX('Google Drive Map'!$G$4:$G$33,MATCH(P36,'Google Drive Map'!$B$4:$B$33,0))&amp;"","")="","",HYPERLINK(INDEX('Google Drive Map'!$G$4:$G$33,MATCH(P36,'Google Drive Map'!$B$4:$B$33,0)),"Open")))</f>
        <v/>
      </c>
      <c r="R36" s="7">
        <f>IF(AND(A36="",B36="",C36=""),"",TRIM(IF(AND(D36&lt;&gt;"",ISNA(MATCH(D36,'Google Drive Map'!$A$4:$A$33,0))),"Folder code isn't on the folder map. ","")&amp;IF(AND(C36&lt;&gt;"",NOT(ISNUMBER(C36))),"No. must be a whole number. ","")&amp;IF(AND(D36&lt;&gt;"",B36&lt;&gt;"",C36=""),"Type the next free no. ","")&amp;IF(AND(F36&lt;&gt;"",COUNTIF(F$4:F$303,F36)&gt;1),"Duplicate Doc ID. ","")))</f>
        <v/>
      </c>
      <c r="S36" s="22" t="n"/>
      <c r="T36" s="23" t="n"/>
    </row>
    <row r="37">
      <c r="A37" s="35" t="n"/>
      <c r="B37" s="22" t="n"/>
      <c r="C37" s="22" t="n"/>
      <c r="D37" s="7">
        <f>IF(A37="","",IF(ISNUMBER(A37),TEXT(A37,"00"),TRIM(A37)))</f>
        <v/>
      </c>
      <c r="E37" s="7">
        <f t="array" ref="E37">IF(OR(D37="",B37=""),"",MAX(IF((D$4:D$303=D37)*(B$4:B$303=B37)*ISNUMBER(C$4:C$303),C$4:C$303,0))+1)</f>
        <v/>
      </c>
      <c r="F37" s="7">
        <f>IF(OR(D37="",B37="",NOT(ISNUMBER(C37))),"",D37&amp;"-"&amp;B37&amp;"-"&amp;TEXT(C37,"000"))</f>
        <v/>
      </c>
      <c r="G37" s="23" t="n"/>
      <c r="H37" s="22" t="n"/>
      <c r="I37" s="24" t="n"/>
      <c r="J37" s="22" t="n"/>
      <c r="K37" s="22" t="n"/>
      <c r="L37" s="22" t="n"/>
      <c r="M37" s="22" t="n"/>
      <c r="N37" s="22" t="n"/>
      <c r="O37" s="7">
        <f>IF(F37="","",F37&amp;"_"&amp;SUBSTITUTE(SUBSTITUTE(SUBSTITUTE(SUBSTITUTE(SUBSTITUTE(SUBSTITUTE(SUBSTITUTE(SUBSTITUTE(SUBSTITUTE(SUBSTITUTE(TRIM(G37)," ","-"),"/","-"),"\","-"),":","-"),"*","-"),"?","-"),"""","-"),"&lt;","-"),"&gt;","-"),"|","-")&amp;IF(H37="","","_Rev"&amp;H37))</f>
        <v/>
      </c>
      <c r="P37" s="7">
        <f>IF(D37="","",IF(L37="Superseded","99 Archive",IF(AND(D37="04",K37&lt;&gt;""),IFERROR(INDEX('Google Drive Map'!$B$4:$B$33,MATCH("04/"&amp;LEFT(K37,2),'Google Drive Map'!$A$4:$A$33,0)),"04 Trades &amp; Tenders/"&amp;K37),IFERROR(INDEX('Google Drive Map'!$B$4:$B$33,MATCH(D37,'Google Drive Map'!$A$4:$A$33,0)),""))))</f>
        <v/>
      </c>
      <c r="Q37" s="7">
        <f>IF(P37="","",IF(IFERROR(INDEX('Google Drive Map'!$G$4:$G$33,MATCH(P37,'Google Drive Map'!$B$4:$B$33,0))&amp;"","")="","",HYPERLINK(INDEX('Google Drive Map'!$G$4:$G$33,MATCH(P37,'Google Drive Map'!$B$4:$B$33,0)),"Open")))</f>
        <v/>
      </c>
      <c r="R37" s="7">
        <f>IF(AND(A37="",B37="",C37=""),"",TRIM(IF(AND(D37&lt;&gt;"",ISNA(MATCH(D37,'Google Drive Map'!$A$4:$A$33,0))),"Folder code isn't on the folder map. ","")&amp;IF(AND(C37&lt;&gt;"",NOT(ISNUMBER(C37))),"No. must be a whole number. ","")&amp;IF(AND(D37&lt;&gt;"",B37&lt;&gt;"",C37=""),"Type the next free no. ","")&amp;IF(AND(F37&lt;&gt;"",COUNTIF(F$4:F$303,F37)&gt;1),"Duplicate Doc ID. ","")))</f>
        <v/>
      </c>
      <c r="S37" s="22" t="n"/>
      <c r="T37" s="23" t="n"/>
    </row>
    <row r="38">
      <c r="A38" s="35" t="n"/>
      <c r="B38" s="22" t="n"/>
      <c r="C38" s="22" t="n"/>
      <c r="D38" s="7">
        <f>IF(A38="","",IF(ISNUMBER(A38),TEXT(A38,"00"),TRIM(A38)))</f>
        <v/>
      </c>
      <c r="E38" s="7">
        <f t="array" ref="E38">IF(OR(D38="",B38=""),"",MAX(IF((D$4:D$303=D38)*(B$4:B$303=B38)*ISNUMBER(C$4:C$303),C$4:C$303,0))+1)</f>
        <v/>
      </c>
      <c r="F38" s="7">
        <f>IF(OR(D38="",B38="",NOT(ISNUMBER(C38))),"",D38&amp;"-"&amp;B38&amp;"-"&amp;TEXT(C38,"000"))</f>
        <v/>
      </c>
      <c r="G38" s="23" t="n"/>
      <c r="H38" s="22" t="n"/>
      <c r="I38" s="24" t="n"/>
      <c r="J38" s="22" t="n"/>
      <c r="K38" s="22" t="n"/>
      <c r="L38" s="22" t="n"/>
      <c r="M38" s="22" t="n"/>
      <c r="N38" s="22" t="n"/>
      <c r="O38" s="7">
        <f>IF(F38="","",F38&amp;"_"&amp;SUBSTITUTE(SUBSTITUTE(SUBSTITUTE(SUBSTITUTE(SUBSTITUTE(SUBSTITUTE(SUBSTITUTE(SUBSTITUTE(SUBSTITUTE(SUBSTITUTE(TRIM(G38)," ","-"),"/","-"),"\","-"),":","-"),"*","-"),"?","-"),"""","-"),"&lt;","-"),"&gt;","-"),"|","-")&amp;IF(H38="","","_Rev"&amp;H38))</f>
        <v/>
      </c>
      <c r="P38" s="7">
        <f>IF(D38="","",IF(L38="Superseded","99 Archive",IF(AND(D38="04",K38&lt;&gt;""),IFERROR(INDEX('Google Drive Map'!$B$4:$B$33,MATCH("04/"&amp;LEFT(K38,2),'Google Drive Map'!$A$4:$A$33,0)),"04 Trades &amp; Tenders/"&amp;K38),IFERROR(INDEX('Google Drive Map'!$B$4:$B$33,MATCH(D38,'Google Drive Map'!$A$4:$A$33,0)),""))))</f>
        <v/>
      </c>
      <c r="Q38" s="7">
        <f>IF(P38="","",IF(IFERROR(INDEX('Google Drive Map'!$G$4:$G$33,MATCH(P38,'Google Drive Map'!$B$4:$B$33,0))&amp;"","")="","",HYPERLINK(INDEX('Google Drive Map'!$G$4:$G$33,MATCH(P38,'Google Drive Map'!$B$4:$B$33,0)),"Open")))</f>
        <v/>
      </c>
      <c r="R38" s="7">
        <f>IF(AND(A38="",B38="",C38=""),"",TRIM(IF(AND(D38&lt;&gt;"",ISNA(MATCH(D38,'Google Drive Map'!$A$4:$A$33,0))),"Folder code isn't on the folder map. ","")&amp;IF(AND(C38&lt;&gt;"",NOT(ISNUMBER(C38))),"No. must be a whole number. ","")&amp;IF(AND(D38&lt;&gt;"",B38&lt;&gt;"",C38=""),"Type the next free no. ","")&amp;IF(AND(F38&lt;&gt;"",COUNTIF(F$4:F$303,F38)&gt;1),"Duplicate Doc ID. ","")))</f>
        <v/>
      </c>
      <c r="S38" s="22" t="n"/>
      <c r="T38" s="23" t="n"/>
    </row>
    <row r="39">
      <c r="A39" s="35" t="n"/>
      <c r="B39" s="22" t="n"/>
      <c r="C39" s="22" t="n"/>
      <c r="D39" s="7">
        <f>IF(A39="","",IF(ISNUMBER(A39),TEXT(A39,"00"),TRIM(A39)))</f>
        <v/>
      </c>
      <c r="E39" s="7">
        <f t="array" ref="E39">IF(OR(D39="",B39=""),"",MAX(IF((D$4:D$303=D39)*(B$4:B$303=B39)*ISNUMBER(C$4:C$303),C$4:C$303,0))+1)</f>
        <v/>
      </c>
      <c r="F39" s="7">
        <f>IF(OR(D39="",B39="",NOT(ISNUMBER(C39))),"",D39&amp;"-"&amp;B39&amp;"-"&amp;TEXT(C39,"000"))</f>
        <v/>
      </c>
      <c r="G39" s="23" t="n"/>
      <c r="H39" s="22" t="n"/>
      <c r="I39" s="24" t="n"/>
      <c r="J39" s="22" t="n"/>
      <c r="K39" s="22" t="n"/>
      <c r="L39" s="22" t="n"/>
      <c r="M39" s="22" t="n"/>
      <c r="N39" s="22" t="n"/>
      <c r="O39" s="7">
        <f>IF(F39="","",F39&amp;"_"&amp;SUBSTITUTE(SUBSTITUTE(SUBSTITUTE(SUBSTITUTE(SUBSTITUTE(SUBSTITUTE(SUBSTITUTE(SUBSTITUTE(SUBSTITUTE(SUBSTITUTE(TRIM(G39)," ","-"),"/","-"),"\","-"),":","-"),"*","-"),"?","-"),"""","-"),"&lt;","-"),"&gt;","-"),"|","-")&amp;IF(H39="","","_Rev"&amp;H39))</f>
        <v/>
      </c>
      <c r="P39" s="7">
        <f>IF(D39="","",IF(L39="Superseded","99 Archive",IF(AND(D39="04",K39&lt;&gt;""),IFERROR(INDEX('Google Drive Map'!$B$4:$B$33,MATCH("04/"&amp;LEFT(K39,2),'Google Drive Map'!$A$4:$A$33,0)),"04 Trades &amp; Tenders/"&amp;K39),IFERROR(INDEX('Google Drive Map'!$B$4:$B$33,MATCH(D39,'Google Drive Map'!$A$4:$A$33,0)),""))))</f>
        <v/>
      </c>
      <c r="Q39" s="7">
        <f>IF(P39="","",IF(IFERROR(INDEX('Google Drive Map'!$G$4:$G$33,MATCH(P39,'Google Drive Map'!$B$4:$B$33,0))&amp;"","")="","",HYPERLINK(INDEX('Google Drive Map'!$G$4:$G$33,MATCH(P39,'Google Drive Map'!$B$4:$B$33,0)),"Open")))</f>
        <v/>
      </c>
      <c r="R39" s="7">
        <f>IF(AND(A39="",B39="",C39=""),"",TRIM(IF(AND(D39&lt;&gt;"",ISNA(MATCH(D39,'Google Drive Map'!$A$4:$A$33,0))),"Folder code isn't on the folder map. ","")&amp;IF(AND(C39&lt;&gt;"",NOT(ISNUMBER(C39))),"No. must be a whole number. ","")&amp;IF(AND(D39&lt;&gt;"",B39&lt;&gt;"",C39=""),"Type the next free no. ","")&amp;IF(AND(F39&lt;&gt;"",COUNTIF(F$4:F$303,F39)&gt;1),"Duplicate Doc ID. ","")))</f>
        <v/>
      </c>
      <c r="S39" s="22" t="n"/>
      <c r="T39" s="23" t="n"/>
    </row>
    <row r="40">
      <c r="A40" s="35" t="n"/>
      <c r="B40" s="22" t="n"/>
      <c r="C40" s="22" t="n"/>
      <c r="D40" s="7">
        <f>IF(A40="","",IF(ISNUMBER(A40),TEXT(A40,"00"),TRIM(A40)))</f>
        <v/>
      </c>
      <c r="E40" s="7">
        <f t="array" ref="E40">IF(OR(D40="",B40=""),"",MAX(IF((D$4:D$303=D40)*(B$4:B$303=B40)*ISNUMBER(C$4:C$303),C$4:C$303,0))+1)</f>
        <v/>
      </c>
      <c r="F40" s="7">
        <f>IF(OR(D40="",B40="",NOT(ISNUMBER(C40))),"",D40&amp;"-"&amp;B40&amp;"-"&amp;TEXT(C40,"000"))</f>
        <v/>
      </c>
      <c r="G40" s="23" t="n"/>
      <c r="H40" s="22" t="n"/>
      <c r="I40" s="24" t="n"/>
      <c r="J40" s="22" t="n"/>
      <c r="K40" s="22" t="n"/>
      <c r="L40" s="22" t="n"/>
      <c r="M40" s="22" t="n"/>
      <c r="N40" s="22" t="n"/>
      <c r="O40" s="7">
        <f>IF(F40="","",F40&amp;"_"&amp;SUBSTITUTE(SUBSTITUTE(SUBSTITUTE(SUBSTITUTE(SUBSTITUTE(SUBSTITUTE(SUBSTITUTE(SUBSTITUTE(SUBSTITUTE(SUBSTITUTE(TRIM(G40)," ","-"),"/","-"),"\","-"),":","-"),"*","-"),"?","-"),"""","-"),"&lt;","-"),"&gt;","-"),"|","-")&amp;IF(H40="","","_Rev"&amp;H40))</f>
        <v/>
      </c>
      <c r="P40" s="7">
        <f>IF(D40="","",IF(L40="Superseded","99 Archive",IF(AND(D40="04",K40&lt;&gt;""),IFERROR(INDEX('Google Drive Map'!$B$4:$B$33,MATCH("04/"&amp;LEFT(K40,2),'Google Drive Map'!$A$4:$A$33,0)),"04 Trades &amp; Tenders/"&amp;K40),IFERROR(INDEX('Google Drive Map'!$B$4:$B$33,MATCH(D40,'Google Drive Map'!$A$4:$A$33,0)),""))))</f>
        <v/>
      </c>
      <c r="Q40" s="7">
        <f>IF(P40="","",IF(IFERROR(INDEX('Google Drive Map'!$G$4:$G$33,MATCH(P40,'Google Drive Map'!$B$4:$B$33,0))&amp;"","")="","",HYPERLINK(INDEX('Google Drive Map'!$G$4:$G$33,MATCH(P40,'Google Drive Map'!$B$4:$B$33,0)),"Open")))</f>
        <v/>
      </c>
      <c r="R40" s="7">
        <f>IF(AND(A40="",B40="",C40=""),"",TRIM(IF(AND(D40&lt;&gt;"",ISNA(MATCH(D40,'Google Drive Map'!$A$4:$A$33,0))),"Folder code isn't on the folder map. ","")&amp;IF(AND(C40&lt;&gt;"",NOT(ISNUMBER(C40))),"No. must be a whole number. ","")&amp;IF(AND(D40&lt;&gt;"",B40&lt;&gt;"",C40=""),"Type the next free no. ","")&amp;IF(AND(F40&lt;&gt;"",COUNTIF(F$4:F$303,F40)&gt;1),"Duplicate Doc ID. ","")))</f>
        <v/>
      </c>
      <c r="S40" s="22" t="n"/>
      <c r="T40" s="23" t="n"/>
    </row>
    <row r="41">
      <c r="A41" s="35" t="n"/>
      <c r="B41" s="22" t="n"/>
      <c r="C41" s="22" t="n"/>
      <c r="D41" s="7">
        <f>IF(A41="","",IF(ISNUMBER(A41),TEXT(A41,"00"),TRIM(A41)))</f>
        <v/>
      </c>
      <c r="E41" s="7">
        <f t="array" ref="E41">IF(OR(D41="",B41=""),"",MAX(IF((D$4:D$303=D41)*(B$4:B$303=B41)*ISNUMBER(C$4:C$303),C$4:C$303,0))+1)</f>
        <v/>
      </c>
      <c r="F41" s="7">
        <f>IF(OR(D41="",B41="",NOT(ISNUMBER(C41))),"",D41&amp;"-"&amp;B41&amp;"-"&amp;TEXT(C41,"000"))</f>
        <v/>
      </c>
      <c r="G41" s="23" t="n"/>
      <c r="H41" s="22" t="n"/>
      <c r="I41" s="24" t="n"/>
      <c r="J41" s="22" t="n"/>
      <c r="K41" s="22" t="n"/>
      <c r="L41" s="22" t="n"/>
      <c r="M41" s="22" t="n"/>
      <c r="N41" s="22" t="n"/>
      <c r="O41" s="7">
        <f>IF(F41="","",F41&amp;"_"&amp;SUBSTITUTE(SUBSTITUTE(SUBSTITUTE(SUBSTITUTE(SUBSTITUTE(SUBSTITUTE(SUBSTITUTE(SUBSTITUTE(SUBSTITUTE(SUBSTITUTE(TRIM(G41)," ","-"),"/","-"),"\","-"),":","-"),"*","-"),"?","-"),"""","-"),"&lt;","-"),"&gt;","-"),"|","-")&amp;IF(H41="","","_Rev"&amp;H41))</f>
        <v/>
      </c>
      <c r="P41" s="7">
        <f>IF(D41="","",IF(L41="Superseded","99 Archive",IF(AND(D41="04",K41&lt;&gt;""),IFERROR(INDEX('Google Drive Map'!$B$4:$B$33,MATCH("04/"&amp;LEFT(K41,2),'Google Drive Map'!$A$4:$A$33,0)),"04 Trades &amp; Tenders/"&amp;K41),IFERROR(INDEX('Google Drive Map'!$B$4:$B$33,MATCH(D41,'Google Drive Map'!$A$4:$A$33,0)),""))))</f>
        <v/>
      </c>
      <c r="Q41" s="7">
        <f>IF(P41="","",IF(IFERROR(INDEX('Google Drive Map'!$G$4:$G$33,MATCH(P41,'Google Drive Map'!$B$4:$B$33,0))&amp;"","")="","",HYPERLINK(INDEX('Google Drive Map'!$G$4:$G$33,MATCH(P41,'Google Drive Map'!$B$4:$B$33,0)),"Open")))</f>
        <v/>
      </c>
      <c r="R41" s="7">
        <f>IF(AND(A41="",B41="",C41=""),"",TRIM(IF(AND(D41&lt;&gt;"",ISNA(MATCH(D41,'Google Drive Map'!$A$4:$A$33,0))),"Folder code isn't on the folder map. ","")&amp;IF(AND(C41&lt;&gt;"",NOT(ISNUMBER(C41))),"No. must be a whole number. ","")&amp;IF(AND(D41&lt;&gt;"",B41&lt;&gt;"",C41=""),"Type the next free no. ","")&amp;IF(AND(F41&lt;&gt;"",COUNTIF(F$4:F$303,F41)&gt;1),"Duplicate Doc ID. ","")))</f>
        <v/>
      </c>
      <c r="S41" s="22" t="n"/>
      <c r="T41" s="23" t="n"/>
    </row>
    <row r="42">
      <c r="A42" s="35" t="n"/>
      <c r="B42" s="22" t="n"/>
      <c r="C42" s="22" t="n"/>
      <c r="D42" s="7">
        <f>IF(A42="","",IF(ISNUMBER(A42),TEXT(A42,"00"),TRIM(A42)))</f>
        <v/>
      </c>
      <c r="E42" s="7">
        <f t="array" ref="E42">IF(OR(D42="",B42=""),"",MAX(IF((D$4:D$303=D42)*(B$4:B$303=B42)*ISNUMBER(C$4:C$303),C$4:C$303,0))+1)</f>
        <v/>
      </c>
      <c r="F42" s="7">
        <f>IF(OR(D42="",B42="",NOT(ISNUMBER(C42))),"",D42&amp;"-"&amp;B42&amp;"-"&amp;TEXT(C42,"000"))</f>
        <v/>
      </c>
      <c r="G42" s="23" t="n"/>
      <c r="H42" s="22" t="n"/>
      <c r="I42" s="24" t="n"/>
      <c r="J42" s="22" t="n"/>
      <c r="K42" s="22" t="n"/>
      <c r="L42" s="22" t="n"/>
      <c r="M42" s="22" t="n"/>
      <c r="N42" s="22" t="n"/>
      <c r="O42" s="7">
        <f>IF(F42="","",F42&amp;"_"&amp;SUBSTITUTE(SUBSTITUTE(SUBSTITUTE(SUBSTITUTE(SUBSTITUTE(SUBSTITUTE(SUBSTITUTE(SUBSTITUTE(SUBSTITUTE(SUBSTITUTE(TRIM(G42)," ","-"),"/","-"),"\","-"),":","-"),"*","-"),"?","-"),"""","-"),"&lt;","-"),"&gt;","-"),"|","-")&amp;IF(H42="","","_Rev"&amp;H42))</f>
        <v/>
      </c>
      <c r="P42" s="7">
        <f>IF(D42="","",IF(L42="Superseded","99 Archive",IF(AND(D42="04",K42&lt;&gt;""),IFERROR(INDEX('Google Drive Map'!$B$4:$B$33,MATCH("04/"&amp;LEFT(K42,2),'Google Drive Map'!$A$4:$A$33,0)),"04 Trades &amp; Tenders/"&amp;K42),IFERROR(INDEX('Google Drive Map'!$B$4:$B$33,MATCH(D42,'Google Drive Map'!$A$4:$A$33,0)),""))))</f>
        <v/>
      </c>
      <c r="Q42" s="7">
        <f>IF(P42="","",IF(IFERROR(INDEX('Google Drive Map'!$G$4:$G$33,MATCH(P42,'Google Drive Map'!$B$4:$B$33,0))&amp;"","")="","",HYPERLINK(INDEX('Google Drive Map'!$G$4:$G$33,MATCH(P42,'Google Drive Map'!$B$4:$B$33,0)),"Open")))</f>
        <v/>
      </c>
      <c r="R42" s="7">
        <f>IF(AND(A42="",B42="",C42=""),"",TRIM(IF(AND(D42&lt;&gt;"",ISNA(MATCH(D42,'Google Drive Map'!$A$4:$A$33,0))),"Folder code isn't on the folder map. ","")&amp;IF(AND(C42&lt;&gt;"",NOT(ISNUMBER(C42))),"No. must be a whole number. ","")&amp;IF(AND(D42&lt;&gt;"",B42&lt;&gt;"",C42=""),"Type the next free no. ","")&amp;IF(AND(F42&lt;&gt;"",COUNTIF(F$4:F$303,F42)&gt;1),"Duplicate Doc ID. ","")))</f>
        <v/>
      </c>
      <c r="S42" s="22" t="n"/>
      <c r="T42" s="23" t="n"/>
    </row>
    <row r="43">
      <c r="A43" s="35" t="n"/>
      <c r="B43" s="22" t="n"/>
      <c r="C43" s="22" t="n"/>
      <c r="D43" s="7">
        <f>IF(A43="","",IF(ISNUMBER(A43),TEXT(A43,"00"),TRIM(A43)))</f>
        <v/>
      </c>
      <c r="E43" s="7">
        <f t="array" ref="E43">IF(OR(D43="",B43=""),"",MAX(IF((D$4:D$303=D43)*(B$4:B$303=B43)*ISNUMBER(C$4:C$303),C$4:C$303,0))+1)</f>
        <v/>
      </c>
      <c r="F43" s="7">
        <f>IF(OR(D43="",B43="",NOT(ISNUMBER(C43))),"",D43&amp;"-"&amp;B43&amp;"-"&amp;TEXT(C43,"000"))</f>
        <v/>
      </c>
      <c r="G43" s="23" t="n"/>
      <c r="H43" s="22" t="n"/>
      <c r="I43" s="24" t="n"/>
      <c r="J43" s="22" t="n"/>
      <c r="K43" s="22" t="n"/>
      <c r="L43" s="22" t="n"/>
      <c r="M43" s="22" t="n"/>
      <c r="N43" s="22" t="n"/>
      <c r="O43" s="7">
        <f>IF(F43="","",F43&amp;"_"&amp;SUBSTITUTE(SUBSTITUTE(SUBSTITUTE(SUBSTITUTE(SUBSTITUTE(SUBSTITUTE(SUBSTITUTE(SUBSTITUTE(SUBSTITUTE(SUBSTITUTE(TRIM(G43)," ","-"),"/","-"),"\","-"),":","-"),"*","-"),"?","-"),"""","-"),"&lt;","-"),"&gt;","-"),"|","-")&amp;IF(H43="","","_Rev"&amp;H43))</f>
        <v/>
      </c>
      <c r="P43" s="7">
        <f>IF(D43="","",IF(L43="Superseded","99 Archive",IF(AND(D43="04",K43&lt;&gt;""),IFERROR(INDEX('Google Drive Map'!$B$4:$B$33,MATCH("04/"&amp;LEFT(K43,2),'Google Drive Map'!$A$4:$A$33,0)),"04 Trades &amp; Tenders/"&amp;K43),IFERROR(INDEX('Google Drive Map'!$B$4:$B$33,MATCH(D43,'Google Drive Map'!$A$4:$A$33,0)),""))))</f>
        <v/>
      </c>
      <c r="Q43" s="7">
        <f>IF(P43="","",IF(IFERROR(INDEX('Google Drive Map'!$G$4:$G$33,MATCH(P43,'Google Drive Map'!$B$4:$B$33,0))&amp;"","")="","",HYPERLINK(INDEX('Google Drive Map'!$G$4:$G$33,MATCH(P43,'Google Drive Map'!$B$4:$B$33,0)),"Open")))</f>
        <v/>
      </c>
      <c r="R43" s="7">
        <f>IF(AND(A43="",B43="",C43=""),"",TRIM(IF(AND(D43&lt;&gt;"",ISNA(MATCH(D43,'Google Drive Map'!$A$4:$A$33,0))),"Folder code isn't on the folder map. ","")&amp;IF(AND(C43&lt;&gt;"",NOT(ISNUMBER(C43))),"No. must be a whole number. ","")&amp;IF(AND(D43&lt;&gt;"",B43&lt;&gt;"",C43=""),"Type the next free no. ","")&amp;IF(AND(F43&lt;&gt;"",COUNTIF(F$4:F$303,F43)&gt;1),"Duplicate Doc ID. ","")))</f>
        <v/>
      </c>
      <c r="S43" s="22" t="n"/>
      <c r="T43" s="23" t="n"/>
    </row>
    <row r="44">
      <c r="A44" s="35" t="n"/>
      <c r="B44" s="22" t="n"/>
      <c r="C44" s="22" t="n"/>
      <c r="D44" s="7">
        <f>IF(A44="","",IF(ISNUMBER(A44),TEXT(A44,"00"),TRIM(A44)))</f>
        <v/>
      </c>
      <c r="E44" s="7">
        <f t="array" ref="E44">IF(OR(D44="",B44=""),"",MAX(IF((D$4:D$303=D44)*(B$4:B$303=B44)*ISNUMBER(C$4:C$303),C$4:C$303,0))+1)</f>
        <v/>
      </c>
      <c r="F44" s="7">
        <f>IF(OR(D44="",B44="",NOT(ISNUMBER(C44))),"",D44&amp;"-"&amp;B44&amp;"-"&amp;TEXT(C44,"000"))</f>
        <v/>
      </c>
      <c r="G44" s="23" t="n"/>
      <c r="H44" s="22" t="n"/>
      <c r="I44" s="24" t="n"/>
      <c r="J44" s="22" t="n"/>
      <c r="K44" s="22" t="n"/>
      <c r="L44" s="22" t="n"/>
      <c r="M44" s="22" t="n"/>
      <c r="N44" s="22" t="n"/>
      <c r="O44" s="7">
        <f>IF(F44="","",F44&amp;"_"&amp;SUBSTITUTE(SUBSTITUTE(SUBSTITUTE(SUBSTITUTE(SUBSTITUTE(SUBSTITUTE(SUBSTITUTE(SUBSTITUTE(SUBSTITUTE(SUBSTITUTE(TRIM(G44)," ","-"),"/","-"),"\","-"),":","-"),"*","-"),"?","-"),"""","-"),"&lt;","-"),"&gt;","-"),"|","-")&amp;IF(H44="","","_Rev"&amp;H44))</f>
        <v/>
      </c>
      <c r="P44" s="7">
        <f>IF(D44="","",IF(L44="Superseded","99 Archive",IF(AND(D44="04",K44&lt;&gt;""),IFERROR(INDEX('Google Drive Map'!$B$4:$B$33,MATCH("04/"&amp;LEFT(K44,2),'Google Drive Map'!$A$4:$A$33,0)),"04 Trades &amp; Tenders/"&amp;K44),IFERROR(INDEX('Google Drive Map'!$B$4:$B$33,MATCH(D44,'Google Drive Map'!$A$4:$A$33,0)),""))))</f>
        <v/>
      </c>
      <c r="Q44" s="7">
        <f>IF(P44="","",IF(IFERROR(INDEX('Google Drive Map'!$G$4:$G$33,MATCH(P44,'Google Drive Map'!$B$4:$B$33,0))&amp;"","")="","",HYPERLINK(INDEX('Google Drive Map'!$G$4:$G$33,MATCH(P44,'Google Drive Map'!$B$4:$B$33,0)),"Open")))</f>
        <v/>
      </c>
      <c r="R44" s="7">
        <f>IF(AND(A44="",B44="",C44=""),"",TRIM(IF(AND(D44&lt;&gt;"",ISNA(MATCH(D44,'Google Drive Map'!$A$4:$A$33,0))),"Folder code isn't on the folder map. ","")&amp;IF(AND(C44&lt;&gt;"",NOT(ISNUMBER(C44))),"No. must be a whole number. ","")&amp;IF(AND(D44&lt;&gt;"",B44&lt;&gt;"",C44=""),"Type the next free no. ","")&amp;IF(AND(F44&lt;&gt;"",COUNTIF(F$4:F$303,F44)&gt;1),"Duplicate Doc ID. ","")))</f>
        <v/>
      </c>
      <c r="S44" s="22" t="n"/>
      <c r="T44" s="23" t="n"/>
    </row>
    <row r="45">
      <c r="A45" s="35" t="n"/>
      <c r="B45" s="22" t="n"/>
      <c r="C45" s="22" t="n"/>
      <c r="D45" s="7">
        <f>IF(A45="","",IF(ISNUMBER(A45),TEXT(A45,"00"),TRIM(A45)))</f>
        <v/>
      </c>
      <c r="E45" s="7">
        <f t="array" ref="E45">IF(OR(D45="",B45=""),"",MAX(IF((D$4:D$303=D45)*(B$4:B$303=B45)*ISNUMBER(C$4:C$303),C$4:C$303,0))+1)</f>
        <v/>
      </c>
      <c r="F45" s="7">
        <f>IF(OR(D45="",B45="",NOT(ISNUMBER(C45))),"",D45&amp;"-"&amp;B45&amp;"-"&amp;TEXT(C45,"000"))</f>
        <v/>
      </c>
      <c r="G45" s="23" t="n"/>
      <c r="H45" s="22" t="n"/>
      <c r="I45" s="24" t="n"/>
      <c r="J45" s="22" t="n"/>
      <c r="K45" s="22" t="n"/>
      <c r="L45" s="22" t="n"/>
      <c r="M45" s="22" t="n"/>
      <c r="N45" s="22" t="n"/>
      <c r="O45" s="7">
        <f>IF(F45="","",F45&amp;"_"&amp;SUBSTITUTE(SUBSTITUTE(SUBSTITUTE(SUBSTITUTE(SUBSTITUTE(SUBSTITUTE(SUBSTITUTE(SUBSTITUTE(SUBSTITUTE(SUBSTITUTE(TRIM(G45)," ","-"),"/","-"),"\","-"),":","-"),"*","-"),"?","-"),"""","-"),"&lt;","-"),"&gt;","-"),"|","-")&amp;IF(H45="","","_Rev"&amp;H45))</f>
        <v/>
      </c>
      <c r="P45" s="7">
        <f>IF(D45="","",IF(L45="Superseded","99 Archive",IF(AND(D45="04",K45&lt;&gt;""),IFERROR(INDEX('Google Drive Map'!$B$4:$B$33,MATCH("04/"&amp;LEFT(K45,2),'Google Drive Map'!$A$4:$A$33,0)),"04 Trades &amp; Tenders/"&amp;K45),IFERROR(INDEX('Google Drive Map'!$B$4:$B$33,MATCH(D45,'Google Drive Map'!$A$4:$A$33,0)),""))))</f>
        <v/>
      </c>
      <c r="Q45" s="7">
        <f>IF(P45="","",IF(IFERROR(INDEX('Google Drive Map'!$G$4:$G$33,MATCH(P45,'Google Drive Map'!$B$4:$B$33,0))&amp;"","")="","",HYPERLINK(INDEX('Google Drive Map'!$G$4:$G$33,MATCH(P45,'Google Drive Map'!$B$4:$B$33,0)),"Open")))</f>
        <v/>
      </c>
      <c r="R45" s="7">
        <f>IF(AND(A45="",B45="",C45=""),"",TRIM(IF(AND(D45&lt;&gt;"",ISNA(MATCH(D45,'Google Drive Map'!$A$4:$A$33,0))),"Folder code isn't on the folder map. ","")&amp;IF(AND(C45&lt;&gt;"",NOT(ISNUMBER(C45))),"No. must be a whole number. ","")&amp;IF(AND(D45&lt;&gt;"",B45&lt;&gt;"",C45=""),"Type the next free no. ","")&amp;IF(AND(F45&lt;&gt;"",COUNTIF(F$4:F$303,F45)&gt;1),"Duplicate Doc ID. ","")))</f>
        <v/>
      </c>
      <c r="S45" s="22" t="n"/>
      <c r="T45" s="23" t="n"/>
    </row>
    <row r="46">
      <c r="A46" s="35" t="n"/>
      <c r="B46" s="22" t="n"/>
      <c r="C46" s="22" t="n"/>
      <c r="D46" s="7">
        <f>IF(A46="","",IF(ISNUMBER(A46),TEXT(A46,"00"),TRIM(A46)))</f>
        <v/>
      </c>
      <c r="E46" s="7">
        <f t="array" ref="E46">IF(OR(D46="",B46=""),"",MAX(IF((D$4:D$303=D46)*(B$4:B$303=B46)*ISNUMBER(C$4:C$303),C$4:C$303,0))+1)</f>
        <v/>
      </c>
      <c r="F46" s="7">
        <f>IF(OR(D46="",B46="",NOT(ISNUMBER(C46))),"",D46&amp;"-"&amp;B46&amp;"-"&amp;TEXT(C46,"000"))</f>
        <v/>
      </c>
      <c r="G46" s="23" t="n"/>
      <c r="H46" s="22" t="n"/>
      <c r="I46" s="24" t="n"/>
      <c r="J46" s="22" t="n"/>
      <c r="K46" s="22" t="n"/>
      <c r="L46" s="22" t="n"/>
      <c r="M46" s="22" t="n"/>
      <c r="N46" s="22" t="n"/>
      <c r="O46" s="7">
        <f>IF(F46="","",F46&amp;"_"&amp;SUBSTITUTE(SUBSTITUTE(SUBSTITUTE(SUBSTITUTE(SUBSTITUTE(SUBSTITUTE(SUBSTITUTE(SUBSTITUTE(SUBSTITUTE(SUBSTITUTE(TRIM(G46)," ","-"),"/","-"),"\","-"),":","-"),"*","-"),"?","-"),"""","-"),"&lt;","-"),"&gt;","-"),"|","-")&amp;IF(H46="","","_Rev"&amp;H46))</f>
        <v/>
      </c>
      <c r="P46" s="7">
        <f>IF(D46="","",IF(L46="Superseded","99 Archive",IF(AND(D46="04",K46&lt;&gt;""),IFERROR(INDEX('Google Drive Map'!$B$4:$B$33,MATCH("04/"&amp;LEFT(K46,2),'Google Drive Map'!$A$4:$A$33,0)),"04 Trades &amp; Tenders/"&amp;K46),IFERROR(INDEX('Google Drive Map'!$B$4:$B$33,MATCH(D46,'Google Drive Map'!$A$4:$A$33,0)),""))))</f>
        <v/>
      </c>
      <c r="Q46" s="7">
        <f>IF(P46="","",IF(IFERROR(INDEX('Google Drive Map'!$G$4:$G$33,MATCH(P46,'Google Drive Map'!$B$4:$B$33,0))&amp;"","")="","",HYPERLINK(INDEX('Google Drive Map'!$G$4:$G$33,MATCH(P46,'Google Drive Map'!$B$4:$B$33,0)),"Open")))</f>
        <v/>
      </c>
      <c r="R46" s="7">
        <f>IF(AND(A46="",B46="",C46=""),"",TRIM(IF(AND(D46&lt;&gt;"",ISNA(MATCH(D46,'Google Drive Map'!$A$4:$A$33,0))),"Folder code isn't on the folder map. ","")&amp;IF(AND(C46&lt;&gt;"",NOT(ISNUMBER(C46))),"No. must be a whole number. ","")&amp;IF(AND(D46&lt;&gt;"",B46&lt;&gt;"",C46=""),"Type the next free no. ","")&amp;IF(AND(F46&lt;&gt;"",COUNTIF(F$4:F$303,F46)&gt;1),"Duplicate Doc ID. ","")))</f>
        <v/>
      </c>
      <c r="S46" s="22" t="n"/>
      <c r="T46" s="23" t="n"/>
    </row>
    <row r="47">
      <c r="A47" s="35" t="n"/>
      <c r="B47" s="22" t="n"/>
      <c r="C47" s="22" t="n"/>
      <c r="D47" s="7">
        <f>IF(A47="","",IF(ISNUMBER(A47),TEXT(A47,"00"),TRIM(A47)))</f>
        <v/>
      </c>
      <c r="E47" s="7">
        <f t="array" ref="E47">IF(OR(D47="",B47=""),"",MAX(IF((D$4:D$303=D47)*(B$4:B$303=B47)*ISNUMBER(C$4:C$303),C$4:C$303,0))+1)</f>
        <v/>
      </c>
      <c r="F47" s="7">
        <f>IF(OR(D47="",B47="",NOT(ISNUMBER(C47))),"",D47&amp;"-"&amp;B47&amp;"-"&amp;TEXT(C47,"000"))</f>
        <v/>
      </c>
      <c r="G47" s="23" t="n"/>
      <c r="H47" s="22" t="n"/>
      <c r="I47" s="24" t="n"/>
      <c r="J47" s="22" t="n"/>
      <c r="K47" s="22" t="n"/>
      <c r="L47" s="22" t="n"/>
      <c r="M47" s="22" t="n"/>
      <c r="N47" s="22" t="n"/>
      <c r="O47" s="7">
        <f>IF(F47="","",F47&amp;"_"&amp;SUBSTITUTE(SUBSTITUTE(SUBSTITUTE(SUBSTITUTE(SUBSTITUTE(SUBSTITUTE(SUBSTITUTE(SUBSTITUTE(SUBSTITUTE(SUBSTITUTE(TRIM(G47)," ","-"),"/","-"),"\","-"),":","-"),"*","-"),"?","-"),"""","-"),"&lt;","-"),"&gt;","-"),"|","-")&amp;IF(H47="","","_Rev"&amp;H47))</f>
        <v/>
      </c>
      <c r="P47" s="7">
        <f>IF(D47="","",IF(L47="Superseded","99 Archive",IF(AND(D47="04",K47&lt;&gt;""),IFERROR(INDEX('Google Drive Map'!$B$4:$B$33,MATCH("04/"&amp;LEFT(K47,2),'Google Drive Map'!$A$4:$A$33,0)),"04 Trades &amp; Tenders/"&amp;K47),IFERROR(INDEX('Google Drive Map'!$B$4:$B$33,MATCH(D47,'Google Drive Map'!$A$4:$A$33,0)),""))))</f>
        <v/>
      </c>
      <c r="Q47" s="7">
        <f>IF(P47="","",IF(IFERROR(INDEX('Google Drive Map'!$G$4:$G$33,MATCH(P47,'Google Drive Map'!$B$4:$B$33,0))&amp;"","")="","",HYPERLINK(INDEX('Google Drive Map'!$G$4:$G$33,MATCH(P47,'Google Drive Map'!$B$4:$B$33,0)),"Open")))</f>
        <v/>
      </c>
      <c r="R47" s="7">
        <f>IF(AND(A47="",B47="",C47=""),"",TRIM(IF(AND(D47&lt;&gt;"",ISNA(MATCH(D47,'Google Drive Map'!$A$4:$A$33,0))),"Folder code isn't on the folder map. ","")&amp;IF(AND(C47&lt;&gt;"",NOT(ISNUMBER(C47))),"No. must be a whole number. ","")&amp;IF(AND(D47&lt;&gt;"",B47&lt;&gt;"",C47=""),"Type the next free no. ","")&amp;IF(AND(F47&lt;&gt;"",COUNTIF(F$4:F$303,F47)&gt;1),"Duplicate Doc ID. ","")))</f>
        <v/>
      </c>
      <c r="S47" s="22" t="n"/>
      <c r="T47" s="23" t="n"/>
    </row>
    <row r="48">
      <c r="A48" s="35" t="n"/>
      <c r="B48" s="22" t="n"/>
      <c r="C48" s="22" t="n"/>
      <c r="D48" s="7">
        <f>IF(A48="","",IF(ISNUMBER(A48),TEXT(A48,"00"),TRIM(A48)))</f>
        <v/>
      </c>
      <c r="E48" s="7">
        <f t="array" ref="E48">IF(OR(D48="",B48=""),"",MAX(IF((D$4:D$303=D48)*(B$4:B$303=B48)*ISNUMBER(C$4:C$303),C$4:C$303,0))+1)</f>
        <v/>
      </c>
      <c r="F48" s="7">
        <f>IF(OR(D48="",B48="",NOT(ISNUMBER(C48))),"",D48&amp;"-"&amp;B48&amp;"-"&amp;TEXT(C48,"000"))</f>
        <v/>
      </c>
      <c r="G48" s="23" t="n"/>
      <c r="H48" s="22" t="n"/>
      <c r="I48" s="24" t="n"/>
      <c r="J48" s="22" t="n"/>
      <c r="K48" s="22" t="n"/>
      <c r="L48" s="22" t="n"/>
      <c r="M48" s="22" t="n"/>
      <c r="N48" s="22" t="n"/>
      <c r="O48" s="7">
        <f>IF(F48="","",F48&amp;"_"&amp;SUBSTITUTE(SUBSTITUTE(SUBSTITUTE(SUBSTITUTE(SUBSTITUTE(SUBSTITUTE(SUBSTITUTE(SUBSTITUTE(SUBSTITUTE(SUBSTITUTE(TRIM(G48)," ","-"),"/","-"),"\","-"),":","-"),"*","-"),"?","-"),"""","-"),"&lt;","-"),"&gt;","-"),"|","-")&amp;IF(H48="","","_Rev"&amp;H48))</f>
        <v/>
      </c>
      <c r="P48" s="7">
        <f>IF(D48="","",IF(L48="Superseded","99 Archive",IF(AND(D48="04",K48&lt;&gt;""),IFERROR(INDEX('Google Drive Map'!$B$4:$B$33,MATCH("04/"&amp;LEFT(K48,2),'Google Drive Map'!$A$4:$A$33,0)),"04 Trades &amp; Tenders/"&amp;K48),IFERROR(INDEX('Google Drive Map'!$B$4:$B$33,MATCH(D48,'Google Drive Map'!$A$4:$A$33,0)),""))))</f>
        <v/>
      </c>
      <c r="Q48" s="7">
        <f>IF(P48="","",IF(IFERROR(INDEX('Google Drive Map'!$G$4:$G$33,MATCH(P48,'Google Drive Map'!$B$4:$B$33,0))&amp;"","")="","",HYPERLINK(INDEX('Google Drive Map'!$G$4:$G$33,MATCH(P48,'Google Drive Map'!$B$4:$B$33,0)),"Open")))</f>
        <v/>
      </c>
      <c r="R48" s="7">
        <f>IF(AND(A48="",B48="",C48=""),"",TRIM(IF(AND(D48&lt;&gt;"",ISNA(MATCH(D48,'Google Drive Map'!$A$4:$A$33,0))),"Folder code isn't on the folder map. ","")&amp;IF(AND(C48&lt;&gt;"",NOT(ISNUMBER(C48))),"No. must be a whole number. ","")&amp;IF(AND(D48&lt;&gt;"",B48&lt;&gt;"",C48=""),"Type the next free no. ","")&amp;IF(AND(F48&lt;&gt;"",COUNTIF(F$4:F$303,F48)&gt;1),"Duplicate Doc ID. ","")))</f>
        <v/>
      </c>
      <c r="S48" s="22" t="n"/>
      <c r="T48" s="23" t="n"/>
    </row>
    <row r="49">
      <c r="A49" s="35" t="n"/>
      <c r="B49" s="22" t="n"/>
      <c r="C49" s="22" t="n"/>
      <c r="D49" s="7">
        <f>IF(A49="","",IF(ISNUMBER(A49),TEXT(A49,"00"),TRIM(A49)))</f>
        <v/>
      </c>
      <c r="E49" s="7">
        <f t="array" ref="E49">IF(OR(D49="",B49=""),"",MAX(IF((D$4:D$303=D49)*(B$4:B$303=B49)*ISNUMBER(C$4:C$303),C$4:C$303,0))+1)</f>
        <v/>
      </c>
      <c r="F49" s="7">
        <f>IF(OR(D49="",B49="",NOT(ISNUMBER(C49))),"",D49&amp;"-"&amp;B49&amp;"-"&amp;TEXT(C49,"000"))</f>
        <v/>
      </c>
      <c r="G49" s="23" t="n"/>
      <c r="H49" s="22" t="n"/>
      <c r="I49" s="24" t="n"/>
      <c r="J49" s="22" t="n"/>
      <c r="K49" s="22" t="n"/>
      <c r="L49" s="22" t="n"/>
      <c r="M49" s="22" t="n"/>
      <c r="N49" s="22" t="n"/>
      <c r="O49" s="7">
        <f>IF(F49="","",F49&amp;"_"&amp;SUBSTITUTE(SUBSTITUTE(SUBSTITUTE(SUBSTITUTE(SUBSTITUTE(SUBSTITUTE(SUBSTITUTE(SUBSTITUTE(SUBSTITUTE(SUBSTITUTE(TRIM(G49)," ","-"),"/","-"),"\","-"),":","-"),"*","-"),"?","-"),"""","-"),"&lt;","-"),"&gt;","-"),"|","-")&amp;IF(H49="","","_Rev"&amp;H49))</f>
        <v/>
      </c>
      <c r="P49" s="7">
        <f>IF(D49="","",IF(L49="Superseded","99 Archive",IF(AND(D49="04",K49&lt;&gt;""),IFERROR(INDEX('Google Drive Map'!$B$4:$B$33,MATCH("04/"&amp;LEFT(K49,2),'Google Drive Map'!$A$4:$A$33,0)),"04 Trades &amp; Tenders/"&amp;K49),IFERROR(INDEX('Google Drive Map'!$B$4:$B$33,MATCH(D49,'Google Drive Map'!$A$4:$A$33,0)),""))))</f>
        <v/>
      </c>
      <c r="Q49" s="7">
        <f>IF(P49="","",IF(IFERROR(INDEX('Google Drive Map'!$G$4:$G$33,MATCH(P49,'Google Drive Map'!$B$4:$B$33,0))&amp;"","")="","",HYPERLINK(INDEX('Google Drive Map'!$G$4:$G$33,MATCH(P49,'Google Drive Map'!$B$4:$B$33,0)),"Open")))</f>
        <v/>
      </c>
      <c r="R49" s="7">
        <f>IF(AND(A49="",B49="",C49=""),"",TRIM(IF(AND(D49&lt;&gt;"",ISNA(MATCH(D49,'Google Drive Map'!$A$4:$A$33,0))),"Folder code isn't on the folder map. ","")&amp;IF(AND(C49&lt;&gt;"",NOT(ISNUMBER(C49))),"No. must be a whole number. ","")&amp;IF(AND(D49&lt;&gt;"",B49&lt;&gt;"",C49=""),"Type the next free no. ","")&amp;IF(AND(F49&lt;&gt;"",COUNTIF(F$4:F$303,F49)&gt;1),"Duplicate Doc ID. ","")))</f>
        <v/>
      </c>
      <c r="S49" s="22" t="n"/>
      <c r="T49" s="23" t="n"/>
    </row>
    <row r="50">
      <c r="A50" s="35" t="n"/>
      <c r="B50" s="22" t="n"/>
      <c r="C50" s="22" t="n"/>
      <c r="D50" s="7">
        <f>IF(A50="","",IF(ISNUMBER(A50),TEXT(A50,"00"),TRIM(A50)))</f>
        <v/>
      </c>
      <c r="E50" s="7">
        <f t="array" ref="E50">IF(OR(D50="",B50=""),"",MAX(IF((D$4:D$303=D50)*(B$4:B$303=B50)*ISNUMBER(C$4:C$303),C$4:C$303,0))+1)</f>
        <v/>
      </c>
      <c r="F50" s="7">
        <f>IF(OR(D50="",B50="",NOT(ISNUMBER(C50))),"",D50&amp;"-"&amp;B50&amp;"-"&amp;TEXT(C50,"000"))</f>
        <v/>
      </c>
      <c r="G50" s="23" t="n"/>
      <c r="H50" s="22" t="n"/>
      <c r="I50" s="24" t="n"/>
      <c r="J50" s="22" t="n"/>
      <c r="K50" s="22" t="n"/>
      <c r="L50" s="22" t="n"/>
      <c r="M50" s="22" t="n"/>
      <c r="N50" s="22" t="n"/>
      <c r="O50" s="7">
        <f>IF(F50="","",F50&amp;"_"&amp;SUBSTITUTE(SUBSTITUTE(SUBSTITUTE(SUBSTITUTE(SUBSTITUTE(SUBSTITUTE(SUBSTITUTE(SUBSTITUTE(SUBSTITUTE(SUBSTITUTE(TRIM(G50)," ","-"),"/","-"),"\","-"),":","-"),"*","-"),"?","-"),"""","-"),"&lt;","-"),"&gt;","-"),"|","-")&amp;IF(H50="","","_Rev"&amp;H50))</f>
        <v/>
      </c>
      <c r="P50" s="7">
        <f>IF(D50="","",IF(L50="Superseded","99 Archive",IF(AND(D50="04",K50&lt;&gt;""),IFERROR(INDEX('Google Drive Map'!$B$4:$B$33,MATCH("04/"&amp;LEFT(K50,2),'Google Drive Map'!$A$4:$A$33,0)),"04 Trades &amp; Tenders/"&amp;K50),IFERROR(INDEX('Google Drive Map'!$B$4:$B$33,MATCH(D50,'Google Drive Map'!$A$4:$A$33,0)),""))))</f>
        <v/>
      </c>
      <c r="Q50" s="7">
        <f>IF(P50="","",IF(IFERROR(INDEX('Google Drive Map'!$G$4:$G$33,MATCH(P50,'Google Drive Map'!$B$4:$B$33,0))&amp;"","")="","",HYPERLINK(INDEX('Google Drive Map'!$G$4:$G$33,MATCH(P50,'Google Drive Map'!$B$4:$B$33,0)),"Open")))</f>
        <v/>
      </c>
      <c r="R50" s="7">
        <f>IF(AND(A50="",B50="",C50=""),"",TRIM(IF(AND(D50&lt;&gt;"",ISNA(MATCH(D50,'Google Drive Map'!$A$4:$A$33,0))),"Folder code isn't on the folder map. ","")&amp;IF(AND(C50&lt;&gt;"",NOT(ISNUMBER(C50))),"No. must be a whole number. ","")&amp;IF(AND(D50&lt;&gt;"",B50&lt;&gt;"",C50=""),"Type the next free no. ","")&amp;IF(AND(F50&lt;&gt;"",COUNTIF(F$4:F$303,F50)&gt;1),"Duplicate Doc ID. ","")))</f>
        <v/>
      </c>
      <c r="S50" s="22" t="n"/>
      <c r="T50" s="23" t="n"/>
    </row>
    <row r="51">
      <c r="A51" s="35" t="n"/>
      <c r="B51" s="22" t="n"/>
      <c r="C51" s="22" t="n"/>
      <c r="D51" s="7">
        <f>IF(A51="","",IF(ISNUMBER(A51),TEXT(A51,"00"),TRIM(A51)))</f>
        <v/>
      </c>
      <c r="E51" s="7">
        <f t="array" ref="E51">IF(OR(D51="",B51=""),"",MAX(IF((D$4:D$303=D51)*(B$4:B$303=B51)*ISNUMBER(C$4:C$303),C$4:C$303,0))+1)</f>
        <v/>
      </c>
      <c r="F51" s="7">
        <f>IF(OR(D51="",B51="",NOT(ISNUMBER(C51))),"",D51&amp;"-"&amp;B51&amp;"-"&amp;TEXT(C51,"000"))</f>
        <v/>
      </c>
      <c r="G51" s="23" t="n"/>
      <c r="H51" s="22" t="n"/>
      <c r="I51" s="24" t="n"/>
      <c r="J51" s="22" t="n"/>
      <c r="K51" s="22" t="n"/>
      <c r="L51" s="22" t="n"/>
      <c r="M51" s="22" t="n"/>
      <c r="N51" s="22" t="n"/>
      <c r="O51" s="7">
        <f>IF(F51="","",F51&amp;"_"&amp;SUBSTITUTE(SUBSTITUTE(SUBSTITUTE(SUBSTITUTE(SUBSTITUTE(SUBSTITUTE(SUBSTITUTE(SUBSTITUTE(SUBSTITUTE(SUBSTITUTE(TRIM(G51)," ","-"),"/","-"),"\","-"),":","-"),"*","-"),"?","-"),"""","-"),"&lt;","-"),"&gt;","-"),"|","-")&amp;IF(H51="","","_Rev"&amp;H51))</f>
        <v/>
      </c>
      <c r="P51" s="7">
        <f>IF(D51="","",IF(L51="Superseded","99 Archive",IF(AND(D51="04",K51&lt;&gt;""),IFERROR(INDEX('Google Drive Map'!$B$4:$B$33,MATCH("04/"&amp;LEFT(K51,2),'Google Drive Map'!$A$4:$A$33,0)),"04 Trades &amp; Tenders/"&amp;K51),IFERROR(INDEX('Google Drive Map'!$B$4:$B$33,MATCH(D51,'Google Drive Map'!$A$4:$A$33,0)),""))))</f>
        <v/>
      </c>
      <c r="Q51" s="7">
        <f>IF(P51="","",IF(IFERROR(INDEX('Google Drive Map'!$G$4:$G$33,MATCH(P51,'Google Drive Map'!$B$4:$B$33,0))&amp;"","")="","",HYPERLINK(INDEX('Google Drive Map'!$G$4:$G$33,MATCH(P51,'Google Drive Map'!$B$4:$B$33,0)),"Open")))</f>
        <v/>
      </c>
      <c r="R51" s="7">
        <f>IF(AND(A51="",B51="",C51=""),"",TRIM(IF(AND(D51&lt;&gt;"",ISNA(MATCH(D51,'Google Drive Map'!$A$4:$A$33,0))),"Folder code isn't on the folder map. ","")&amp;IF(AND(C51&lt;&gt;"",NOT(ISNUMBER(C51))),"No. must be a whole number. ","")&amp;IF(AND(D51&lt;&gt;"",B51&lt;&gt;"",C51=""),"Type the next free no. ","")&amp;IF(AND(F51&lt;&gt;"",COUNTIF(F$4:F$303,F51)&gt;1),"Duplicate Doc ID. ","")))</f>
        <v/>
      </c>
      <c r="S51" s="22" t="n"/>
      <c r="T51" s="23" t="n"/>
    </row>
    <row r="52">
      <c r="A52" s="35" t="n"/>
      <c r="B52" s="22" t="n"/>
      <c r="C52" s="22" t="n"/>
      <c r="D52" s="7">
        <f>IF(A52="","",IF(ISNUMBER(A52),TEXT(A52,"00"),TRIM(A52)))</f>
        <v/>
      </c>
      <c r="E52" s="7">
        <f t="array" ref="E52">IF(OR(D52="",B52=""),"",MAX(IF((D$4:D$303=D52)*(B$4:B$303=B52)*ISNUMBER(C$4:C$303),C$4:C$303,0))+1)</f>
        <v/>
      </c>
      <c r="F52" s="7">
        <f>IF(OR(D52="",B52="",NOT(ISNUMBER(C52))),"",D52&amp;"-"&amp;B52&amp;"-"&amp;TEXT(C52,"000"))</f>
        <v/>
      </c>
      <c r="G52" s="23" t="n"/>
      <c r="H52" s="22" t="n"/>
      <c r="I52" s="24" t="n"/>
      <c r="J52" s="22" t="n"/>
      <c r="K52" s="22" t="n"/>
      <c r="L52" s="22" t="n"/>
      <c r="M52" s="22" t="n"/>
      <c r="N52" s="22" t="n"/>
      <c r="O52" s="7">
        <f>IF(F52="","",F52&amp;"_"&amp;SUBSTITUTE(SUBSTITUTE(SUBSTITUTE(SUBSTITUTE(SUBSTITUTE(SUBSTITUTE(SUBSTITUTE(SUBSTITUTE(SUBSTITUTE(SUBSTITUTE(TRIM(G52)," ","-"),"/","-"),"\","-"),":","-"),"*","-"),"?","-"),"""","-"),"&lt;","-"),"&gt;","-"),"|","-")&amp;IF(H52="","","_Rev"&amp;H52))</f>
        <v/>
      </c>
      <c r="P52" s="7">
        <f>IF(D52="","",IF(L52="Superseded","99 Archive",IF(AND(D52="04",K52&lt;&gt;""),IFERROR(INDEX('Google Drive Map'!$B$4:$B$33,MATCH("04/"&amp;LEFT(K52,2),'Google Drive Map'!$A$4:$A$33,0)),"04 Trades &amp; Tenders/"&amp;K52),IFERROR(INDEX('Google Drive Map'!$B$4:$B$33,MATCH(D52,'Google Drive Map'!$A$4:$A$33,0)),""))))</f>
        <v/>
      </c>
      <c r="Q52" s="7">
        <f>IF(P52="","",IF(IFERROR(INDEX('Google Drive Map'!$G$4:$G$33,MATCH(P52,'Google Drive Map'!$B$4:$B$33,0))&amp;"","")="","",HYPERLINK(INDEX('Google Drive Map'!$G$4:$G$33,MATCH(P52,'Google Drive Map'!$B$4:$B$33,0)),"Open")))</f>
        <v/>
      </c>
      <c r="R52" s="7">
        <f>IF(AND(A52="",B52="",C52=""),"",TRIM(IF(AND(D52&lt;&gt;"",ISNA(MATCH(D52,'Google Drive Map'!$A$4:$A$33,0))),"Folder code isn't on the folder map. ","")&amp;IF(AND(C52&lt;&gt;"",NOT(ISNUMBER(C52))),"No. must be a whole number. ","")&amp;IF(AND(D52&lt;&gt;"",B52&lt;&gt;"",C52=""),"Type the next free no. ","")&amp;IF(AND(F52&lt;&gt;"",COUNTIF(F$4:F$303,F52)&gt;1),"Duplicate Doc ID. ","")))</f>
        <v/>
      </c>
      <c r="S52" s="22" t="n"/>
      <c r="T52" s="23" t="n"/>
    </row>
    <row r="53">
      <c r="A53" s="35" t="n"/>
      <c r="B53" s="22" t="n"/>
      <c r="C53" s="22" t="n"/>
      <c r="D53" s="7">
        <f>IF(A53="","",IF(ISNUMBER(A53),TEXT(A53,"00"),TRIM(A53)))</f>
        <v/>
      </c>
      <c r="E53" s="7">
        <f t="array" ref="E53">IF(OR(D53="",B53=""),"",MAX(IF((D$4:D$303=D53)*(B$4:B$303=B53)*ISNUMBER(C$4:C$303),C$4:C$303,0))+1)</f>
        <v/>
      </c>
      <c r="F53" s="7">
        <f>IF(OR(D53="",B53="",NOT(ISNUMBER(C53))),"",D53&amp;"-"&amp;B53&amp;"-"&amp;TEXT(C53,"000"))</f>
        <v/>
      </c>
      <c r="G53" s="23" t="n"/>
      <c r="H53" s="22" t="n"/>
      <c r="I53" s="24" t="n"/>
      <c r="J53" s="22" t="n"/>
      <c r="K53" s="22" t="n"/>
      <c r="L53" s="22" t="n"/>
      <c r="M53" s="22" t="n"/>
      <c r="N53" s="22" t="n"/>
      <c r="O53" s="7">
        <f>IF(F53="","",F53&amp;"_"&amp;SUBSTITUTE(SUBSTITUTE(SUBSTITUTE(SUBSTITUTE(SUBSTITUTE(SUBSTITUTE(SUBSTITUTE(SUBSTITUTE(SUBSTITUTE(SUBSTITUTE(TRIM(G53)," ","-"),"/","-"),"\","-"),":","-"),"*","-"),"?","-"),"""","-"),"&lt;","-"),"&gt;","-"),"|","-")&amp;IF(H53="","","_Rev"&amp;H53))</f>
        <v/>
      </c>
      <c r="P53" s="7">
        <f>IF(D53="","",IF(L53="Superseded","99 Archive",IF(AND(D53="04",K53&lt;&gt;""),IFERROR(INDEX('Google Drive Map'!$B$4:$B$33,MATCH("04/"&amp;LEFT(K53,2),'Google Drive Map'!$A$4:$A$33,0)),"04 Trades &amp; Tenders/"&amp;K53),IFERROR(INDEX('Google Drive Map'!$B$4:$B$33,MATCH(D53,'Google Drive Map'!$A$4:$A$33,0)),""))))</f>
        <v/>
      </c>
      <c r="Q53" s="7">
        <f>IF(P53="","",IF(IFERROR(INDEX('Google Drive Map'!$G$4:$G$33,MATCH(P53,'Google Drive Map'!$B$4:$B$33,0))&amp;"","")="","",HYPERLINK(INDEX('Google Drive Map'!$G$4:$G$33,MATCH(P53,'Google Drive Map'!$B$4:$B$33,0)),"Open")))</f>
        <v/>
      </c>
      <c r="R53" s="7">
        <f>IF(AND(A53="",B53="",C53=""),"",TRIM(IF(AND(D53&lt;&gt;"",ISNA(MATCH(D53,'Google Drive Map'!$A$4:$A$33,0))),"Folder code isn't on the folder map. ","")&amp;IF(AND(C53&lt;&gt;"",NOT(ISNUMBER(C53))),"No. must be a whole number. ","")&amp;IF(AND(D53&lt;&gt;"",B53&lt;&gt;"",C53=""),"Type the next free no. ","")&amp;IF(AND(F53&lt;&gt;"",COUNTIF(F$4:F$303,F53)&gt;1),"Duplicate Doc ID. ","")))</f>
        <v/>
      </c>
      <c r="S53" s="22" t="n"/>
      <c r="T53" s="23" t="n"/>
    </row>
    <row r="54">
      <c r="A54" s="35" t="n"/>
      <c r="B54" s="22" t="n"/>
      <c r="C54" s="22" t="n"/>
      <c r="D54" s="7">
        <f>IF(A54="","",IF(ISNUMBER(A54),TEXT(A54,"00"),TRIM(A54)))</f>
        <v/>
      </c>
      <c r="E54" s="7">
        <f t="array" ref="E54">IF(OR(D54="",B54=""),"",MAX(IF((D$4:D$303=D54)*(B$4:B$303=B54)*ISNUMBER(C$4:C$303),C$4:C$303,0))+1)</f>
        <v/>
      </c>
      <c r="F54" s="7">
        <f>IF(OR(D54="",B54="",NOT(ISNUMBER(C54))),"",D54&amp;"-"&amp;B54&amp;"-"&amp;TEXT(C54,"000"))</f>
        <v/>
      </c>
      <c r="G54" s="23" t="n"/>
      <c r="H54" s="22" t="n"/>
      <c r="I54" s="24" t="n"/>
      <c r="J54" s="22" t="n"/>
      <c r="K54" s="22" t="n"/>
      <c r="L54" s="22" t="n"/>
      <c r="M54" s="22" t="n"/>
      <c r="N54" s="22" t="n"/>
      <c r="O54" s="7">
        <f>IF(F54="","",F54&amp;"_"&amp;SUBSTITUTE(SUBSTITUTE(SUBSTITUTE(SUBSTITUTE(SUBSTITUTE(SUBSTITUTE(SUBSTITUTE(SUBSTITUTE(SUBSTITUTE(SUBSTITUTE(TRIM(G54)," ","-"),"/","-"),"\","-"),":","-"),"*","-"),"?","-"),"""","-"),"&lt;","-"),"&gt;","-"),"|","-")&amp;IF(H54="","","_Rev"&amp;H54))</f>
        <v/>
      </c>
      <c r="P54" s="7">
        <f>IF(D54="","",IF(L54="Superseded","99 Archive",IF(AND(D54="04",K54&lt;&gt;""),IFERROR(INDEX('Google Drive Map'!$B$4:$B$33,MATCH("04/"&amp;LEFT(K54,2),'Google Drive Map'!$A$4:$A$33,0)),"04 Trades &amp; Tenders/"&amp;K54),IFERROR(INDEX('Google Drive Map'!$B$4:$B$33,MATCH(D54,'Google Drive Map'!$A$4:$A$33,0)),""))))</f>
        <v/>
      </c>
      <c r="Q54" s="7">
        <f>IF(P54="","",IF(IFERROR(INDEX('Google Drive Map'!$G$4:$G$33,MATCH(P54,'Google Drive Map'!$B$4:$B$33,0))&amp;"","")="","",HYPERLINK(INDEX('Google Drive Map'!$G$4:$G$33,MATCH(P54,'Google Drive Map'!$B$4:$B$33,0)),"Open")))</f>
        <v/>
      </c>
      <c r="R54" s="7">
        <f>IF(AND(A54="",B54="",C54=""),"",TRIM(IF(AND(D54&lt;&gt;"",ISNA(MATCH(D54,'Google Drive Map'!$A$4:$A$33,0))),"Folder code isn't on the folder map. ","")&amp;IF(AND(C54&lt;&gt;"",NOT(ISNUMBER(C54))),"No. must be a whole number. ","")&amp;IF(AND(D54&lt;&gt;"",B54&lt;&gt;"",C54=""),"Type the next free no. ","")&amp;IF(AND(F54&lt;&gt;"",COUNTIF(F$4:F$303,F54)&gt;1),"Duplicate Doc ID. ","")))</f>
        <v/>
      </c>
      <c r="S54" s="22" t="n"/>
      <c r="T54" s="23" t="n"/>
    </row>
    <row r="55">
      <c r="A55" s="35" t="n"/>
      <c r="B55" s="22" t="n"/>
      <c r="C55" s="22" t="n"/>
      <c r="D55" s="7">
        <f>IF(A55="","",IF(ISNUMBER(A55),TEXT(A55,"00"),TRIM(A55)))</f>
        <v/>
      </c>
      <c r="E55" s="7">
        <f t="array" ref="E55">IF(OR(D55="",B55=""),"",MAX(IF((D$4:D$303=D55)*(B$4:B$303=B55)*ISNUMBER(C$4:C$303),C$4:C$303,0))+1)</f>
        <v/>
      </c>
      <c r="F55" s="7">
        <f>IF(OR(D55="",B55="",NOT(ISNUMBER(C55))),"",D55&amp;"-"&amp;B55&amp;"-"&amp;TEXT(C55,"000"))</f>
        <v/>
      </c>
      <c r="G55" s="23" t="n"/>
      <c r="H55" s="22" t="n"/>
      <c r="I55" s="24" t="n"/>
      <c r="J55" s="22" t="n"/>
      <c r="K55" s="22" t="n"/>
      <c r="L55" s="22" t="n"/>
      <c r="M55" s="22" t="n"/>
      <c r="N55" s="22" t="n"/>
      <c r="O55" s="7">
        <f>IF(F55="","",F55&amp;"_"&amp;SUBSTITUTE(SUBSTITUTE(SUBSTITUTE(SUBSTITUTE(SUBSTITUTE(SUBSTITUTE(SUBSTITUTE(SUBSTITUTE(SUBSTITUTE(SUBSTITUTE(TRIM(G55)," ","-"),"/","-"),"\","-"),":","-"),"*","-"),"?","-"),"""","-"),"&lt;","-"),"&gt;","-"),"|","-")&amp;IF(H55="","","_Rev"&amp;H55))</f>
        <v/>
      </c>
      <c r="P55" s="7">
        <f>IF(D55="","",IF(L55="Superseded","99 Archive",IF(AND(D55="04",K55&lt;&gt;""),IFERROR(INDEX('Google Drive Map'!$B$4:$B$33,MATCH("04/"&amp;LEFT(K55,2),'Google Drive Map'!$A$4:$A$33,0)),"04 Trades &amp; Tenders/"&amp;K55),IFERROR(INDEX('Google Drive Map'!$B$4:$B$33,MATCH(D55,'Google Drive Map'!$A$4:$A$33,0)),""))))</f>
        <v/>
      </c>
      <c r="Q55" s="7">
        <f>IF(P55="","",IF(IFERROR(INDEX('Google Drive Map'!$G$4:$G$33,MATCH(P55,'Google Drive Map'!$B$4:$B$33,0))&amp;"","")="","",HYPERLINK(INDEX('Google Drive Map'!$G$4:$G$33,MATCH(P55,'Google Drive Map'!$B$4:$B$33,0)),"Open")))</f>
        <v/>
      </c>
      <c r="R55" s="7">
        <f>IF(AND(A55="",B55="",C55=""),"",TRIM(IF(AND(D55&lt;&gt;"",ISNA(MATCH(D55,'Google Drive Map'!$A$4:$A$33,0))),"Folder code isn't on the folder map. ","")&amp;IF(AND(C55&lt;&gt;"",NOT(ISNUMBER(C55))),"No. must be a whole number. ","")&amp;IF(AND(D55&lt;&gt;"",B55&lt;&gt;"",C55=""),"Type the next free no. ","")&amp;IF(AND(F55&lt;&gt;"",COUNTIF(F$4:F$303,F55)&gt;1),"Duplicate Doc ID. ","")))</f>
        <v/>
      </c>
      <c r="S55" s="22" t="n"/>
      <c r="T55" s="23" t="n"/>
    </row>
    <row r="56">
      <c r="A56" s="35" t="n"/>
      <c r="B56" s="22" t="n"/>
      <c r="C56" s="22" t="n"/>
      <c r="D56" s="7">
        <f>IF(A56="","",IF(ISNUMBER(A56),TEXT(A56,"00"),TRIM(A56)))</f>
        <v/>
      </c>
      <c r="E56" s="7">
        <f t="array" ref="E56">IF(OR(D56="",B56=""),"",MAX(IF((D$4:D$303=D56)*(B$4:B$303=B56)*ISNUMBER(C$4:C$303),C$4:C$303,0))+1)</f>
        <v/>
      </c>
      <c r="F56" s="7">
        <f>IF(OR(D56="",B56="",NOT(ISNUMBER(C56))),"",D56&amp;"-"&amp;B56&amp;"-"&amp;TEXT(C56,"000"))</f>
        <v/>
      </c>
      <c r="G56" s="23" t="n"/>
      <c r="H56" s="22" t="n"/>
      <c r="I56" s="24" t="n"/>
      <c r="J56" s="22" t="n"/>
      <c r="K56" s="22" t="n"/>
      <c r="L56" s="22" t="n"/>
      <c r="M56" s="22" t="n"/>
      <c r="N56" s="22" t="n"/>
      <c r="O56" s="7">
        <f>IF(F56="","",F56&amp;"_"&amp;SUBSTITUTE(SUBSTITUTE(SUBSTITUTE(SUBSTITUTE(SUBSTITUTE(SUBSTITUTE(SUBSTITUTE(SUBSTITUTE(SUBSTITUTE(SUBSTITUTE(TRIM(G56)," ","-"),"/","-"),"\","-"),":","-"),"*","-"),"?","-"),"""","-"),"&lt;","-"),"&gt;","-"),"|","-")&amp;IF(H56="","","_Rev"&amp;H56))</f>
        <v/>
      </c>
      <c r="P56" s="7">
        <f>IF(D56="","",IF(L56="Superseded","99 Archive",IF(AND(D56="04",K56&lt;&gt;""),IFERROR(INDEX('Google Drive Map'!$B$4:$B$33,MATCH("04/"&amp;LEFT(K56,2),'Google Drive Map'!$A$4:$A$33,0)),"04 Trades &amp; Tenders/"&amp;K56),IFERROR(INDEX('Google Drive Map'!$B$4:$B$33,MATCH(D56,'Google Drive Map'!$A$4:$A$33,0)),""))))</f>
        <v/>
      </c>
      <c r="Q56" s="7">
        <f>IF(P56="","",IF(IFERROR(INDEX('Google Drive Map'!$G$4:$G$33,MATCH(P56,'Google Drive Map'!$B$4:$B$33,0))&amp;"","")="","",HYPERLINK(INDEX('Google Drive Map'!$G$4:$G$33,MATCH(P56,'Google Drive Map'!$B$4:$B$33,0)),"Open")))</f>
        <v/>
      </c>
      <c r="R56" s="7">
        <f>IF(AND(A56="",B56="",C56=""),"",TRIM(IF(AND(D56&lt;&gt;"",ISNA(MATCH(D56,'Google Drive Map'!$A$4:$A$33,0))),"Folder code isn't on the folder map. ","")&amp;IF(AND(C56&lt;&gt;"",NOT(ISNUMBER(C56))),"No. must be a whole number. ","")&amp;IF(AND(D56&lt;&gt;"",B56&lt;&gt;"",C56=""),"Type the next free no. ","")&amp;IF(AND(F56&lt;&gt;"",COUNTIF(F$4:F$303,F56)&gt;1),"Duplicate Doc ID. ","")))</f>
        <v/>
      </c>
      <c r="S56" s="22" t="n"/>
      <c r="T56" s="23" t="n"/>
    </row>
    <row r="57">
      <c r="A57" s="35" t="n"/>
      <c r="B57" s="22" t="n"/>
      <c r="C57" s="22" t="n"/>
      <c r="D57" s="7">
        <f>IF(A57="","",IF(ISNUMBER(A57),TEXT(A57,"00"),TRIM(A57)))</f>
        <v/>
      </c>
      <c r="E57" s="7">
        <f t="array" ref="E57">IF(OR(D57="",B57=""),"",MAX(IF((D$4:D$303=D57)*(B$4:B$303=B57)*ISNUMBER(C$4:C$303),C$4:C$303,0))+1)</f>
        <v/>
      </c>
      <c r="F57" s="7">
        <f>IF(OR(D57="",B57="",NOT(ISNUMBER(C57))),"",D57&amp;"-"&amp;B57&amp;"-"&amp;TEXT(C57,"000"))</f>
        <v/>
      </c>
      <c r="G57" s="23" t="n"/>
      <c r="H57" s="22" t="n"/>
      <c r="I57" s="24" t="n"/>
      <c r="J57" s="22" t="n"/>
      <c r="K57" s="22" t="n"/>
      <c r="L57" s="22" t="n"/>
      <c r="M57" s="22" t="n"/>
      <c r="N57" s="22" t="n"/>
      <c r="O57" s="7">
        <f>IF(F57="","",F57&amp;"_"&amp;SUBSTITUTE(SUBSTITUTE(SUBSTITUTE(SUBSTITUTE(SUBSTITUTE(SUBSTITUTE(SUBSTITUTE(SUBSTITUTE(SUBSTITUTE(SUBSTITUTE(TRIM(G57)," ","-"),"/","-"),"\","-"),":","-"),"*","-"),"?","-"),"""","-"),"&lt;","-"),"&gt;","-"),"|","-")&amp;IF(H57="","","_Rev"&amp;H57))</f>
        <v/>
      </c>
      <c r="P57" s="7">
        <f>IF(D57="","",IF(L57="Superseded","99 Archive",IF(AND(D57="04",K57&lt;&gt;""),IFERROR(INDEX('Google Drive Map'!$B$4:$B$33,MATCH("04/"&amp;LEFT(K57,2),'Google Drive Map'!$A$4:$A$33,0)),"04 Trades &amp; Tenders/"&amp;K57),IFERROR(INDEX('Google Drive Map'!$B$4:$B$33,MATCH(D57,'Google Drive Map'!$A$4:$A$33,0)),""))))</f>
        <v/>
      </c>
      <c r="Q57" s="7">
        <f>IF(P57="","",IF(IFERROR(INDEX('Google Drive Map'!$G$4:$G$33,MATCH(P57,'Google Drive Map'!$B$4:$B$33,0))&amp;"","")="","",HYPERLINK(INDEX('Google Drive Map'!$G$4:$G$33,MATCH(P57,'Google Drive Map'!$B$4:$B$33,0)),"Open")))</f>
        <v/>
      </c>
      <c r="R57" s="7">
        <f>IF(AND(A57="",B57="",C57=""),"",TRIM(IF(AND(D57&lt;&gt;"",ISNA(MATCH(D57,'Google Drive Map'!$A$4:$A$33,0))),"Folder code isn't on the folder map. ","")&amp;IF(AND(C57&lt;&gt;"",NOT(ISNUMBER(C57))),"No. must be a whole number. ","")&amp;IF(AND(D57&lt;&gt;"",B57&lt;&gt;"",C57=""),"Type the next free no. ","")&amp;IF(AND(F57&lt;&gt;"",COUNTIF(F$4:F$303,F57)&gt;1),"Duplicate Doc ID. ","")))</f>
        <v/>
      </c>
      <c r="S57" s="22" t="n"/>
      <c r="T57" s="23" t="n"/>
    </row>
    <row r="58">
      <c r="A58" s="35" t="n"/>
      <c r="B58" s="22" t="n"/>
      <c r="C58" s="22" t="n"/>
      <c r="D58" s="7">
        <f>IF(A58="","",IF(ISNUMBER(A58),TEXT(A58,"00"),TRIM(A58)))</f>
        <v/>
      </c>
      <c r="E58" s="7">
        <f t="array" ref="E58">IF(OR(D58="",B58=""),"",MAX(IF((D$4:D$303=D58)*(B$4:B$303=B58)*ISNUMBER(C$4:C$303),C$4:C$303,0))+1)</f>
        <v/>
      </c>
      <c r="F58" s="7">
        <f>IF(OR(D58="",B58="",NOT(ISNUMBER(C58))),"",D58&amp;"-"&amp;B58&amp;"-"&amp;TEXT(C58,"000"))</f>
        <v/>
      </c>
      <c r="G58" s="23" t="n"/>
      <c r="H58" s="22" t="n"/>
      <c r="I58" s="24" t="n"/>
      <c r="J58" s="22" t="n"/>
      <c r="K58" s="22" t="n"/>
      <c r="L58" s="22" t="n"/>
      <c r="M58" s="22" t="n"/>
      <c r="N58" s="22" t="n"/>
      <c r="O58" s="7">
        <f>IF(F58="","",F58&amp;"_"&amp;SUBSTITUTE(SUBSTITUTE(SUBSTITUTE(SUBSTITUTE(SUBSTITUTE(SUBSTITUTE(SUBSTITUTE(SUBSTITUTE(SUBSTITUTE(SUBSTITUTE(TRIM(G58)," ","-"),"/","-"),"\","-"),":","-"),"*","-"),"?","-"),"""","-"),"&lt;","-"),"&gt;","-"),"|","-")&amp;IF(H58="","","_Rev"&amp;H58))</f>
        <v/>
      </c>
      <c r="P58" s="7">
        <f>IF(D58="","",IF(L58="Superseded","99 Archive",IF(AND(D58="04",K58&lt;&gt;""),IFERROR(INDEX('Google Drive Map'!$B$4:$B$33,MATCH("04/"&amp;LEFT(K58,2),'Google Drive Map'!$A$4:$A$33,0)),"04 Trades &amp; Tenders/"&amp;K58),IFERROR(INDEX('Google Drive Map'!$B$4:$B$33,MATCH(D58,'Google Drive Map'!$A$4:$A$33,0)),""))))</f>
        <v/>
      </c>
      <c r="Q58" s="7">
        <f>IF(P58="","",IF(IFERROR(INDEX('Google Drive Map'!$G$4:$G$33,MATCH(P58,'Google Drive Map'!$B$4:$B$33,0))&amp;"","")="","",HYPERLINK(INDEX('Google Drive Map'!$G$4:$G$33,MATCH(P58,'Google Drive Map'!$B$4:$B$33,0)),"Open")))</f>
        <v/>
      </c>
      <c r="R58" s="7">
        <f>IF(AND(A58="",B58="",C58=""),"",TRIM(IF(AND(D58&lt;&gt;"",ISNA(MATCH(D58,'Google Drive Map'!$A$4:$A$33,0))),"Folder code isn't on the folder map. ","")&amp;IF(AND(C58&lt;&gt;"",NOT(ISNUMBER(C58))),"No. must be a whole number. ","")&amp;IF(AND(D58&lt;&gt;"",B58&lt;&gt;"",C58=""),"Type the next free no. ","")&amp;IF(AND(F58&lt;&gt;"",COUNTIF(F$4:F$303,F58)&gt;1),"Duplicate Doc ID. ","")))</f>
        <v/>
      </c>
      <c r="S58" s="22" t="n"/>
      <c r="T58" s="23" t="n"/>
    </row>
    <row r="59">
      <c r="A59" s="35" t="n"/>
      <c r="B59" s="22" t="n"/>
      <c r="C59" s="22" t="n"/>
      <c r="D59" s="7">
        <f>IF(A59="","",IF(ISNUMBER(A59),TEXT(A59,"00"),TRIM(A59)))</f>
        <v/>
      </c>
      <c r="E59" s="7">
        <f t="array" ref="E59">IF(OR(D59="",B59=""),"",MAX(IF((D$4:D$303=D59)*(B$4:B$303=B59)*ISNUMBER(C$4:C$303),C$4:C$303,0))+1)</f>
        <v/>
      </c>
      <c r="F59" s="7">
        <f>IF(OR(D59="",B59="",NOT(ISNUMBER(C59))),"",D59&amp;"-"&amp;B59&amp;"-"&amp;TEXT(C59,"000"))</f>
        <v/>
      </c>
      <c r="G59" s="23" t="n"/>
      <c r="H59" s="22" t="n"/>
      <c r="I59" s="24" t="n"/>
      <c r="J59" s="22" t="n"/>
      <c r="K59" s="22" t="n"/>
      <c r="L59" s="22" t="n"/>
      <c r="M59" s="22" t="n"/>
      <c r="N59" s="22" t="n"/>
      <c r="O59" s="7">
        <f>IF(F59="","",F59&amp;"_"&amp;SUBSTITUTE(SUBSTITUTE(SUBSTITUTE(SUBSTITUTE(SUBSTITUTE(SUBSTITUTE(SUBSTITUTE(SUBSTITUTE(SUBSTITUTE(SUBSTITUTE(TRIM(G59)," ","-"),"/","-"),"\","-"),":","-"),"*","-"),"?","-"),"""","-"),"&lt;","-"),"&gt;","-"),"|","-")&amp;IF(H59="","","_Rev"&amp;H59))</f>
        <v/>
      </c>
      <c r="P59" s="7">
        <f>IF(D59="","",IF(L59="Superseded","99 Archive",IF(AND(D59="04",K59&lt;&gt;""),IFERROR(INDEX('Google Drive Map'!$B$4:$B$33,MATCH("04/"&amp;LEFT(K59,2),'Google Drive Map'!$A$4:$A$33,0)),"04 Trades &amp; Tenders/"&amp;K59),IFERROR(INDEX('Google Drive Map'!$B$4:$B$33,MATCH(D59,'Google Drive Map'!$A$4:$A$33,0)),""))))</f>
        <v/>
      </c>
      <c r="Q59" s="7">
        <f>IF(P59="","",IF(IFERROR(INDEX('Google Drive Map'!$G$4:$G$33,MATCH(P59,'Google Drive Map'!$B$4:$B$33,0))&amp;"","")="","",HYPERLINK(INDEX('Google Drive Map'!$G$4:$G$33,MATCH(P59,'Google Drive Map'!$B$4:$B$33,0)),"Open")))</f>
        <v/>
      </c>
      <c r="R59" s="7">
        <f>IF(AND(A59="",B59="",C59=""),"",TRIM(IF(AND(D59&lt;&gt;"",ISNA(MATCH(D59,'Google Drive Map'!$A$4:$A$33,0))),"Folder code isn't on the folder map. ","")&amp;IF(AND(C59&lt;&gt;"",NOT(ISNUMBER(C59))),"No. must be a whole number. ","")&amp;IF(AND(D59&lt;&gt;"",B59&lt;&gt;"",C59=""),"Type the next free no. ","")&amp;IF(AND(F59&lt;&gt;"",COUNTIF(F$4:F$303,F59)&gt;1),"Duplicate Doc ID. ","")))</f>
        <v/>
      </c>
      <c r="S59" s="22" t="n"/>
      <c r="T59" s="23" t="n"/>
    </row>
    <row r="60">
      <c r="A60" s="35" t="n"/>
      <c r="B60" s="22" t="n"/>
      <c r="C60" s="22" t="n"/>
      <c r="D60" s="7">
        <f>IF(A60="","",IF(ISNUMBER(A60),TEXT(A60,"00"),TRIM(A60)))</f>
        <v/>
      </c>
      <c r="E60" s="7">
        <f t="array" ref="E60">IF(OR(D60="",B60=""),"",MAX(IF((D$4:D$303=D60)*(B$4:B$303=B60)*ISNUMBER(C$4:C$303),C$4:C$303,0))+1)</f>
        <v/>
      </c>
      <c r="F60" s="7">
        <f>IF(OR(D60="",B60="",NOT(ISNUMBER(C60))),"",D60&amp;"-"&amp;B60&amp;"-"&amp;TEXT(C60,"000"))</f>
        <v/>
      </c>
      <c r="G60" s="23" t="n"/>
      <c r="H60" s="22" t="n"/>
      <c r="I60" s="24" t="n"/>
      <c r="J60" s="22" t="n"/>
      <c r="K60" s="22" t="n"/>
      <c r="L60" s="22" t="n"/>
      <c r="M60" s="22" t="n"/>
      <c r="N60" s="22" t="n"/>
      <c r="O60" s="7">
        <f>IF(F60="","",F60&amp;"_"&amp;SUBSTITUTE(SUBSTITUTE(SUBSTITUTE(SUBSTITUTE(SUBSTITUTE(SUBSTITUTE(SUBSTITUTE(SUBSTITUTE(SUBSTITUTE(SUBSTITUTE(TRIM(G60)," ","-"),"/","-"),"\","-"),":","-"),"*","-"),"?","-"),"""","-"),"&lt;","-"),"&gt;","-"),"|","-")&amp;IF(H60="","","_Rev"&amp;H60))</f>
        <v/>
      </c>
      <c r="P60" s="7">
        <f>IF(D60="","",IF(L60="Superseded","99 Archive",IF(AND(D60="04",K60&lt;&gt;""),IFERROR(INDEX('Google Drive Map'!$B$4:$B$33,MATCH("04/"&amp;LEFT(K60,2),'Google Drive Map'!$A$4:$A$33,0)),"04 Trades &amp; Tenders/"&amp;K60),IFERROR(INDEX('Google Drive Map'!$B$4:$B$33,MATCH(D60,'Google Drive Map'!$A$4:$A$33,0)),""))))</f>
        <v/>
      </c>
      <c r="Q60" s="7">
        <f>IF(P60="","",IF(IFERROR(INDEX('Google Drive Map'!$G$4:$G$33,MATCH(P60,'Google Drive Map'!$B$4:$B$33,0))&amp;"","")="","",HYPERLINK(INDEX('Google Drive Map'!$G$4:$G$33,MATCH(P60,'Google Drive Map'!$B$4:$B$33,0)),"Open")))</f>
        <v/>
      </c>
      <c r="R60" s="7">
        <f>IF(AND(A60="",B60="",C60=""),"",TRIM(IF(AND(D60&lt;&gt;"",ISNA(MATCH(D60,'Google Drive Map'!$A$4:$A$33,0))),"Folder code isn't on the folder map. ","")&amp;IF(AND(C60&lt;&gt;"",NOT(ISNUMBER(C60))),"No. must be a whole number. ","")&amp;IF(AND(D60&lt;&gt;"",B60&lt;&gt;"",C60=""),"Type the next free no. ","")&amp;IF(AND(F60&lt;&gt;"",COUNTIF(F$4:F$303,F60)&gt;1),"Duplicate Doc ID. ","")))</f>
        <v/>
      </c>
      <c r="S60" s="22" t="n"/>
      <c r="T60" s="23" t="n"/>
    </row>
    <row r="61">
      <c r="A61" s="35" t="n"/>
      <c r="B61" s="22" t="n"/>
      <c r="C61" s="22" t="n"/>
      <c r="D61" s="7">
        <f>IF(A61="","",IF(ISNUMBER(A61),TEXT(A61,"00"),TRIM(A61)))</f>
        <v/>
      </c>
      <c r="E61" s="7">
        <f t="array" ref="E61">IF(OR(D61="",B61=""),"",MAX(IF((D$4:D$303=D61)*(B$4:B$303=B61)*ISNUMBER(C$4:C$303),C$4:C$303,0))+1)</f>
        <v/>
      </c>
      <c r="F61" s="7">
        <f>IF(OR(D61="",B61="",NOT(ISNUMBER(C61))),"",D61&amp;"-"&amp;B61&amp;"-"&amp;TEXT(C61,"000"))</f>
        <v/>
      </c>
      <c r="G61" s="23" t="n"/>
      <c r="H61" s="22" t="n"/>
      <c r="I61" s="24" t="n"/>
      <c r="J61" s="22" t="n"/>
      <c r="K61" s="22" t="n"/>
      <c r="L61" s="22" t="n"/>
      <c r="M61" s="22" t="n"/>
      <c r="N61" s="22" t="n"/>
      <c r="O61" s="7">
        <f>IF(F61="","",F61&amp;"_"&amp;SUBSTITUTE(SUBSTITUTE(SUBSTITUTE(SUBSTITUTE(SUBSTITUTE(SUBSTITUTE(SUBSTITUTE(SUBSTITUTE(SUBSTITUTE(SUBSTITUTE(TRIM(G61)," ","-"),"/","-"),"\","-"),":","-"),"*","-"),"?","-"),"""","-"),"&lt;","-"),"&gt;","-"),"|","-")&amp;IF(H61="","","_Rev"&amp;H61))</f>
        <v/>
      </c>
      <c r="P61" s="7">
        <f>IF(D61="","",IF(L61="Superseded","99 Archive",IF(AND(D61="04",K61&lt;&gt;""),IFERROR(INDEX('Google Drive Map'!$B$4:$B$33,MATCH("04/"&amp;LEFT(K61,2),'Google Drive Map'!$A$4:$A$33,0)),"04 Trades &amp; Tenders/"&amp;K61),IFERROR(INDEX('Google Drive Map'!$B$4:$B$33,MATCH(D61,'Google Drive Map'!$A$4:$A$33,0)),""))))</f>
        <v/>
      </c>
      <c r="Q61" s="7">
        <f>IF(P61="","",IF(IFERROR(INDEX('Google Drive Map'!$G$4:$G$33,MATCH(P61,'Google Drive Map'!$B$4:$B$33,0))&amp;"","")="","",HYPERLINK(INDEX('Google Drive Map'!$G$4:$G$33,MATCH(P61,'Google Drive Map'!$B$4:$B$33,0)),"Open")))</f>
        <v/>
      </c>
      <c r="R61" s="7">
        <f>IF(AND(A61="",B61="",C61=""),"",TRIM(IF(AND(D61&lt;&gt;"",ISNA(MATCH(D61,'Google Drive Map'!$A$4:$A$33,0))),"Folder code isn't on the folder map. ","")&amp;IF(AND(C61&lt;&gt;"",NOT(ISNUMBER(C61))),"No. must be a whole number. ","")&amp;IF(AND(D61&lt;&gt;"",B61&lt;&gt;"",C61=""),"Type the next free no. ","")&amp;IF(AND(F61&lt;&gt;"",COUNTIF(F$4:F$303,F61)&gt;1),"Duplicate Doc ID. ","")))</f>
        <v/>
      </c>
      <c r="S61" s="22" t="n"/>
      <c r="T61" s="23" t="n"/>
    </row>
    <row r="62">
      <c r="A62" s="35" t="n"/>
      <c r="B62" s="22" t="n"/>
      <c r="C62" s="22" t="n"/>
      <c r="D62" s="7">
        <f>IF(A62="","",IF(ISNUMBER(A62),TEXT(A62,"00"),TRIM(A62)))</f>
        <v/>
      </c>
      <c r="E62" s="7">
        <f t="array" ref="E62">IF(OR(D62="",B62=""),"",MAX(IF((D$4:D$303=D62)*(B$4:B$303=B62)*ISNUMBER(C$4:C$303),C$4:C$303,0))+1)</f>
        <v/>
      </c>
      <c r="F62" s="7">
        <f>IF(OR(D62="",B62="",NOT(ISNUMBER(C62))),"",D62&amp;"-"&amp;B62&amp;"-"&amp;TEXT(C62,"000"))</f>
        <v/>
      </c>
      <c r="G62" s="23" t="n"/>
      <c r="H62" s="22" t="n"/>
      <c r="I62" s="24" t="n"/>
      <c r="J62" s="22" t="n"/>
      <c r="K62" s="22" t="n"/>
      <c r="L62" s="22" t="n"/>
      <c r="M62" s="22" t="n"/>
      <c r="N62" s="22" t="n"/>
      <c r="O62" s="7">
        <f>IF(F62="","",F62&amp;"_"&amp;SUBSTITUTE(SUBSTITUTE(SUBSTITUTE(SUBSTITUTE(SUBSTITUTE(SUBSTITUTE(SUBSTITUTE(SUBSTITUTE(SUBSTITUTE(SUBSTITUTE(TRIM(G62)," ","-"),"/","-"),"\","-"),":","-"),"*","-"),"?","-"),"""","-"),"&lt;","-"),"&gt;","-"),"|","-")&amp;IF(H62="","","_Rev"&amp;H62))</f>
        <v/>
      </c>
      <c r="P62" s="7">
        <f>IF(D62="","",IF(L62="Superseded","99 Archive",IF(AND(D62="04",K62&lt;&gt;""),IFERROR(INDEX('Google Drive Map'!$B$4:$B$33,MATCH("04/"&amp;LEFT(K62,2),'Google Drive Map'!$A$4:$A$33,0)),"04 Trades &amp; Tenders/"&amp;K62),IFERROR(INDEX('Google Drive Map'!$B$4:$B$33,MATCH(D62,'Google Drive Map'!$A$4:$A$33,0)),""))))</f>
        <v/>
      </c>
      <c r="Q62" s="7">
        <f>IF(P62="","",IF(IFERROR(INDEX('Google Drive Map'!$G$4:$G$33,MATCH(P62,'Google Drive Map'!$B$4:$B$33,0))&amp;"","")="","",HYPERLINK(INDEX('Google Drive Map'!$G$4:$G$33,MATCH(P62,'Google Drive Map'!$B$4:$B$33,0)),"Open")))</f>
        <v/>
      </c>
      <c r="R62" s="7">
        <f>IF(AND(A62="",B62="",C62=""),"",TRIM(IF(AND(D62&lt;&gt;"",ISNA(MATCH(D62,'Google Drive Map'!$A$4:$A$33,0))),"Folder code isn't on the folder map. ","")&amp;IF(AND(C62&lt;&gt;"",NOT(ISNUMBER(C62))),"No. must be a whole number. ","")&amp;IF(AND(D62&lt;&gt;"",B62&lt;&gt;"",C62=""),"Type the next free no. ","")&amp;IF(AND(F62&lt;&gt;"",COUNTIF(F$4:F$303,F62)&gt;1),"Duplicate Doc ID. ","")))</f>
        <v/>
      </c>
      <c r="S62" s="22" t="n"/>
      <c r="T62" s="23" t="n"/>
    </row>
    <row r="63">
      <c r="A63" s="35" t="n"/>
      <c r="B63" s="22" t="n"/>
      <c r="C63" s="22" t="n"/>
      <c r="D63" s="7">
        <f>IF(A63="","",IF(ISNUMBER(A63),TEXT(A63,"00"),TRIM(A63)))</f>
        <v/>
      </c>
      <c r="E63" s="7">
        <f t="array" ref="E63">IF(OR(D63="",B63=""),"",MAX(IF((D$4:D$303=D63)*(B$4:B$303=B63)*ISNUMBER(C$4:C$303),C$4:C$303,0))+1)</f>
        <v/>
      </c>
      <c r="F63" s="7">
        <f>IF(OR(D63="",B63="",NOT(ISNUMBER(C63))),"",D63&amp;"-"&amp;B63&amp;"-"&amp;TEXT(C63,"000"))</f>
        <v/>
      </c>
      <c r="G63" s="23" t="n"/>
      <c r="H63" s="22" t="n"/>
      <c r="I63" s="24" t="n"/>
      <c r="J63" s="22" t="n"/>
      <c r="K63" s="22" t="n"/>
      <c r="L63" s="22" t="n"/>
      <c r="M63" s="22" t="n"/>
      <c r="N63" s="22" t="n"/>
      <c r="O63" s="7">
        <f>IF(F63="","",F63&amp;"_"&amp;SUBSTITUTE(SUBSTITUTE(SUBSTITUTE(SUBSTITUTE(SUBSTITUTE(SUBSTITUTE(SUBSTITUTE(SUBSTITUTE(SUBSTITUTE(SUBSTITUTE(TRIM(G63)," ","-"),"/","-"),"\","-"),":","-"),"*","-"),"?","-"),"""","-"),"&lt;","-"),"&gt;","-"),"|","-")&amp;IF(H63="","","_Rev"&amp;H63))</f>
        <v/>
      </c>
      <c r="P63" s="7">
        <f>IF(D63="","",IF(L63="Superseded","99 Archive",IF(AND(D63="04",K63&lt;&gt;""),IFERROR(INDEX('Google Drive Map'!$B$4:$B$33,MATCH("04/"&amp;LEFT(K63,2),'Google Drive Map'!$A$4:$A$33,0)),"04 Trades &amp; Tenders/"&amp;K63),IFERROR(INDEX('Google Drive Map'!$B$4:$B$33,MATCH(D63,'Google Drive Map'!$A$4:$A$33,0)),""))))</f>
        <v/>
      </c>
      <c r="Q63" s="7">
        <f>IF(P63="","",IF(IFERROR(INDEX('Google Drive Map'!$G$4:$G$33,MATCH(P63,'Google Drive Map'!$B$4:$B$33,0))&amp;"","")="","",HYPERLINK(INDEX('Google Drive Map'!$G$4:$G$33,MATCH(P63,'Google Drive Map'!$B$4:$B$33,0)),"Open")))</f>
        <v/>
      </c>
      <c r="R63" s="7">
        <f>IF(AND(A63="",B63="",C63=""),"",TRIM(IF(AND(D63&lt;&gt;"",ISNA(MATCH(D63,'Google Drive Map'!$A$4:$A$33,0))),"Folder code isn't on the folder map. ","")&amp;IF(AND(C63&lt;&gt;"",NOT(ISNUMBER(C63))),"No. must be a whole number. ","")&amp;IF(AND(D63&lt;&gt;"",B63&lt;&gt;"",C63=""),"Type the next free no. ","")&amp;IF(AND(F63&lt;&gt;"",COUNTIF(F$4:F$303,F63)&gt;1),"Duplicate Doc ID. ","")))</f>
        <v/>
      </c>
      <c r="S63" s="22" t="n"/>
      <c r="T63" s="23" t="n"/>
    </row>
    <row r="64">
      <c r="A64" s="35" t="n"/>
      <c r="B64" s="22" t="n"/>
      <c r="C64" s="22" t="n"/>
      <c r="D64" s="7">
        <f>IF(A64="","",IF(ISNUMBER(A64),TEXT(A64,"00"),TRIM(A64)))</f>
        <v/>
      </c>
      <c r="E64" s="7">
        <f t="array" ref="E64">IF(OR(D64="",B64=""),"",MAX(IF((D$4:D$303=D64)*(B$4:B$303=B64)*ISNUMBER(C$4:C$303),C$4:C$303,0))+1)</f>
        <v/>
      </c>
      <c r="F64" s="7">
        <f>IF(OR(D64="",B64="",NOT(ISNUMBER(C64))),"",D64&amp;"-"&amp;B64&amp;"-"&amp;TEXT(C64,"000"))</f>
        <v/>
      </c>
      <c r="G64" s="23" t="n"/>
      <c r="H64" s="22" t="n"/>
      <c r="I64" s="24" t="n"/>
      <c r="J64" s="22" t="n"/>
      <c r="K64" s="22" t="n"/>
      <c r="L64" s="22" t="n"/>
      <c r="M64" s="22" t="n"/>
      <c r="N64" s="22" t="n"/>
      <c r="O64" s="7">
        <f>IF(F64="","",F64&amp;"_"&amp;SUBSTITUTE(SUBSTITUTE(SUBSTITUTE(SUBSTITUTE(SUBSTITUTE(SUBSTITUTE(SUBSTITUTE(SUBSTITUTE(SUBSTITUTE(SUBSTITUTE(TRIM(G64)," ","-"),"/","-"),"\","-"),":","-"),"*","-"),"?","-"),"""","-"),"&lt;","-"),"&gt;","-"),"|","-")&amp;IF(H64="","","_Rev"&amp;H64))</f>
        <v/>
      </c>
      <c r="P64" s="7">
        <f>IF(D64="","",IF(L64="Superseded","99 Archive",IF(AND(D64="04",K64&lt;&gt;""),IFERROR(INDEX('Google Drive Map'!$B$4:$B$33,MATCH("04/"&amp;LEFT(K64,2),'Google Drive Map'!$A$4:$A$33,0)),"04 Trades &amp; Tenders/"&amp;K64),IFERROR(INDEX('Google Drive Map'!$B$4:$B$33,MATCH(D64,'Google Drive Map'!$A$4:$A$33,0)),""))))</f>
        <v/>
      </c>
      <c r="Q64" s="7">
        <f>IF(P64="","",IF(IFERROR(INDEX('Google Drive Map'!$G$4:$G$33,MATCH(P64,'Google Drive Map'!$B$4:$B$33,0))&amp;"","")="","",HYPERLINK(INDEX('Google Drive Map'!$G$4:$G$33,MATCH(P64,'Google Drive Map'!$B$4:$B$33,0)),"Open")))</f>
        <v/>
      </c>
      <c r="R64" s="7">
        <f>IF(AND(A64="",B64="",C64=""),"",TRIM(IF(AND(D64&lt;&gt;"",ISNA(MATCH(D64,'Google Drive Map'!$A$4:$A$33,0))),"Folder code isn't on the folder map. ","")&amp;IF(AND(C64&lt;&gt;"",NOT(ISNUMBER(C64))),"No. must be a whole number. ","")&amp;IF(AND(D64&lt;&gt;"",B64&lt;&gt;"",C64=""),"Type the next free no. ","")&amp;IF(AND(F64&lt;&gt;"",COUNTIF(F$4:F$303,F64)&gt;1),"Duplicate Doc ID. ","")))</f>
        <v/>
      </c>
      <c r="S64" s="22" t="n"/>
      <c r="T64" s="23" t="n"/>
    </row>
    <row r="65">
      <c r="A65" s="35" t="n"/>
      <c r="B65" s="22" t="n"/>
      <c r="C65" s="22" t="n"/>
      <c r="D65" s="7">
        <f>IF(A65="","",IF(ISNUMBER(A65),TEXT(A65,"00"),TRIM(A65)))</f>
        <v/>
      </c>
      <c r="E65" s="7">
        <f t="array" ref="E65">IF(OR(D65="",B65=""),"",MAX(IF((D$4:D$303=D65)*(B$4:B$303=B65)*ISNUMBER(C$4:C$303),C$4:C$303,0))+1)</f>
        <v/>
      </c>
      <c r="F65" s="7">
        <f>IF(OR(D65="",B65="",NOT(ISNUMBER(C65))),"",D65&amp;"-"&amp;B65&amp;"-"&amp;TEXT(C65,"000"))</f>
        <v/>
      </c>
      <c r="G65" s="23" t="n"/>
      <c r="H65" s="22" t="n"/>
      <c r="I65" s="24" t="n"/>
      <c r="J65" s="22" t="n"/>
      <c r="K65" s="22" t="n"/>
      <c r="L65" s="22" t="n"/>
      <c r="M65" s="22" t="n"/>
      <c r="N65" s="22" t="n"/>
      <c r="O65" s="7">
        <f>IF(F65="","",F65&amp;"_"&amp;SUBSTITUTE(SUBSTITUTE(SUBSTITUTE(SUBSTITUTE(SUBSTITUTE(SUBSTITUTE(SUBSTITUTE(SUBSTITUTE(SUBSTITUTE(SUBSTITUTE(TRIM(G65)," ","-"),"/","-"),"\","-"),":","-"),"*","-"),"?","-"),"""","-"),"&lt;","-"),"&gt;","-"),"|","-")&amp;IF(H65="","","_Rev"&amp;H65))</f>
        <v/>
      </c>
      <c r="P65" s="7">
        <f>IF(D65="","",IF(L65="Superseded","99 Archive",IF(AND(D65="04",K65&lt;&gt;""),IFERROR(INDEX('Google Drive Map'!$B$4:$B$33,MATCH("04/"&amp;LEFT(K65,2),'Google Drive Map'!$A$4:$A$33,0)),"04 Trades &amp; Tenders/"&amp;K65),IFERROR(INDEX('Google Drive Map'!$B$4:$B$33,MATCH(D65,'Google Drive Map'!$A$4:$A$33,0)),""))))</f>
        <v/>
      </c>
      <c r="Q65" s="7">
        <f>IF(P65="","",IF(IFERROR(INDEX('Google Drive Map'!$G$4:$G$33,MATCH(P65,'Google Drive Map'!$B$4:$B$33,0))&amp;"","")="","",HYPERLINK(INDEX('Google Drive Map'!$G$4:$G$33,MATCH(P65,'Google Drive Map'!$B$4:$B$33,0)),"Open")))</f>
        <v/>
      </c>
      <c r="R65" s="7">
        <f>IF(AND(A65="",B65="",C65=""),"",TRIM(IF(AND(D65&lt;&gt;"",ISNA(MATCH(D65,'Google Drive Map'!$A$4:$A$33,0))),"Folder code isn't on the folder map. ","")&amp;IF(AND(C65&lt;&gt;"",NOT(ISNUMBER(C65))),"No. must be a whole number. ","")&amp;IF(AND(D65&lt;&gt;"",B65&lt;&gt;"",C65=""),"Type the next free no. ","")&amp;IF(AND(F65&lt;&gt;"",COUNTIF(F$4:F$303,F65)&gt;1),"Duplicate Doc ID. ","")))</f>
        <v/>
      </c>
      <c r="S65" s="22" t="n"/>
      <c r="T65" s="23" t="n"/>
    </row>
    <row r="66">
      <c r="A66" s="35" t="n"/>
      <c r="B66" s="22" t="n"/>
      <c r="C66" s="22" t="n"/>
      <c r="D66" s="7">
        <f>IF(A66="","",IF(ISNUMBER(A66),TEXT(A66,"00"),TRIM(A66)))</f>
        <v/>
      </c>
      <c r="E66" s="7">
        <f t="array" ref="E66">IF(OR(D66="",B66=""),"",MAX(IF((D$4:D$303=D66)*(B$4:B$303=B66)*ISNUMBER(C$4:C$303),C$4:C$303,0))+1)</f>
        <v/>
      </c>
      <c r="F66" s="7">
        <f>IF(OR(D66="",B66="",NOT(ISNUMBER(C66))),"",D66&amp;"-"&amp;B66&amp;"-"&amp;TEXT(C66,"000"))</f>
        <v/>
      </c>
      <c r="G66" s="23" t="n"/>
      <c r="H66" s="22" t="n"/>
      <c r="I66" s="24" t="n"/>
      <c r="J66" s="22" t="n"/>
      <c r="K66" s="22" t="n"/>
      <c r="L66" s="22" t="n"/>
      <c r="M66" s="22" t="n"/>
      <c r="N66" s="22" t="n"/>
      <c r="O66" s="7">
        <f>IF(F66="","",F66&amp;"_"&amp;SUBSTITUTE(SUBSTITUTE(SUBSTITUTE(SUBSTITUTE(SUBSTITUTE(SUBSTITUTE(SUBSTITUTE(SUBSTITUTE(SUBSTITUTE(SUBSTITUTE(TRIM(G66)," ","-"),"/","-"),"\","-"),":","-"),"*","-"),"?","-"),"""","-"),"&lt;","-"),"&gt;","-"),"|","-")&amp;IF(H66="","","_Rev"&amp;H66))</f>
        <v/>
      </c>
      <c r="P66" s="7">
        <f>IF(D66="","",IF(L66="Superseded","99 Archive",IF(AND(D66="04",K66&lt;&gt;""),IFERROR(INDEX('Google Drive Map'!$B$4:$B$33,MATCH("04/"&amp;LEFT(K66,2),'Google Drive Map'!$A$4:$A$33,0)),"04 Trades &amp; Tenders/"&amp;K66),IFERROR(INDEX('Google Drive Map'!$B$4:$B$33,MATCH(D66,'Google Drive Map'!$A$4:$A$33,0)),""))))</f>
        <v/>
      </c>
      <c r="Q66" s="7">
        <f>IF(P66="","",IF(IFERROR(INDEX('Google Drive Map'!$G$4:$G$33,MATCH(P66,'Google Drive Map'!$B$4:$B$33,0))&amp;"","")="","",HYPERLINK(INDEX('Google Drive Map'!$G$4:$G$33,MATCH(P66,'Google Drive Map'!$B$4:$B$33,0)),"Open")))</f>
        <v/>
      </c>
      <c r="R66" s="7">
        <f>IF(AND(A66="",B66="",C66=""),"",TRIM(IF(AND(D66&lt;&gt;"",ISNA(MATCH(D66,'Google Drive Map'!$A$4:$A$33,0))),"Folder code isn't on the folder map. ","")&amp;IF(AND(C66&lt;&gt;"",NOT(ISNUMBER(C66))),"No. must be a whole number. ","")&amp;IF(AND(D66&lt;&gt;"",B66&lt;&gt;"",C66=""),"Type the next free no. ","")&amp;IF(AND(F66&lt;&gt;"",COUNTIF(F$4:F$303,F66)&gt;1),"Duplicate Doc ID. ","")))</f>
        <v/>
      </c>
      <c r="S66" s="22" t="n"/>
      <c r="T66" s="23" t="n"/>
    </row>
    <row r="67">
      <c r="A67" s="35" t="n"/>
      <c r="B67" s="22" t="n"/>
      <c r="C67" s="22" t="n"/>
      <c r="D67" s="7">
        <f>IF(A67="","",IF(ISNUMBER(A67),TEXT(A67,"00"),TRIM(A67)))</f>
        <v/>
      </c>
      <c r="E67" s="7">
        <f t="array" ref="E67">IF(OR(D67="",B67=""),"",MAX(IF((D$4:D$303=D67)*(B$4:B$303=B67)*ISNUMBER(C$4:C$303),C$4:C$303,0))+1)</f>
        <v/>
      </c>
      <c r="F67" s="7">
        <f>IF(OR(D67="",B67="",NOT(ISNUMBER(C67))),"",D67&amp;"-"&amp;B67&amp;"-"&amp;TEXT(C67,"000"))</f>
        <v/>
      </c>
      <c r="G67" s="23" t="n"/>
      <c r="H67" s="22" t="n"/>
      <c r="I67" s="24" t="n"/>
      <c r="J67" s="22" t="n"/>
      <c r="K67" s="22" t="n"/>
      <c r="L67" s="22" t="n"/>
      <c r="M67" s="22" t="n"/>
      <c r="N67" s="22" t="n"/>
      <c r="O67" s="7">
        <f>IF(F67="","",F67&amp;"_"&amp;SUBSTITUTE(SUBSTITUTE(SUBSTITUTE(SUBSTITUTE(SUBSTITUTE(SUBSTITUTE(SUBSTITUTE(SUBSTITUTE(SUBSTITUTE(SUBSTITUTE(TRIM(G67)," ","-"),"/","-"),"\","-"),":","-"),"*","-"),"?","-"),"""","-"),"&lt;","-"),"&gt;","-"),"|","-")&amp;IF(H67="","","_Rev"&amp;H67))</f>
        <v/>
      </c>
      <c r="P67" s="7">
        <f>IF(D67="","",IF(L67="Superseded","99 Archive",IF(AND(D67="04",K67&lt;&gt;""),IFERROR(INDEX('Google Drive Map'!$B$4:$B$33,MATCH("04/"&amp;LEFT(K67,2),'Google Drive Map'!$A$4:$A$33,0)),"04 Trades &amp; Tenders/"&amp;K67),IFERROR(INDEX('Google Drive Map'!$B$4:$B$33,MATCH(D67,'Google Drive Map'!$A$4:$A$33,0)),""))))</f>
        <v/>
      </c>
      <c r="Q67" s="7">
        <f>IF(P67="","",IF(IFERROR(INDEX('Google Drive Map'!$G$4:$G$33,MATCH(P67,'Google Drive Map'!$B$4:$B$33,0))&amp;"","")="","",HYPERLINK(INDEX('Google Drive Map'!$G$4:$G$33,MATCH(P67,'Google Drive Map'!$B$4:$B$33,0)),"Open")))</f>
        <v/>
      </c>
      <c r="R67" s="7">
        <f>IF(AND(A67="",B67="",C67=""),"",TRIM(IF(AND(D67&lt;&gt;"",ISNA(MATCH(D67,'Google Drive Map'!$A$4:$A$33,0))),"Folder code isn't on the folder map. ","")&amp;IF(AND(C67&lt;&gt;"",NOT(ISNUMBER(C67))),"No. must be a whole number. ","")&amp;IF(AND(D67&lt;&gt;"",B67&lt;&gt;"",C67=""),"Type the next free no. ","")&amp;IF(AND(F67&lt;&gt;"",COUNTIF(F$4:F$303,F67)&gt;1),"Duplicate Doc ID. ","")))</f>
        <v/>
      </c>
      <c r="S67" s="22" t="n"/>
      <c r="T67" s="23" t="n"/>
    </row>
    <row r="68">
      <c r="A68" s="35" t="n"/>
      <c r="B68" s="22" t="n"/>
      <c r="C68" s="22" t="n"/>
      <c r="D68" s="7">
        <f>IF(A68="","",IF(ISNUMBER(A68),TEXT(A68,"00"),TRIM(A68)))</f>
        <v/>
      </c>
      <c r="E68" s="7">
        <f t="array" ref="E68">IF(OR(D68="",B68=""),"",MAX(IF((D$4:D$303=D68)*(B$4:B$303=B68)*ISNUMBER(C$4:C$303),C$4:C$303,0))+1)</f>
        <v/>
      </c>
      <c r="F68" s="7">
        <f>IF(OR(D68="",B68="",NOT(ISNUMBER(C68))),"",D68&amp;"-"&amp;B68&amp;"-"&amp;TEXT(C68,"000"))</f>
        <v/>
      </c>
      <c r="G68" s="23" t="n"/>
      <c r="H68" s="22" t="n"/>
      <c r="I68" s="24" t="n"/>
      <c r="J68" s="22" t="n"/>
      <c r="K68" s="22" t="n"/>
      <c r="L68" s="22" t="n"/>
      <c r="M68" s="22" t="n"/>
      <c r="N68" s="22" t="n"/>
      <c r="O68" s="7">
        <f>IF(F68="","",F68&amp;"_"&amp;SUBSTITUTE(SUBSTITUTE(SUBSTITUTE(SUBSTITUTE(SUBSTITUTE(SUBSTITUTE(SUBSTITUTE(SUBSTITUTE(SUBSTITUTE(SUBSTITUTE(TRIM(G68)," ","-"),"/","-"),"\","-"),":","-"),"*","-"),"?","-"),"""","-"),"&lt;","-"),"&gt;","-"),"|","-")&amp;IF(H68="","","_Rev"&amp;H68))</f>
        <v/>
      </c>
      <c r="P68" s="7">
        <f>IF(D68="","",IF(L68="Superseded","99 Archive",IF(AND(D68="04",K68&lt;&gt;""),IFERROR(INDEX('Google Drive Map'!$B$4:$B$33,MATCH("04/"&amp;LEFT(K68,2),'Google Drive Map'!$A$4:$A$33,0)),"04 Trades &amp; Tenders/"&amp;K68),IFERROR(INDEX('Google Drive Map'!$B$4:$B$33,MATCH(D68,'Google Drive Map'!$A$4:$A$33,0)),""))))</f>
        <v/>
      </c>
      <c r="Q68" s="7">
        <f>IF(P68="","",IF(IFERROR(INDEX('Google Drive Map'!$G$4:$G$33,MATCH(P68,'Google Drive Map'!$B$4:$B$33,0))&amp;"","")="","",HYPERLINK(INDEX('Google Drive Map'!$G$4:$G$33,MATCH(P68,'Google Drive Map'!$B$4:$B$33,0)),"Open")))</f>
        <v/>
      </c>
      <c r="R68" s="7">
        <f>IF(AND(A68="",B68="",C68=""),"",TRIM(IF(AND(D68&lt;&gt;"",ISNA(MATCH(D68,'Google Drive Map'!$A$4:$A$33,0))),"Folder code isn't on the folder map. ","")&amp;IF(AND(C68&lt;&gt;"",NOT(ISNUMBER(C68))),"No. must be a whole number. ","")&amp;IF(AND(D68&lt;&gt;"",B68&lt;&gt;"",C68=""),"Type the next free no. ","")&amp;IF(AND(F68&lt;&gt;"",COUNTIF(F$4:F$303,F68)&gt;1),"Duplicate Doc ID. ","")))</f>
        <v/>
      </c>
      <c r="S68" s="22" t="n"/>
      <c r="T68" s="23" t="n"/>
    </row>
    <row r="69">
      <c r="A69" s="35" t="n"/>
      <c r="B69" s="22" t="n"/>
      <c r="C69" s="22" t="n"/>
      <c r="D69" s="7">
        <f>IF(A69="","",IF(ISNUMBER(A69),TEXT(A69,"00"),TRIM(A69)))</f>
        <v/>
      </c>
      <c r="E69" s="7">
        <f t="array" ref="E69">IF(OR(D69="",B69=""),"",MAX(IF((D$4:D$303=D69)*(B$4:B$303=B69)*ISNUMBER(C$4:C$303),C$4:C$303,0))+1)</f>
        <v/>
      </c>
      <c r="F69" s="7">
        <f>IF(OR(D69="",B69="",NOT(ISNUMBER(C69))),"",D69&amp;"-"&amp;B69&amp;"-"&amp;TEXT(C69,"000"))</f>
        <v/>
      </c>
      <c r="G69" s="23" t="n"/>
      <c r="H69" s="22" t="n"/>
      <c r="I69" s="24" t="n"/>
      <c r="J69" s="22" t="n"/>
      <c r="K69" s="22" t="n"/>
      <c r="L69" s="22" t="n"/>
      <c r="M69" s="22" t="n"/>
      <c r="N69" s="22" t="n"/>
      <c r="O69" s="7">
        <f>IF(F69="","",F69&amp;"_"&amp;SUBSTITUTE(SUBSTITUTE(SUBSTITUTE(SUBSTITUTE(SUBSTITUTE(SUBSTITUTE(SUBSTITUTE(SUBSTITUTE(SUBSTITUTE(SUBSTITUTE(TRIM(G69)," ","-"),"/","-"),"\","-"),":","-"),"*","-"),"?","-"),"""","-"),"&lt;","-"),"&gt;","-"),"|","-")&amp;IF(H69="","","_Rev"&amp;H69))</f>
        <v/>
      </c>
      <c r="P69" s="7">
        <f>IF(D69="","",IF(L69="Superseded","99 Archive",IF(AND(D69="04",K69&lt;&gt;""),IFERROR(INDEX('Google Drive Map'!$B$4:$B$33,MATCH("04/"&amp;LEFT(K69,2),'Google Drive Map'!$A$4:$A$33,0)),"04 Trades &amp; Tenders/"&amp;K69),IFERROR(INDEX('Google Drive Map'!$B$4:$B$33,MATCH(D69,'Google Drive Map'!$A$4:$A$33,0)),""))))</f>
        <v/>
      </c>
      <c r="Q69" s="7">
        <f>IF(P69="","",IF(IFERROR(INDEX('Google Drive Map'!$G$4:$G$33,MATCH(P69,'Google Drive Map'!$B$4:$B$33,0))&amp;"","")="","",HYPERLINK(INDEX('Google Drive Map'!$G$4:$G$33,MATCH(P69,'Google Drive Map'!$B$4:$B$33,0)),"Open")))</f>
        <v/>
      </c>
      <c r="R69" s="7">
        <f>IF(AND(A69="",B69="",C69=""),"",TRIM(IF(AND(D69&lt;&gt;"",ISNA(MATCH(D69,'Google Drive Map'!$A$4:$A$33,0))),"Folder code isn't on the folder map. ","")&amp;IF(AND(C69&lt;&gt;"",NOT(ISNUMBER(C69))),"No. must be a whole number. ","")&amp;IF(AND(D69&lt;&gt;"",B69&lt;&gt;"",C69=""),"Type the next free no. ","")&amp;IF(AND(F69&lt;&gt;"",COUNTIF(F$4:F$303,F69)&gt;1),"Duplicate Doc ID. ","")))</f>
        <v/>
      </c>
      <c r="S69" s="22" t="n"/>
      <c r="T69" s="23" t="n"/>
    </row>
    <row r="70">
      <c r="A70" s="35" t="n"/>
      <c r="B70" s="22" t="n"/>
      <c r="C70" s="22" t="n"/>
      <c r="D70" s="7">
        <f>IF(A70="","",IF(ISNUMBER(A70),TEXT(A70,"00"),TRIM(A70)))</f>
        <v/>
      </c>
      <c r="E70" s="7">
        <f t="array" ref="E70">IF(OR(D70="",B70=""),"",MAX(IF((D$4:D$303=D70)*(B$4:B$303=B70)*ISNUMBER(C$4:C$303),C$4:C$303,0))+1)</f>
        <v/>
      </c>
      <c r="F70" s="7">
        <f>IF(OR(D70="",B70="",NOT(ISNUMBER(C70))),"",D70&amp;"-"&amp;B70&amp;"-"&amp;TEXT(C70,"000"))</f>
        <v/>
      </c>
      <c r="G70" s="23" t="n"/>
      <c r="H70" s="22" t="n"/>
      <c r="I70" s="24" t="n"/>
      <c r="J70" s="22" t="n"/>
      <c r="K70" s="22" t="n"/>
      <c r="L70" s="22" t="n"/>
      <c r="M70" s="22" t="n"/>
      <c r="N70" s="22" t="n"/>
      <c r="O70" s="7">
        <f>IF(F70="","",F70&amp;"_"&amp;SUBSTITUTE(SUBSTITUTE(SUBSTITUTE(SUBSTITUTE(SUBSTITUTE(SUBSTITUTE(SUBSTITUTE(SUBSTITUTE(SUBSTITUTE(SUBSTITUTE(TRIM(G70)," ","-"),"/","-"),"\","-"),":","-"),"*","-"),"?","-"),"""","-"),"&lt;","-"),"&gt;","-"),"|","-")&amp;IF(H70="","","_Rev"&amp;H70))</f>
        <v/>
      </c>
      <c r="P70" s="7">
        <f>IF(D70="","",IF(L70="Superseded","99 Archive",IF(AND(D70="04",K70&lt;&gt;""),IFERROR(INDEX('Google Drive Map'!$B$4:$B$33,MATCH("04/"&amp;LEFT(K70,2),'Google Drive Map'!$A$4:$A$33,0)),"04 Trades &amp; Tenders/"&amp;K70),IFERROR(INDEX('Google Drive Map'!$B$4:$B$33,MATCH(D70,'Google Drive Map'!$A$4:$A$33,0)),""))))</f>
        <v/>
      </c>
      <c r="Q70" s="7">
        <f>IF(P70="","",IF(IFERROR(INDEX('Google Drive Map'!$G$4:$G$33,MATCH(P70,'Google Drive Map'!$B$4:$B$33,0))&amp;"","")="","",HYPERLINK(INDEX('Google Drive Map'!$G$4:$G$33,MATCH(P70,'Google Drive Map'!$B$4:$B$33,0)),"Open")))</f>
        <v/>
      </c>
      <c r="R70" s="7">
        <f>IF(AND(A70="",B70="",C70=""),"",TRIM(IF(AND(D70&lt;&gt;"",ISNA(MATCH(D70,'Google Drive Map'!$A$4:$A$33,0))),"Folder code isn't on the folder map. ","")&amp;IF(AND(C70&lt;&gt;"",NOT(ISNUMBER(C70))),"No. must be a whole number. ","")&amp;IF(AND(D70&lt;&gt;"",B70&lt;&gt;"",C70=""),"Type the next free no. ","")&amp;IF(AND(F70&lt;&gt;"",COUNTIF(F$4:F$303,F70)&gt;1),"Duplicate Doc ID. ","")))</f>
        <v/>
      </c>
      <c r="S70" s="22" t="n"/>
      <c r="T70" s="23" t="n"/>
    </row>
    <row r="71">
      <c r="A71" s="35" t="n"/>
      <c r="B71" s="22" t="n"/>
      <c r="C71" s="22" t="n"/>
      <c r="D71" s="7">
        <f>IF(A71="","",IF(ISNUMBER(A71),TEXT(A71,"00"),TRIM(A71)))</f>
        <v/>
      </c>
      <c r="E71" s="7">
        <f t="array" ref="E71">IF(OR(D71="",B71=""),"",MAX(IF((D$4:D$303=D71)*(B$4:B$303=B71)*ISNUMBER(C$4:C$303),C$4:C$303,0))+1)</f>
        <v/>
      </c>
      <c r="F71" s="7">
        <f>IF(OR(D71="",B71="",NOT(ISNUMBER(C71))),"",D71&amp;"-"&amp;B71&amp;"-"&amp;TEXT(C71,"000"))</f>
        <v/>
      </c>
      <c r="G71" s="23" t="n"/>
      <c r="H71" s="22" t="n"/>
      <c r="I71" s="24" t="n"/>
      <c r="J71" s="22" t="n"/>
      <c r="K71" s="22" t="n"/>
      <c r="L71" s="22" t="n"/>
      <c r="M71" s="22" t="n"/>
      <c r="N71" s="22" t="n"/>
      <c r="O71" s="7">
        <f>IF(F71="","",F71&amp;"_"&amp;SUBSTITUTE(SUBSTITUTE(SUBSTITUTE(SUBSTITUTE(SUBSTITUTE(SUBSTITUTE(SUBSTITUTE(SUBSTITUTE(SUBSTITUTE(SUBSTITUTE(TRIM(G71)," ","-"),"/","-"),"\","-"),":","-"),"*","-"),"?","-"),"""","-"),"&lt;","-"),"&gt;","-"),"|","-")&amp;IF(H71="","","_Rev"&amp;H71))</f>
        <v/>
      </c>
      <c r="P71" s="7">
        <f>IF(D71="","",IF(L71="Superseded","99 Archive",IF(AND(D71="04",K71&lt;&gt;""),IFERROR(INDEX('Google Drive Map'!$B$4:$B$33,MATCH("04/"&amp;LEFT(K71,2),'Google Drive Map'!$A$4:$A$33,0)),"04 Trades &amp; Tenders/"&amp;K71),IFERROR(INDEX('Google Drive Map'!$B$4:$B$33,MATCH(D71,'Google Drive Map'!$A$4:$A$33,0)),""))))</f>
        <v/>
      </c>
      <c r="Q71" s="7">
        <f>IF(P71="","",IF(IFERROR(INDEX('Google Drive Map'!$G$4:$G$33,MATCH(P71,'Google Drive Map'!$B$4:$B$33,0))&amp;"","")="","",HYPERLINK(INDEX('Google Drive Map'!$G$4:$G$33,MATCH(P71,'Google Drive Map'!$B$4:$B$33,0)),"Open")))</f>
        <v/>
      </c>
      <c r="R71" s="7">
        <f>IF(AND(A71="",B71="",C71=""),"",TRIM(IF(AND(D71&lt;&gt;"",ISNA(MATCH(D71,'Google Drive Map'!$A$4:$A$33,0))),"Folder code isn't on the folder map. ","")&amp;IF(AND(C71&lt;&gt;"",NOT(ISNUMBER(C71))),"No. must be a whole number. ","")&amp;IF(AND(D71&lt;&gt;"",B71&lt;&gt;"",C71=""),"Type the next free no. ","")&amp;IF(AND(F71&lt;&gt;"",COUNTIF(F$4:F$303,F71)&gt;1),"Duplicate Doc ID. ","")))</f>
        <v/>
      </c>
      <c r="S71" s="22" t="n"/>
      <c r="T71" s="23" t="n"/>
    </row>
    <row r="72">
      <c r="A72" s="35" t="n"/>
      <c r="B72" s="22" t="n"/>
      <c r="C72" s="22" t="n"/>
      <c r="D72" s="7">
        <f>IF(A72="","",IF(ISNUMBER(A72),TEXT(A72,"00"),TRIM(A72)))</f>
        <v/>
      </c>
      <c r="E72" s="7">
        <f t="array" ref="E72">IF(OR(D72="",B72=""),"",MAX(IF((D$4:D$303=D72)*(B$4:B$303=B72)*ISNUMBER(C$4:C$303),C$4:C$303,0))+1)</f>
        <v/>
      </c>
      <c r="F72" s="7">
        <f>IF(OR(D72="",B72="",NOT(ISNUMBER(C72))),"",D72&amp;"-"&amp;B72&amp;"-"&amp;TEXT(C72,"000"))</f>
        <v/>
      </c>
      <c r="G72" s="23" t="n"/>
      <c r="H72" s="22" t="n"/>
      <c r="I72" s="24" t="n"/>
      <c r="J72" s="22" t="n"/>
      <c r="K72" s="22" t="n"/>
      <c r="L72" s="22" t="n"/>
      <c r="M72" s="22" t="n"/>
      <c r="N72" s="22" t="n"/>
      <c r="O72" s="7">
        <f>IF(F72="","",F72&amp;"_"&amp;SUBSTITUTE(SUBSTITUTE(SUBSTITUTE(SUBSTITUTE(SUBSTITUTE(SUBSTITUTE(SUBSTITUTE(SUBSTITUTE(SUBSTITUTE(SUBSTITUTE(TRIM(G72)," ","-"),"/","-"),"\","-"),":","-"),"*","-"),"?","-"),"""","-"),"&lt;","-"),"&gt;","-"),"|","-")&amp;IF(H72="","","_Rev"&amp;H72))</f>
        <v/>
      </c>
      <c r="P72" s="7">
        <f>IF(D72="","",IF(L72="Superseded","99 Archive",IF(AND(D72="04",K72&lt;&gt;""),IFERROR(INDEX('Google Drive Map'!$B$4:$B$33,MATCH("04/"&amp;LEFT(K72,2),'Google Drive Map'!$A$4:$A$33,0)),"04 Trades &amp; Tenders/"&amp;K72),IFERROR(INDEX('Google Drive Map'!$B$4:$B$33,MATCH(D72,'Google Drive Map'!$A$4:$A$33,0)),""))))</f>
        <v/>
      </c>
      <c r="Q72" s="7">
        <f>IF(P72="","",IF(IFERROR(INDEX('Google Drive Map'!$G$4:$G$33,MATCH(P72,'Google Drive Map'!$B$4:$B$33,0))&amp;"","")="","",HYPERLINK(INDEX('Google Drive Map'!$G$4:$G$33,MATCH(P72,'Google Drive Map'!$B$4:$B$33,0)),"Open")))</f>
        <v/>
      </c>
      <c r="R72" s="7">
        <f>IF(AND(A72="",B72="",C72=""),"",TRIM(IF(AND(D72&lt;&gt;"",ISNA(MATCH(D72,'Google Drive Map'!$A$4:$A$33,0))),"Folder code isn't on the folder map. ","")&amp;IF(AND(C72&lt;&gt;"",NOT(ISNUMBER(C72))),"No. must be a whole number. ","")&amp;IF(AND(D72&lt;&gt;"",B72&lt;&gt;"",C72=""),"Type the next free no. ","")&amp;IF(AND(F72&lt;&gt;"",COUNTIF(F$4:F$303,F72)&gt;1),"Duplicate Doc ID. ","")))</f>
        <v/>
      </c>
      <c r="S72" s="22" t="n"/>
      <c r="T72" s="23" t="n"/>
    </row>
    <row r="73">
      <c r="A73" s="35" t="n"/>
      <c r="B73" s="22" t="n"/>
      <c r="C73" s="22" t="n"/>
      <c r="D73" s="7">
        <f>IF(A73="","",IF(ISNUMBER(A73),TEXT(A73,"00"),TRIM(A73)))</f>
        <v/>
      </c>
      <c r="E73" s="7">
        <f t="array" ref="E73">IF(OR(D73="",B73=""),"",MAX(IF((D$4:D$303=D73)*(B$4:B$303=B73)*ISNUMBER(C$4:C$303),C$4:C$303,0))+1)</f>
        <v/>
      </c>
      <c r="F73" s="7">
        <f>IF(OR(D73="",B73="",NOT(ISNUMBER(C73))),"",D73&amp;"-"&amp;B73&amp;"-"&amp;TEXT(C73,"000"))</f>
        <v/>
      </c>
      <c r="G73" s="23" t="n"/>
      <c r="H73" s="22" t="n"/>
      <c r="I73" s="24" t="n"/>
      <c r="J73" s="22" t="n"/>
      <c r="K73" s="22" t="n"/>
      <c r="L73" s="22" t="n"/>
      <c r="M73" s="22" t="n"/>
      <c r="N73" s="22" t="n"/>
      <c r="O73" s="7">
        <f>IF(F73="","",F73&amp;"_"&amp;SUBSTITUTE(SUBSTITUTE(SUBSTITUTE(SUBSTITUTE(SUBSTITUTE(SUBSTITUTE(SUBSTITUTE(SUBSTITUTE(SUBSTITUTE(SUBSTITUTE(TRIM(G73)," ","-"),"/","-"),"\","-"),":","-"),"*","-"),"?","-"),"""","-"),"&lt;","-"),"&gt;","-"),"|","-")&amp;IF(H73="","","_Rev"&amp;H73))</f>
        <v/>
      </c>
      <c r="P73" s="7">
        <f>IF(D73="","",IF(L73="Superseded","99 Archive",IF(AND(D73="04",K73&lt;&gt;""),IFERROR(INDEX('Google Drive Map'!$B$4:$B$33,MATCH("04/"&amp;LEFT(K73,2),'Google Drive Map'!$A$4:$A$33,0)),"04 Trades &amp; Tenders/"&amp;K73),IFERROR(INDEX('Google Drive Map'!$B$4:$B$33,MATCH(D73,'Google Drive Map'!$A$4:$A$33,0)),""))))</f>
        <v/>
      </c>
      <c r="Q73" s="7">
        <f>IF(P73="","",IF(IFERROR(INDEX('Google Drive Map'!$G$4:$G$33,MATCH(P73,'Google Drive Map'!$B$4:$B$33,0))&amp;"","")="","",HYPERLINK(INDEX('Google Drive Map'!$G$4:$G$33,MATCH(P73,'Google Drive Map'!$B$4:$B$33,0)),"Open")))</f>
        <v/>
      </c>
      <c r="R73" s="7">
        <f>IF(AND(A73="",B73="",C73=""),"",TRIM(IF(AND(D73&lt;&gt;"",ISNA(MATCH(D73,'Google Drive Map'!$A$4:$A$33,0))),"Folder code isn't on the folder map. ","")&amp;IF(AND(C73&lt;&gt;"",NOT(ISNUMBER(C73))),"No. must be a whole number. ","")&amp;IF(AND(D73&lt;&gt;"",B73&lt;&gt;"",C73=""),"Type the next free no. ","")&amp;IF(AND(F73&lt;&gt;"",COUNTIF(F$4:F$303,F73)&gt;1),"Duplicate Doc ID. ","")))</f>
        <v/>
      </c>
      <c r="S73" s="22" t="n"/>
      <c r="T73" s="23" t="n"/>
    </row>
    <row r="74">
      <c r="A74" s="35" t="n"/>
      <c r="B74" s="22" t="n"/>
      <c r="C74" s="22" t="n"/>
      <c r="D74" s="7">
        <f>IF(A74="","",IF(ISNUMBER(A74),TEXT(A74,"00"),TRIM(A74)))</f>
        <v/>
      </c>
      <c r="E74" s="7">
        <f t="array" ref="E74">IF(OR(D74="",B74=""),"",MAX(IF((D$4:D$303=D74)*(B$4:B$303=B74)*ISNUMBER(C$4:C$303),C$4:C$303,0))+1)</f>
        <v/>
      </c>
      <c r="F74" s="7">
        <f>IF(OR(D74="",B74="",NOT(ISNUMBER(C74))),"",D74&amp;"-"&amp;B74&amp;"-"&amp;TEXT(C74,"000"))</f>
        <v/>
      </c>
      <c r="G74" s="23" t="n"/>
      <c r="H74" s="22" t="n"/>
      <c r="I74" s="24" t="n"/>
      <c r="J74" s="22" t="n"/>
      <c r="K74" s="22" t="n"/>
      <c r="L74" s="22" t="n"/>
      <c r="M74" s="22" t="n"/>
      <c r="N74" s="22" t="n"/>
      <c r="O74" s="7">
        <f>IF(F74="","",F74&amp;"_"&amp;SUBSTITUTE(SUBSTITUTE(SUBSTITUTE(SUBSTITUTE(SUBSTITUTE(SUBSTITUTE(SUBSTITUTE(SUBSTITUTE(SUBSTITUTE(SUBSTITUTE(TRIM(G74)," ","-"),"/","-"),"\","-"),":","-"),"*","-"),"?","-"),"""","-"),"&lt;","-"),"&gt;","-"),"|","-")&amp;IF(H74="","","_Rev"&amp;H74))</f>
        <v/>
      </c>
      <c r="P74" s="7">
        <f>IF(D74="","",IF(L74="Superseded","99 Archive",IF(AND(D74="04",K74&lt;&gt;""),IFERROR(INDEX('Google Drive Map'!$B$4:$B$33,MATCH("04/"&amp;LEFT(K74,2),'Google Drive Map'!$A$4:$A$33,0)),"04 Trades &amp; Tenders/"&amp;K74),IFERROR(INDEX('Google Drive Map'!$B$4:$B$33,MATCH(D74,'Google Drive Map'!$A$4:$A$33,0)),""))))</f>
        <v/>
      </c>
      <c r="Q74" s="7">
        <f>IF(P74="","",IF(IFERROR(INDEX('Google Drive Map'!$G$4:$G$33,MATCH(P74,'Google Drive Map'!$B$4:$B$33,0))&amp;"","")="","",HYPERLINK(INDEX('Google Drive Map'!$G$4:$G$33,MATCH(P74,'Google Drive Map'!$B$4:$B$33,0)),"Open")))</f>
        <v/>
      </c>
      <c r="R74" s="7">
        <f>IF(AND(A74="",B74="",C74=""),"",TRIM(IF(AND(D74&lt;&gt;"",ISNA(MATCH(D74,'Google Drive Map'!$A$4:$A$33,0))),"Folder code isn't on the folder map. ","")&amp;IF(AND(C74&lt;&gt;"",NOT(ISNUMBER(C74))),"No. must be a whole number. ","")&amp;IF(AND(D74&lt;&gt;"",B74&lt;&gt;"",C74=""),"Type the next free no. ","")&amp;IF(AND(F74&lt;&gt;"",COUNTIF(F$4:F$303,F74)&gt;1),"Duplicate Doc ID. ","")))</f>
        <v/>
      </c>
      <c r="S74" s="22" t="n"/>
      <c r="T74" s="23" t="n"/>
    </row>
    <row r="75">
      <c r="A75" s="35" t="n"/>
      <c r="B75" s="22" t="n"/>
      <c r="C75" s="22" t="n"/>
      <c r="D75" s="7">
        <f>IF(A75="","",IF(ISNUMBER(A75),TEXT(A75,"00"),TRIM(A75)))</f>
        <v/>
      </c>
      <c r="E75" s="7">
        <f t="array" ref="E75">IF(OR(D75="",B75=""),"",MAX(IF((D$4:D$303=D75)*(B$4:B$303=B75)*ISNUMBER(C$4:C$303),C$4:C$303,0))+1)</f>
        <v/>
      </c>
      <c r="F75" s="7">
        <f>IF(OR(D75="",B75="",NOT(ISNUMBER(C75))),"",D75&amp;"-"&amp;B75&amp;"-"&amp;TEXT(C75,"000"))</f>
        <v/>
      </c>
      <c r="G75" s="23" t="n"/>
      <c r="H75" s="22" t="n"/>
      <c r="I75" s="24" t="n"/>
      <c r="J75" s="22" t="n"/>
      <c r="K75" s="22" t="n"/>
      <c r="L75" s="22" t="n"/>
      <c r="M75" s="22" t="n"/>
      <c r="N75" s="22" t="n"/>
      <c r="O75" s="7">
        <f>IF(F75="","",F75&amp;"_"&amp;SUBSTITUTE(SUBSTITUTE(SUBSTITUTE(SUBSTITUTE(SUBSTITUTE(SUBSTITUTE(SUBSTITUTE(SUBSTITUTE(SUBSTITUTE(SUBSTITUTE(TRIM(G75)," ","-"),"/","-"),"\","-"),":","-"),"*","-"),"?","-"),"""","-"),"&lt;","-"),"&gt;","-"),"|","-")&amp;IF(H75="","","_Rev"&amp;H75))</f>
        <v/>
      </c>
      <c r="P75" s="7">
        <f>IF(D75="","",IF(L75="Superseded","99 Archive",IF(AND(D75="04",K75&lt;&gt;""),IFERROR(INDEX('Google Drive Map'!$B$4:$B$33,MATCH("04/"&amp;LEFT(K75,2),'Google Drive Map'!$A$4:$A$33,0)),"04 Trades &amp; Tenders/"&amp;K75),IFERROR(INDEX('Google Drive Map'!$B$4:$B$33,MATCH(D75,'Google Drive Map'!$A$4:$A$33,0)),""))))</f>
        <v/>
      </c>
      <c r="Q75" s="7">
        <f>IF(P75="","",IF(IFERROR(INDEX('Google Drive Map'!$G$4:$G$33,MATCH(P75,'Google Drive Map'!$B$4:$B$33,0))&amp;"","")="","",HYPERLINK(INDEX('Google Drive Map'!$G$4:$G$33,MATCH(P75,'Google Drive Map'!$B$4:$B$33,0)),"Open")))</f>
        <v/>
      </c>
      <c r="R75" s="7">
        <f>IF(AND(A75="",B75="",C75=""),"",TRIM(IF(AND(D75&lt;&gt;"",ISNA(MATCH(D75,'Google Drive Map'!$A$4:$A$33,0))),"Folder code isn't on the folder map. ","")&amp;IF(AND(C75&lt;&gt;"",NOT(ISNUMBER(C75))),"No. must be a whole number. ","")&amp;IF(AND(D75&lt;&gt;"",B75&lt;&gt;"",C75=""),"Type the next free no. ","")&amp;IF(AND(F75&lt;&gt;"",COUNTIF(F$4:F$303,F75)&gt;1),"Duplicate Doc ID. ","")))</f>
        <v/>
      </c>
      <c r="S75" s="22" t="n"/>
      <c r="T75" s="23" t="n"/>
    </row>
    <row r="76">
      <c r="A76" s="35" t="n"/>
      <c r="B76" s="22" t="n"/>
      <c r="C76" s="22" t="n"/>
      <c r="D76" s="7">
        <f>IF(A76="","",IF(ISNUMBER(A76),TEXT(A76,"00"),TRIM(A76)))</f>
        <v/>
      </c>
      <c r="E76" s="7">
        <f t="array" ref="E76">IF(OR(D76="",B76=""),"",MAX(IF((D$4:D$303=D76)*(B$4:B$303=B76)*ISNUMBER(C$4:C$303),C$4:C$303,0))+1)</f>
        <v/>
      </c>
      <c r="F76" s="7">
        <f>IF(OR(D76="",B76="",NOT(ISNUMBER(C76))),"",D76&amp;"-"&amp;B76&amp;"-"&amp;TEXT(C76,"000"))</f>
        <v/>
      </c>
      <c r="G76" s="23" t="n"/>
      <c r="H76" s="22" t="n"/>
      <c r="I76" s="24" t="n"/>
      <c r="J76" s="22" t="n"/>
      <c r="K76" s="22" t="n"/>
      <c r="L76" s="22" t="n"/>
      <c r="M76" s="22" t="n"/>
      <c r="N76" s="22" t="n"/>
      <c r="O76" s="7">
        <f>IF(F76="","",F76&amp;"_"&amp;SUBSTITUTE(SUBSTITUTE(SUBSTITUTE(SUBSTITUTE(SUBSTITUTE(SUBSTITUTE(SUBSTITUTE(SUBSTITUTE(SUBSTITUTE(SUBSTITUTE(TRIM(G76)," ","-"),"/","-"),"\","-"),":","-"),"*","-"),"?","-"),"""","-"),"&lt;","-"),"&gt;","-"),"|","-")&amp;IF(H76="","","_Rev"&amp;H76))</f>
        <v/>
      </c>
      <c r="P76" s="7">
        <f>IF(D76="","",IF(L76="Superseded","99 Archive",IF(AND(D76="04",K76&lt;&gt;""),IFERROR(INDEX('Google Drive Map'!$B$4:$B$33,MATCH("04/"&amp;LEFT(K76,2),'Google Drive Map'!$A$4:$A$33,0)),"04 Trades &amp; Tenders/"&amp;K76),IFERROR(INDEX('Google Drive Map'!$B$4:$B$33,MATCH(D76,'Google Drive Map'!$A$4:$A$33,0)),""))))</f>
        <v/>
      </c>
      <c r="Q76" s="7">
        <f>IF(P76="","",IF(IFERROR(INDEX('Google Drive Map'!$G$4:$G$33,MATCH(P76,'Google Drive Map'!$B$4:$B$33,0))&amp;"","")="","",HYPERLINK(INDEX('Google Drive Map'!$G$4:$G$33,MATCH(P76,'Google Drive Map'!$B$4:$B$33,0)),"Open")))</f>
        <v/>
      </c>
      <c r="R76" s="7">
        <f>IF(AND(A76="",B76="",C76=""),"",TRIM(IF(AND(D76&lt;&gt;"",ISNA(MATCH(D76,'Google Drive Map'!$A$4:$A$33,0))),"Folder code isn't on the folder map. ","")&amp;IF(AND(C76&lt;&gt;"",NOT(ISNUMBER(C76))),"No. must be a whole number. ","")&amp;IF(AND(D76&lt;&gt;"",B76&lt;&gt;"",C76=""),"Type the next free no. ","")&amp;IF(AND(F76&lt;&gt;"",COUNTIF(F$4:F$303,F76)&gt;1),"Duplicate Doc ID. ","")))</f>
        <v/>
      </c>
      <c r="S76" s="22" t="n"/>
      <c r="T76" s="23" t="n"/>
    </row>
    <row r="77">
      <c r="A77" s="35" t="n"/>
      <c r="B77" s="22" t="n"/>
      <c r="C77" s="22" t="n"/>
      <c r="D77" s="7">
        <f>IF(A77="","",IF(ISNUMBER(A77),TEXT(A77,"00"),TRIM(A77)))</f>
        <v/>
      </c>
      <c r="E77" s="7">
        <f t="array" ref="E77">IF(OR(D77="",B77=""),"",MAX(IF((D$4:D$303=D77)*(B$4:B$303=B77)*ISNUMBER(C$4:C$303),C$4:C$303,0))+1)</f>
        <v/>
      </c>
      <c r="F77" s="7">
        <f>IF(OR(D77="",B77="",NOT(ISNUMBER(C77))),"",D77&amp;"-"&amp;B77&amp;"-"&amp;TEXT(C77,"000"))</f>
        <v/>
      </c>
      <c r="G77" s="23" t="n"/>
      <c r="H77" s="22" t="n"/>
      <c r="I77" s="24" t="n"/>
      <c r="J77" s="22" t="n"/>
      <c r="K77" s="22" t="n"/>
      <c r="L77" s="22" t="n"/>
      <c r="M77" s="22" t="n"/>
      <c r="N77" s="22" t="n"/>
      <c r="O77" s="7">
        <f>IF(F77="","",F77&amp;"_"&amp;SUBSTITUTE(SUBSTITUTE(SUBSTITUTE(SUBSTITUTE(SUBSTITUTE(SUBSTITUTE(SUBSTITUTE(SUBSTITUTE(SUBSTITUTE(SUBSTITUTE(TRIM(G77)," ","-"),"/","-"),"\","-"),":","-"),"*","-"),"?","-"),"""","-"),"&lt;","-"),"&gt;","-"),"|","-")&amp;IF(H77="","","_Rev"&amp;H77))</f>
        <v/>
      </c>
      <c r="P77" s="7">
        <f>IF(D77="","",IF(L77="Superseded","99 Archive",IF(AND(D77="04",K77&lt;&gt;""),IFERROR(INDEX('Google Drive Map'!$B$4:$B$33,MATCH("04/"&amp;LEFT(K77,2),'Google Drive Map'!$A$4:$A$33,0)),"04 Trades &amp; Tenders/"&amp;K77),IFERROR(INDEX('Google Drive Map'!$B$4:$B$33,MATCH(D77,'Google Drive Map'!$A$4:$A$33,0)),""))))</f>
        <v/>
      </c>
      <c r="Q77" s="7">
        <f>IF(P77="","",IF(IFERROR(INDEX('Google Drive Map'!$G$4:$G$33,MATCH(P77,'Google Drive Map'!$B$4:$B$33,0))&amp;"","")="","",HYPERLINK(INDEX('Google Drive Map'!$G$4:$G$33,MATCH(P77,'Google Drive Map'!$B$4:$B$33,0)),"Open")))</f>
        <v/>
      </c>
      <c r="R77" s="7">
        <f>IF(AND(A77="",B77="",C77=""),"",TRIM(IF(AND(D77&lt;&gt;"",ISNA(MATCH(D77,'Google Drive Map'!$A$4:$A$33,0))),"Folder code isn't on the folder map. ","")&amp;IF(AND(C77&lt;&gt;"",NOT(ISNUMBER(C77))),"No. must be a whole number. ","")&amp;IF(AND(D77&lt;&gt;"",B77&lt;&gt;"",C77=""),"Type the next free no. ","")&amp;IF(AND(F77&lt;&gt;"",COUNTIF(F$4:F$303,F77)&gt;1),"Duplicate Doc ID. ","")))</f>
        <v/>
      </c>
      <c r="S77" s="22" t="n"/>
      <c r="T77" s="23" t="n"/>
    </row>
    <row r="78">
      <c r="A78" s="35" t="n"/>
      <c r="B78" s="22" t="n"/>
      <c r="C78" s="22" t="n"/>
      <c r="D78" s="7">
        <f>IF(A78="","",IF(ISNUMBER(A78),TEXT(A78,"00"),TRIM(A78)))</f>
        <v/>
      </c>
      <c r="E78" s="7">
        <f t="array" ref="E78">IF(OR(D78="",B78=""),"",MAX(IF((D$4:D$303=D78)*(B$4:B$303=B78)*ISNUMBER(C$4:C$303),C$4:C$303,0))+1)</f>
        <v/>
      </c>
      <c r="F78" s="7">
        <f>IF(OR(D78="",B78="",NOT(ISNUMBER(C78))),"",D78&amp;"-"&amp;B78&amp;"-"&amp;TEXT(C78,"000"))</f>
        <v/>
      </c>
      <c r="G78" s="23" t="n"/>
      <c r="H78" s="22" t="n"/>
      <c r="I78" s="24" t="n"/>
      <c r="J78" s="22" t="n"/>
      <c r="K78" s="22" t="n"/>
      <c r="L78" s="22" t="n"/>
      <c r="M78" s="22" t="n"/>
      <c r="N78" s="22" t="n"/>
      <c r="O78" s="7">
        <f>IF(F78="","",F78&amp;"_"&amp;SUBSTITUTE(SUBSTITUTE(SUBSTITUTE(SUBSTITUTE(SUBSTITUTE(SUBSTITUTE(SUBSTITUTE(SUBSTITUTE(SUBSTITUTE(SUBSTITUTE(TRIM(G78)," ","-"),"/","-"),"\","-"),":","-"),"*","-"),"?","-"),"""","-"),"&lt;","-"),"&gt;","-"),"|","-")&amp;IF(H78="","","_Rev"&amp;H78))</f>
        <v/>
      </c>
      <c r="P78" s="7">
        <f>IF(D78="","",IF(L78="Superseded","99 Archive",IF(AND(D78="04",K78&lt;&gt;""),IFERROR(INDEX('Google Drive Map'!$B$4:$B$33,MATCH("04/"&amp;LEFT(K78,2),'Google Drive Map'!$A$4:$A$33,0)),"04 Trades &amp; Tenders/"&amp;K78),IFERROR(INDEX('Google Drive Map'!$B$4:$B$33,MATCH(D78,'Google Drive Map'!$A$4:$A$33,0)),""))))</f>
        <v/>
      </c>
      <c r="Q78" s="7">
        <f>IF(P78="","",IF(IFERROR(INDEX('Google Drive Map'!$G$4:$G$33,MATCH(P78,'Google Drive Map'!$B$4:$B$33,0))&amp;"","")="","",HYPERLINK(INDEX('Google Drive Map'!$G$4:$G$33,MATCH(P78,'Google Drive Map'!$B$4:$B$33,0)),"Open")))</f>
        <v/>
      </c>
      <c r="R78" s="7">
        <f>IF(AND(A78="",B78="",C78=""),"",TRIM(IF(AND(D78&lt;&gt;"",ISNA(MATCH(D78,'Google Drive Map'!$A$4:$A$33,0))),"Folder code isn't on the folder map. ","")&amp;IF(AND(C78&lt;&gt;"",NOT(ISNUMBER(C78))),"No. must be a whole number. ","")&amp;IF(AND(D78&lt;&gt;"",B78&lt;&gt;"",C78=""),"Type the next free no. ","")&amp;IF(AND(F78&lt;&gt;"",COUNTIF(F$4:F$303,F78)&gt;1),"Duplicate Doc ID. ","")))</f>
        <v/>
      </c>
      <c r="S78" s="22" t="n"/>
      <c r="T78" s="23" t="n"/>
    </row>
    <row r="79">
      <c r="A79" s="35" t="n"/>
      <c r="B79" s="22" t="n"/>
      <c r="C79" s="22" t="n"/>
      <c r="D79" s="7">
        <f>IF(A79="","",IF(ISNUMBER(A79),TEXT(A79,"00"),TRIM(A79)))</f>
        <v/>
      </c>
      <c r="E79" s="7">
        <f t="array" ref="E79">IF(OR(D79="",B79=""),"",MAX(IF((D$4:D$303=D79)*(B$4:B$303=B79)*ISNUMBER(C$4:C$303),C$4:C$303,0))+1)</f>
        <v/>
      </c>
      <c r="F79" s="7">
        <f>IF(OR(D79="",B79="",NOT(ISNUMBER(C79))),"",D79&amp;"-"&amp;B79&amp;"-"&amp;TEXT(C79,"000"))</f>
        <v/>
      </c>
      <c r="G79" s="23" t="n"/>
      <c r="H79" s="22" t="n"/>
      <c r="I79" s="24" t="n"/>
      <c r="J79" s="22" t="n"/>
      <c r="K79" s="22" t="n"/>
      <c r="L79" s="22" t="n"/>
      <c r="M79" s="22" t="n"/>
      <c r="N79" s="22" t="n"/>
      <c r="O79" s="7">
        <f>IF(F79="","",F79&amp;"_"&amp;SUBSTITUTE(SUBSTITUTE(SUBSTITUTE(SUBSTITUTE(SUBSTITUTE(SUBSTITUTE(SUBSTITUTE(SUBSTITUTE(SUBSTITUTE(SUBSTITUTE(TRIM(G79)," ","-"),"/","-"),"\","-"),":","-"),"*","-"),"?","-"),"""","-"),"&lt;","-"),"&gt;","-"),"|","-")&amp;IF(H79="","","_Rev"&amp;H79))</f>
        <v/>
      </c>
      <c r="P79" s="7">
        <f>IF(D79="","",IF(L79="Superseded","99 Archive",IF(AND(D79="04",K79&lt;&gt;""),IFERROR(INDEX('Google Drive Map'!$B$4:$B$33,MATCH("04/"&amp;LEFT(K79,2),'Google Drive Map'!$A$4:$A$33,0)),"04 Trades &amp; Tenders/"&amp;K79),IFERROR(INDEX('Google Drive Map'!$B$4:$B$33,MATCH(D79,'Google Drive Map'!$A$4:$A$33,0)),""))))</f>
        <v/>
      </c>
      <c r="Q79" s="7">
        <f>IF(P79="","",IF(IFERROR(INDEX('Google Drive Map'!$G$4:$G$33,MATCH(P79,'Google Drive Map'!$B$4:$B$33,0))&amp;"","")="","",HYPERLINK(INDEX('Google Drive Map'!$G$4:$G$33,MATCH(P79,'Google Drive Map'!$B$4:$B$33,0)),"Open")))</f>
        <v/>
      </c>
      <c r="R79" s="7">
        <f>IF(AND(A79="",B79="",C79=""),"",TRIM(IF(AND(D79&lt;&gt;"",ISNA(MATCH(D79,'Google Drive Map'!$A$4:$A$33,0))),"Folder code isn't on the folder map. ","")&amp;IF(AND(C79&lt;&gt;"",NOT(ISNUMBER(C79))),"No. must be a whole number. ","")&amp;IF(AND(D79&lt;&gt;"",B79&lt;&gt;"",C79=""),"Type the next free no. ","")&amp;IF(AND(F79&lt;&gt;"",COUNTIF(F$4:F$303,F79)&gt;1),"Duplicate Doc ID. ","")))</f>
        <v/>
      </c>
      <c r="S79" s="22" t="n"/>
      <c r="T79" s="23" t="n"/>
    </row>
    <row r="80">
      <c r="A80" s="35" t="n"/>
      <c r="B80" s="22" t="n"/>
      <c r="C80" s="22" t="n"/>
      <c r="D80" s="7">
        <f>IF(A80="","",IF(ISNUMBER(A80),TEXT(A80,"00"),TRIM(A80)))</f>
        <v/>
      </c>
      <c r="E80" s="7">
        <f t="array" ref="E80">IF(OR(D80="",B80=""),"",MAX(IF((D$4:D$303=D80)*(B$4:B$303=B80)*ISNUMBER(C$4:C$303),C$4:C$303,0))+1)</f>
        <v/>
      </c>
      <c r="F80" s="7">
        <f>IF(OR(D80="",B80="",NOT(ISNUMBER(C80))),"",D80&amp;"-"&amp;B80&amp;"-"&amp;TEXT(C80,"000"))</f>
        <v/>
      </c>
      <c r="G80" s="23" t="n"/>
      <c r="H80" s="22" t="n"/>
      <c r="I80" s="24" t="n"/>
      <c r="J80" s="22" t="n"/>
      <c r="K80" s="22" t="n"/>
      <c r="L80" s="22" t="n"/>
      <c r="M80" s="22" t="n"/>
      <c r="N80" s="22" t="n"/>
      <c r="O80" s="7">
        <f>IF(F80="","",F80&amp;"_"&amp;SUBSTITUTE(SUBSTITUTE(SUBSTITUTE(SUBSTITUTE(SUBSTITUTE(SUBSTITUTE(SUBSTITUTE(SUBSTITUTE(SUBSTITUTE(SUBSTITUTE(TRIM(G80)," ","-"),"/","-"),"\","-"),":","-"),"*","-"),"?","-"),"""","-"),"&lt;","-"),"&gt;","-"),"|","-")&amp;IF(H80="","","_Rev"&amp;H80))</f>
        <v/>
      </c>
      <c r="P80" s="7">
        <f>IF(D80="","",IF(L80="Superseded","99 Archive",IF(AND(D80="04",K80&lt;&gt;""),IFERROR(INDEX('Google Drive Map'!$B$4:$B$33,MATCH("04/"&amp;LEFT(K80,2),'Google Drive Map'!$A$4:$A$33,0)),"04 Trades &amp; Tenders/"&amp;K80),IFERROR(INDEX('Google Drive Map'!$B$4:$B$33,MATCH(D80,'Google Drive Map'!$A$4:$A$33,0)),""))))</f>
        <v/>
      </c>
      <c r="Q80" s="7">
        <f>IF(P80="","",IF(IFERROR(INDEX('Google Drive Map'!$G$4:$G$33,MATCH(P80,'Google Drive Map'!$B$4:$B$33,0))&amp;"","")="","",HYPERLINK(INDEX('Google Drive Map'!$G$4:$G$33,MATCH(P80,'Google Drive Map'!$B$4:$B$33,0)),"Open")))</f>
        <v/>
      </c>
      <c r="R80" s="7">
        <f>IF(AND(A80="",B80="",C80=""),"",TRIM(IF(AND(D80&lt;&gt;"",ISNA(MATCH(D80,'Google Drive Map'!$A$4:$A$33,0))),"Folder code isn't on the folder map. ","")&amp;IF(AND(C80&lt;&gt;"",NOT(ISNUMBER(C80))),"No. must be a whole number. ","")&amp;IF(AND(D80&lt;&gt;"",B80&lt;&gt;"",C80=""),"Type the next free no. ","")&amp;IF(AND(F80&lt;&gt;"",COUNTIF(F$4:F$303,F80)&gt;1),"Duplicate Doc ID. ","")))</f>
        <v/>
      </c>
      <c r="S80" s="22" t="n"/>
      <c r="T80" s="23" t="n"/>
    </row>
    <row r="81">
      <c r="A81" s="35" t="n"/>
      <c r="B81" s="22" t="n"/>
      <c r="C81" s="22" t="n"/>
      <c r="D81" s="7">
        <f>IF(A81="","",IF(ISNUMBER(A81),TEXT(A81,"00"),TRIM(A81)))</f>
        <v/>
      </c>
      <c r="E81" s="7">
        <f t="array" ref="E81">IF(OR(D81="",B81=""),"",MAX(IF((D$4:D$303=D81)*(B$4:B$303=B81)*ISNUMBER(C$4:C$303),C$4:C$303,0))+1)</f>
        <v/>
      </c>
      <c r="F81" s="7">
        <f>IF(OR(D81="",B81="",NOT(ISNUMBER(C81))),"",D81&amp;"-"&amp;B81&amp;"-"&amp;TEXT(C81,"000"))</f>
        <v/>
      </c>
      <c r="G81" s="23" t="n"/>
      <c r="H81" s="22" t="n"/>
      <c r="I81" s="24" t="n"/>
      <c r="J81" s="22" t="n"/>
      <c r="K81" s="22" t="n"/>
      <c r="L81" s="22" t="n"/>
      <c r="M81" s="22" t="n"/>
      <c r="N81" s="22" t="n"/>
      <c r="O81" s="7">
        <f>IF(F81="","",F81&amp;"_"&amp;SUBSTITUTE(SUBSTITUTE(SUBSTITUTE(SUBSTITUTE(SUBSTITUTE(SUBSTITUTE(SUBSTITUTE(SUBSTITUTE(SUBSTITUTE(SUBSTITUTE(TRIM(G81)," ","-"),"/","-"),"\","-"),":","-"),"*","-"),"?","-"),"""","-"),"&lt;","-"),"&gt;","-"),"|","-")&amp;IF(H81="","","_Rev"&amp;H81))</f>
        <v/>
      </c>
      <c r="P81" s="7">
        <f>IF(D81="","",IF(L81="Superseded","99 Archive",IF(AND(D81="04",K81&lt;&gt;""),IFERROR(INDEX('Google Drive Map'!$B$4:$B$33,MATCH("04/"&amp;LEFT(K81,2),'Google Drive Map'!$A$4:$A$33,0)),"04 Trades &amp; Tenders/"&amp;K81),IFERROR(INDEX('Google Drive Map'!$B$4:$B$33,MATCH(D81,'Google Drive Map'!$A$4:$A$33,0)),""))))</f>
        <v/>
      </c>
      <c r="Q81" s="7">
        <f>IF(P81="","",IF(IFERROR(INDEX('Google Drive Map'!$G$4:$G$33,MATCH(P81,'Google Drive Map'!$B$4:$B$33,0))&amp;"","")="","",HYPERLINK(INDEX('Google Drive Map'!$G$4:$G$33,MATCH(P81,'Google Drive Map'!$B$4:$B$33,0)),"Open")))</f>
        <v/>
      </c>
      <c r="R81" s="7">
        <f>IF(AND(A81="",B81="",C81=""),"",TRIM(IF(AND(D81&lt;&gt;"",ISNA(MATCH(D81,'Google Drive Map'!$A$4:$A$33,0))),"Folder code isn't on the folder map. ","")&amp;IF(AND(C81&lt;&gt;"",NOT(ISNUMBER(C81))),"No. must be a whole number. ","")&amp;IF(AND(D81&lt;&gt;"",B81&lt;&gt;"",C81=""),"Type the next free no. ","")&amp;IF(AND(F81&lt;&gt;"",COUNTIF(F$4:F$303,F81)&gt;1),"Duplicate Doc ID. ","")))</f>
        <v/>
      </c>
      <c r="S81" s="22" t="n"/>
      <c r="T81" s="23" t="n"/>
    </row>
    <row r="82">
      <c r="A82" s="35" t="n"/>
      <c r="B82" s="22" t="n"/>
      <c r="C82" s="22" t="n"/>
      <c r="D82" s="7">
        <f>IF(A82="","",IF(ISNUMBER(A82),TEXT(A82,"00"),TRIM(A82)))</f>
        <v/>
      </c>
      <c r="E82" s="7">
        <f t="array" ref="E82">IF(OR(D82="",B82=""),"",MAX(IF((D$4:D$303=D82)*(B$4:B$303=B82)*ISNUMBER(C$4:C$303),C$4:C$303,0))+1)</f>
        <v/>
      </c>
      <c r="F82" s="7">
        <f>IF(OR(D82="",B82="",NOT(ISNUMBER(C82))),"",D82&amp;"-"&amp;B82&amp;"-"&amp;TEXT(C82,"000"))</f>
        <v/>
      </c>
      <c r="G82" s="23" t="n"/>
      <c r="H82" s="22" t="n"/>
      <c r="I82" s="24" t="n"/>
      <c r="J82" s="22" t="n"/>
      <c r="K82" s="22" t="n"/>
      <c r="L82" s="22" t="n"/>
      <c r="M82" s="22" t="n"/>
      <c r="N82" s="22" t="n"/>
      <c r="O82" s="7">
        <f>IF(F82="","",F82&amp;"_"&amp;SUBSTITUTE(SUBSTITUTE(SUBSTITUTE(SUBSTITUTE(SUBSTITUTE(SUBSTITUTE(SUBSTITUTE(SUBSTITUTE(SUBSTITUTE(SUBSTITUTE(TRIM(G82)," ","-"),"/","-"),"\","-"),":","-"),"*","-"),"?","-"),"""","-"),"&lt;","-"),"&gt;","-"),"|","-")&amp;IF(H82="","","_Rev"&amp;H82))</f>
        <v/>
      </c>
      <c r="P82" s="7">
        <f>IF(D82="","",IF(L82="Superseded","99 Archive",IF(AND(D82="04",K82&lt;&gt;""),IFERROR(INDEX('Google Drive Map'!$B$4:$B$33,MATCH("04/"&amp;LEFT(K82,2),'Google Drive Map'!$A$4:$A$33,0)),"04 Trades &amp; Tenders/"&amp;K82),IFERROR(INDEX('Google Drive Map'!$B$4:$B$33,MATCH(D82,'Google Drive Map'!$A$4:$A$33,0)),""))))</f>
        <v/>
      </c>
      <c r="Q82" s="7">
        <f>IF(P82="","",IF(IFERROR(INDEX('Google Drive Map'!$G$4:$G$33,MATCH(P82,'Google Drive Map'!$B$4:$B$33,0))&amp;"","")="","",HYPERLINK(INDEX('Google Drive Map'!$G$4:$G$33,MATCH(P82,'Google Drive Map'!$B$4:$B$33,0)),"Open")))</f>
        <v/>
      </c>
      <c r="R82" s="7">
        <f>IF(AND(A82="",B82="",C82=""),"",TRIM(IF(AND(D82&lt;&gt;"",ISNA(MATCH(D82,'Google Drive Map'!$A$4:$A$33,0))),"Folder code isn't on the folder map. ","")&amp;IF(AND(C82&lt;&gt;"",NOT(ISNUMBER(C82))),"No. must be a whole number. ","")&amp;IF(AND(D82&lt;&gt;"",B82&lt;&gt;"",C82=""),"Type the next free no. ","")&amp;IF(AND(F82&lt;&gt;"",COUNTIF(F$4:F$303,F82)&gt;1),"Duplicate Doc ID. ","")))</f>
        <v/>
      </c>
      <c r="S82" s="22" t="n"/>
      <c r="T82" s="23" t="n"/>
    </row>
    <row r="83">
      <c r="A83" s="35" t="n"/>
      <c r="B83" s="22" t="n"/>
      <c r="C83" s="22" t="n"/>
      <c r="D83" s="7">
        <f>IF(A83="","",IF(ISNUMBER(A83),TEXT(A83,"00"),TRIM(A83)))</f>
        <v/>
      </c>
      <c r="E83" s="7">
        <f t="array" ref="E83">IF(OR(D83="",B83=""),"",MAX(IF((D$4:D$303=D83)*(B$4:B$303=B83)*ISNUMBER(C$4:C$303),C$4:C$303,0))+1)</f>
        <v/>
      </c>
      <c r="F83" s="7">
        <f>IF(OR(D83="",B83="",NOT(ISNUMBER(C83))),"",D83&amp;"-"&amp;B83&amp;"-"&amp;TEXT(C83,"000"))</f>
        <v/>
      </c>
      <c r="G83" s="23" t="n"/>
      <c r="H83" s="22" t="n"/>
      <c r="I83" s="24" t="n"/>
      <c r="J83" s="22" t="n"/>
      <c r="K83" s="22" t="n"/>
      <c r="L83" s="22" t="n"/>
      <c r="M83" s="22" t="n"/>
      <c r="N83" s="22" t="n"/>
      <c r="O83" s="7">
        <f>IF(F83="","",F83&amp;"_"&amp;SUBSTITUTE(SUBSTITUTE(SUBSTITUTE(SUBSTITUTE(SUBSTITUTE(SUBSTITUTE(SUBSTITUTE(SUBSTITUTE(SUBSTITUTE(SUBSTITUTE(TRIM(G83)," ","-"),"/","-"),"\","-"),":","-"),"*","-"),"?","-"),"""","-"),"&lt;","-"),"&gt;","-"),"|","-")&amp;IF(H83="","","_Rev"&amp;H83))</f>
        <v/>
      </c>
      <c r="P83" s="7">
        <f>IF(D83="","",IF(L83="Superseded","99 Archive",IF(AND(D83="04",K83&lt;&gt;""),IFERROR(INDEX('Google Drive Map'!$B$4:$B$33,MATCH("04/"&amp;LEFT(K83,2),'Google Drive Map'!$A$4:$A$33,0)),"04 Trades &amp; Tenders/"&amp;K83),IFERROR(INDEX('Google Drive Map'!$B$4:$B$33,MATCH(D83,'Google Drive Map'!$A$4:$A$33,0)),""))))</f>
        <v/>
      </c>
      <c r="Q83" s="7">
        <f>IF(P83="","",IF(IFERROR(INDEX('Google Drive Map'!$G$4:$G$33,MATCH(P83,'Google Drive Map'!$B$4:$B$33,0))&amp;"","")="","",HYPERLINK(INDEX('Google Drive Map'!$G$4:$G$33,MATCH(P83,'Google Drive Map'!$B$4:$B$33,0)),"Open")))</f>
        <v/>
      </c>
      <c r="R83" s="7">
        <f>IF(AND(A83="",B83="",C83=""),"",TRIM(IF(AND(D83&lt;&gt;"",ISNA(MATCH(D83,'Google Drive Map'!$A$4:$A$33,0))),"Folder code isn't on the folder map. ","")&amp;IF(AND(C83&lt;&gt;"",NOT(ISNUMBER(C83))),"No. must be a whole number. ","")&amp;IF(AND(D83&lt;&gt;"",B83&lt;&gt;"",C83=""),"Type the next free no. ","")&amp;IF(AND(F83&lt;&gt;"",COUNTIF(F$4:F$303,F83)&gt;1),"Duplicate Doc ID. ","")))</f>
        <v/>
      </c>
      <c r="S83" s="22" t="n"/>
      <c r="T83" s="23" t="n"/>
    </row>
    <row r="84">
      <c r="A84" s="35" t="n"/>
      <c r="B84" s="22" t="n"/>
      <c r="C84" s="22" t="n"/>
      <c r="D84" s="7">
        <f>IF(A84="","",IF(ISNUMBER(A84),TEXT(A84,"00"),TRIM(A84)))</f>
        <v/>
      </c>
      <c r="E84" s="7">
        <f t="array" ref="E84">IF(OR(D84="",B84=""),"",MAX(IF((D$4:D$303=D84)*(B$4:B$303=B84)*ISNUMBER(C$4:C$303),C$4:C$303,0))+1)</f>
        <v/>
      </c>
      <c r="F84" s="7">
        <f>IF(OR(D84="",B84="",NOT(ISNUMBER(C84))),"",D84&amp;"-"&amp;B84&amp;"-"&amp;TEXT(C84,"000"))</f>
        <v/>
      </c>
      <c r="G84" s="23" t="n"/>
      <c r="H84" s="22" t="n"/>
      <c r="I84" s="24" t="n"/>
      <c r="J84" s="22" t="n"/>
      <c r="K84" s="22" t="n"/>
      <c r="L84" s="22" t="n"/>
      <c r="M84" s="22" t="n"/>
      <c r="N84" s="22" t="n"/>
      <c r="O84" s="7">
        <f>IF(F84="","",F84&amp;"_"&amp;SUBSTITUTE(SUBSTITUTE(SUBSTITUTE(SUBSTITUTE(SUBSTITUTE(SUBSTITUTE(SUBSTITUTE(SUBSTITUTE(SUBSTITUTE(SUBSTITUTE(TRIM(G84)," ","-"),"/","-"),"\","-"),":","-"),"*","-"),"?","-"),"""","-"),"&lt;","-"),"&gt;","-"),"|","-")&amp;IF(H84="","","_Rev"&amp;H84))</f>
        <v/>
      </c>
      <c r="P84" s="7">
        <f>IF(D84="","",IF(L84="Superseded","99 Archive",IF(AND(D84="04",K84&lt;&gt;""),IFERROR(INDEX('Google Drive Map'!$B$4:$B$33,MATCH("04/"&amp;LEFT(K84,2),'Google Drive Map'!$A$4:$A$33,0)),"04 Trades &amp; Tenders/"&amp;K84),IFERROR(INDEX('Google Drive Map'!$B$4:$B$33,MATCH(D84,'Google Drive Map'!$A$4:$A$33,0)),""))))</f>
        <v/>
      </c>
      <c r="Q84" s="7">
        <f>IF(P84="","",IF(IFERROR(INDEX('Google Drive Map'!$G$4:$G$33,MATCH(P84,'Google Drive Map'!$B$4:$B$33,0))&amp;"","")="","",HYPERLINK(INDEX('Google Drive Map'!$G$4:$G$33,MATCH(P84,'Google Drive Map'!$B$4:$B$33,0)),"Open")))</f>
        <v/>
      </c>
      <c r="R84" s="7">
        <f>IF(AND(A84="",B84="",C84=""),"",TRIM(IF(AND(D84&lt;&gt;"",ISNA(MATCH(D84,'Google Drive Map'!$A$4:$A$33,0))),"Folder code isn't on the folder map. ","")&amp;IF(AND(C84&lt;&gt;"",NOT(ISNUMBER(C84))),"No. must be a whole number. ","")&amp;IF(AND(D84&lt;&gt;"",B84&lt;&gt;"",C84=""),"Type the next free no. ","")&amp;IF(AND(F84&lt;&gt;"",COUNTIF(F$4:F$303,F84)&gt;1),"Duplicate Doc ID. ","")))</f>
        <v/>
      </c>
      <c r="S84" s="22" t="n"/>
      <c r="T84" s="23" t="n"/>
    </row>
    <row r="85">
      <c r="A85" s="35" t="n"/>
      <c r="B85" s="22" t="n"/>
      <c r="C85" s="22" t="n"/>
      <c r="D85" s="7">
        <f>IF(A85="","",IF(ISNUMBER(A85),TEXT(A85,"00"),TRIM(A85)))</f>
        <v/>
      </c>
      <c r="E85" s="7">
        <f t="array" ref="E85">IF(OR(D85="",B85=""),"",MAX(IF((D$4:D$303=D85)*(B$4:B$303=B85)*ISNUMBER(C$4:C$303),C$4:C$303,0))+1)</f>
        <v/>
      </c>
      <c r="F85" s="7">
        <f>IF(OR(D85="",B85="",NOT(ISNUMBER(C85))),"",D85&amp;"-"&amp;B85&amp;"-"&amp;TEXT(C85,"000"))</f>
        <v/>
      </c>
      <c r="G85" s="23" t="n"/>
      <c r="H85" s="22" t="n"/>
      <c r="I85" s="24" t="n"/>
      <c r="J85" s="22" t="n"/>
      <c r="K85" s="22" t="n"/>
      <c r="L85" s="22" t="n"/>
      <c r="M85" s="22" t="n"/>
      <c r="N85" s="22" t="n"/>
      <c r="O85" s="7">
        <f>IF(F85="","",F85&amp;"_"&amp;SUBSTITUTE(SUBSTITUTE(SUBSTITUTE(SUBSTITUTE(SUBSTITUTE(SUBSTITUTE(SUBSTITUTE(SUBSTITUTE(SUBSTITUTE(SUBSTITUTE(TRIM(G85)," ","-"),"/","-"),"\","-"),":","-"),"*","-"),"?","-"),"""","-"),"&lt;","-"),"&gt;","-"),"|","-")&amp;IF(H85="","","_Rev"&amp;H85))</f>
        <v/>
      </c>
      <c r="P85" s="7">
        <f>IF(D85="","",IF(L85="Superseded","99 Archive",IF(AND(D85="04",K85&lt;&gt;""),IFERROR(INDEX('Google Drive Map'!$B$4:$B$33,MATCH("04/"&amp;LEFT(K85,2),'Google Drive Map'!$A$4:$A$33,0)),"04 Trades &amp; Tenders/"&amp;K85),IFERROR(INDEX('Google Drive Map'!$B$4:$B$33,MATCH(D85,'Google Drive Map'!$A$4:$A$33,0)),""))))</f>
        <v/>
      </c>
      <c r="Q85" s="7">
        <f>IF(P85="","",IF(IFERROR(INDEX('Google Drive Map'!$G$4:$G$33,MATCH(P85,'Google Drive Map'!$B$4:$B$33,0))&amp;"","")="","",HYPERLINK(INDEX('Google Drive Map'!$G$4:$G$33,MATCH(P85,'Google Drive Map'!$B$4:$B$33,0)),"Open")))</f>
        <v/>
      </c>
      <c r="R85" s="7">
        <f>IF(AND(A85="",B85="",C85=""),"",TRIM(IF(AND(D85&lt;&gt;"",ISNA(MATCH(D85,'Google Drive Map'!$A$4:$A$33,0))),"Folder code isn't on the folder map. ","")&amp;IF(AND(C85&lt;&gt;"",NOT(ISNUMBER(C85))),"No. must be a whole number. ","")&amp;IF(AND(D85&lt;&gt;"",B85&lt;&gt;"",C85=""),"Type the next free no. ","")&amp;IF(AND(F85&lt;&gt;"",COUNTIF(F$4:F$303,F85)&gt;1),"Duplicate Doc ID. ","")))</f>
        <v/>
      </c>
      <c r="S85" s="22" t="n"/>
      <c r="T85" s="23" t="n"/>
    </row>
    <row r="86">
      <c r="A86" s="35" t="n"/>
      <c r="B86" s="22" t="n"/>
      <c r="C86" s="22" t="n"/>
      <c r="D86" s="7">
        <f>IF(A86="","",IF(ISNUMBER(A86),TEXT(A86,"00"),TRIM(A86)))</f>
        <v/>
      </c>
      <c r="E86" s="7">
        <f t="array" ref="E86">IF(OR(D86="",B86=""),"",MAX(IF((D$4:D$303=D86)*(B$4:B$303=B86)*ISNUMBER(C$4:C$303),C$4:C$303,0))+1)</f>
        <v/>
      </c>
      <c r="F86" s="7">
        <f>IF(OR(D86="",B86="",NOT(ISNUMBER(C86))),"",D86&amp;"-"&amp;B86&amp;"-"&amp;TEXT(C86,"000"))</f>
        <v/>
      </c>
      <c r="G86" s="23" t="n"/>
      <c r="H86" s="22" t="n"/>
      <c r="I86" s="24" t="n"/>
      <c r="J86" s="22" t="n"/>
      <c r="K86" s="22" t="n"/>
      <c r="L86" s="22" t="n"/>
      <c r="M86" s="22" t="n"/>
      <c r="N86" s="22" t="n"/>
      <c r="O86" s="7">
        <f>IF(F86="","",F86&amp;"_"&amp;SUBSTITUTE(SUBSTITUTE(SUBSTITUTE(SUBSTITUTE(SUBSTITUTE(SUBSTITUTE(SUBSTITUTE(SUBSTITUTE(SUBSTITUTE(SUBSTITUTE(TRIM(G86)," ","-"),"/","-"),"\","-"),":","-"),"*","-"),"?","-"),"""","-"),"&lt;","-"),"&gt;","-"),"|","-")&amp;IF(H86="","","_Rev"&amp;H86))</f>
        <v/>
      </c>
      <c r="P86" s="7">
        <f>IF(D86="","",IF(L86="Superseded","99 Archive",IF(AND(D86="04",K86&lt;&gt;""),IFERROR(INDEX('Google Drive Map'!$B$4:$B$33,MATCH("04/"&amp;LEFT(K86,2),'Google Drive Map'!$A$4:$A$33,0)),"04 Trades &amp; Tenders/"&amp;K86),IFERROR(INDEX('Google Drive Map'!$B$4:$B$33,MATCH(D86,'Google Drive Map'!$A$4:$A$33,0)),""))))</f>
        <v/>
      </c>
      <c r="Q86" s="7">
        <f>IF(P86="","",IF(IFERROR(INDEX('Google Drive Map'!$G$4:$G$33,MATCH(P86,'Google Drive Map'!$B$4:$B$33,0))&amp;"","")="","",HYPERLINK(INDEX('Google Drive Map'!$G$4:$G$33,MATCH(P86,'Google Drive Map'!$B$4:$B$33,0)),"Open")))</f>
        <v/>
      </c>
      <c r="R86" s="7">
        <f>IF(AND(A86="",B86="",C86=""),"",TRIM(IF(AND(D86&lt;&gt;"",ISNA(MATCH(D86,'Google Drive Map'!$A$4:$A$33,0))),"Folder code isn't on the folder map. ","")&amp;IF(AND(C86&lt;&gt;"",NOT(ISNUMBER(C86))),"No. must be a whole number. ","")&amp;IF(AND(D86&lt;&gt;"",B86&lt;&gt;"",C86=""),"Type the next free no. ","")&amp;IF(AND(F86&lt;&gt;"",COUNTIF(F$4:F$303,F86)&gt;1),"Duplicate Doc ID. ","")))</f>
        <v/>
      </c>
      <c r="S86" s="22" t="n"/>
      <c r="T86" s="23" t="n"/>
    </row>
    <row r="87">
      <c r="A87" s="35" t="n"/>
      <c r="B87" s="22" t="n"/>
      <c r="C87" s="22" t="n"/>
      <c r="D87" s="7">
        <f>IF(A87="","",IF(ISNUMBER(A87),TEXT(A87,"00"),TRIM(A87)))</f>
        <v/>
      </c>
      <c r="E87" s="7">
        <f t="array" ref="E87">IF(OR(D87="",B87=""),"",MAX(IF((D$4:D$303=D87)*(B$4:B$303=B87)*ISNUMBER(C$4:C$303),C$4:C$303,0))+1)</f>
        <v/>
      </c>
      <c r="F87" s="7">
        <f>IF(OR(D87="",B87="",NOT(ISNUMBER(C87))),"",D87&amp;"-"&amp;B87&amp;"-"&amp;TEXT(C87,"000"))</f>
        <v/>
      </c>
      <c r="G87" s="23" t="n"/>
      <c r="H87" s="22" t="n"/>
      <c r="I87" s="24" t="n"/>
      <c r="J87" s="22" t="n"/>
      <c r="K87" s="22" t="n"/>
      <c r="L87" s="22" t="n"/>
      <c r="M87" s="22" t="n"/>
      <c r="N87" s="22" t="n"/>
      <c r="O87" s="7">
        <f>IF(F87="","",F87&amp;"_"&amp;SUBSTITUTE(SUBSTITUTE(SUBSTITUTE(SUBSTITUTE(SUBSTITUTE(SUBSTITUTE(SUBSTITUTE(SUBSTITUTE(SUBSTITUTE(SUBSTITUTE(TRIM(G87)," ","-"),"/","-"),"\","-"),":","-"),"*","-"),"?","-"),"""","-"),"&lt;","-"),"&gt;","-"),"|","-")&amp;IF(H87="","","_Rev"&amp;H87))</f>
        <v/>
      </c>
      <c r="P87" s="7">
        <f>IF(D87="","",IF(L87="Superseded","99 Archive",IF(AND(D87="04",K87&lt;&gt;""),IFERROR(INDEX('Google Drive Map'!$B$4:$B$33,MATCH("04/"&amp;LEFT(K87,2),'Google Drive Map'!$A$4:$A$33,0)),"04 Trades &amp; Tenders/"&amp;K87),IFERROR(INDEX('Google Drive Map'!$B$4:$B$33,MATCH(D87,'Google Drive Map'!$A$4:$A$33,0)),""))))</f>
        <v/>
      </c>
      <c r="Q87" s="7">
        <f>IF(P87="","",IF(IFERROR(INDEX('Google Drive Map'!$G$4:$G$33,MATCH(P87,'Google Drive Map'!$B$4:$B$33,0))&amp;"","")="","",HYPERLINK(INDEX('Google Drive Map'!$G$4:$G$33,MATCH(P87,'Google Drive Map'!$B$4:$B$33,0)),"Open")))</f>
        <v/>
      </c>
      <c r="R87" s="7">
        <f>IF(AND(A87="",B87="",C87=""),"",TRIM(IF(AND(D87&lt;&gt;"",ISNA(MATCH(D87,'Google Drive Map'!$A$4:$A$33,0))),"Folder code isn't on the folder map. ","")&amp;IF(AND(C87&lt;&gt;"",NOT(ISNUMBER(C87))),"No. must be a whole number. ","")&amp;IF(AND(D87&lt;&gt;"",B87&lt;&gt;"",C87=""),"Type the next free no. ","")&amp;IF(AND(F87&lt;&gt;"",COUNTIF(F$4:F$303,F87)&gt;1),"Duplicate Doc ID. ","")))</f>
        <v/>
      </c>
      <c r="S87" s="22" t="n"/>
      <c r="T87" s="23" t="n"/>
    </row>
    <row r="88">
      <c r="A88" s="35" t="n"/>
      <c r="B88" s="22" t="n"/>
      <c r="C88" s="22" t="n"/>
      <c r="D88" s="7">
        <f>IF(A88="","",IF(ISNUMBER(A88),TEXT(A88,"00"),TRIM(A88)))</f>
        <v/>
      </c>
      <c r="E88" s="7">
        <f t="array" ref="E88">IF(OR(D88="",B88=""),"",MAX(IF((D$4:D$303=D88)*(B$4:B$303=B88)*ISNUMBER(C$4:C$303),C$4:C$303,0))+1)</f>
        <v/>
      </c>
      <c r="F88" s="7">
        <f>IF(OR(D88="",B88="",NOT(ISNUMBER(C88))),"",D88&amp;"-"&amp;B88&amp;"-"&amp;TEXT(C88,"000"))</f>
        <v/>
      </c>
      <c r="G88" s="23" t="n"/>
      <c r="H88" s="22" t="n"/>
      <c r="I88" s="24" t="n"/>
      <c r="J88" s="22" t="n"/>
      <c r="K88" s="22" t="n"/>
      <c r="L88" s="22" t="n"/>
      <c r="M88" s="22" t="n"/>
      <c r="N88" s="22" t="n"/>
      <c r="O88" s="7">
        <f>IF(F88="","",F88&amp;"_"&amp;SUBSTITUTE(SUBSTITUTE(SUBSTITUTE(SUBSTITUTE(SUBSTITUTE(SUBSTITUTE(SUBSTITUTE(SUBSTITUTE(SUBSTITUTE(SUBSTITUTE(TRIM(G88)," ","-"),"/","-"),"\","-"),":","-"),"*","-"),"?","-"),"""","-"),"&lt;","-"),"&gt;","-"),"|","-")&amp;IF(H88="","","_Rev"&amp;H88))</f>
        <v/>
      </c>
      <c r="P88" s="7">
        <f>IF(D88="","",IF(L88="Superseded","99 Archive",IF(AND(D88="04",K88&lt;&gt;""),IFERROR(INDEX('Google Drive Map'!$B$4:$B$33,MATCH("04/"&amp;LEFT(K88,2),'Google Drive Map'!$A$4:$A$33,0)),"04 Trades &amp; Tenders/"&amp;K88),IFERROR(INDEX('Google Drive Map'!$B$4:$B$33,MATCH(D88,'Google Drive Map'!$A$4:$A$33,0)),""))))</f>
        <v/>
      </c>
      <c r="Q88" s="7">
        <f>IF(P88="","",IF(IFERROR(INDEX('Google Drive Map'!$G$4:$G$33,MATCH(P88,'Google Drive Map'!$B$4:$B$33,0))&amp;"","")="","",HYPERLINK(INDEX('Google Drive Map'!$G$4:$G$33,MATCH(P88,'Google Drive Map'!$B$4:$B$33,0)),"Open")))</f>
        <v/>
      </c>
      <c r="R88" s="7">
        <f>IF(AND(A88="",B88="",C88=""),"",TRIM(IF(AND(D88&lt;&gt;"",ISNA(MATCH(D88,'Google Drive Map'!$A$4:$A$33,0))),"Folder code isn't on the folder map. ","")&amp;IF(AND(C88&lt;&gt;"",NOT(ISNUMBER(C88))),"No. must be a whole number. ","")&amp;IF(AND(D88&lt;&gt;"",B88&lt;&gt;"",C88=""),"Type the next free no. ","")&amp;IF(AND(F88&lt;&gt;"",COUNTIF(F$4:F$303,F88)&gt;1),"Duplicate Doc ID. ","")))</f>
        <v/>
      </c>
      <c r="S88" s="22" t="n"/>
      <c r="T88" s="23" t="n"/>
    </row>
    <row r="89">
      <c r="A89" s="35" t="n"/>
      <c r="B89" s="22" t="n"/>
      <c r="C89" s="22" t="n"/>
      <c r="D89" s="7">
        <f>IF(A89="","",IF(ISNUMBER(A89),TEXT(A89,"00"),TRIM(A89)))</f>
        <v/>
      </c>
      <c r="E89" s="7">
        <f t="array" ref="E89">IF(OR(D89="",B89=""),"",MAX(IF((D$4:D$303=D89)*(B$4:B$303=B89)*ISNUMBER(C$4:C$303),C$4:C$303,0))+1)</f>
        <v/>
      </c>
      <c r="F89" s="7">
        <f>IF(OR(D89="",B89="",NOT(ISNUMBER(C89))),"",D89&amp;"-"&amp;B89&amp;"-"&amp;TEXT(C89,"000"))</f>
        <v/>
      </c>
      <c r="G89" s="23" t="n"/>
      <c r="H89" s="22" t="n"/>
      <c r="I89" s="24" t="n"/>
      <c r="J89" s="22" t="n"/>
      <c r="K89" s="22" t="n"/>
      <c r="L89" s="22" t="n"/>
      <c r="M89" s="22" t="n"/>
      <c r="N89" s="22" t="n"/>
      <c r="O89" s="7">
        <f>IF(F89="","",F89&amp;"_"&amp;SUBSTITUTE(SUBSTITUTE(SUBSTITUTE(SUBSTITUTE(SUBSTITUTE(SUBSTITUTE(SUBSTITUTE(SUBSTITUTE(SUBSTITUTE(SUBSTITUTE(TRIM(G89)," ","-"),"/","-"),"\","-"),":","-"),"*","-"),"?","-"),"""","-"),"&lt;","-"),"&gt;","-"),"|","-")&amp;IF(H89="","","_Rev"&amp;H89))</f>
        <v/>
      </c>
      <c r="P89" s="7">
        <f>IF(D89="","",IF(L89="Superseded","99 Archive",IF(AND(D89="04",K89&lt;&gt;""),IFERROR(INDEX('Google Drive Map'!$B$4:$B$33,MATCH("04/"&amp;LEFT(K89,2),'Google Drive Map'!$A$4:$A$33,0)),"04 Trades &amp; Tenders/"&amp;K89),IFERROR(INDEX('Google Drive Map'!$B$4:$B$33,MATCH(D89,'Google Drive Map'!$A$4:$A$33,0)),""))))</f>
        <v/>
      </c>
      <c r="Q89" s="7">
        <f>IF(P89="","",IF(IFERROR(INDEX('Google Drive Map'!$G$4:$G$33,MATCH(P89,'Google Drive Map'!$B$4:$B$33,0))&amp;"","")="","",HYPERLINK(INDEX('Google Drive Map'!$G$4:$G$33,MATCH(P89,'Google Drive Map'!$B$4:$B$33,0)),"Open")))</f>
        <v/>
      </c>
      <c r="R89" s="7">
        <f>IF(AND(A89="",B89="",C89=""),"",TRIM(IF(AND(D89&lt;&gt;"",ISNA(MATCH(D89,'Google Drive Map'!$A$4:$A$33,0))),"Folder code isn't on the folder map. ","")&amp;IF(AND(C89&lt;&gt;"",NOT(ISNUMBER(C89))),"No. must be a whole number. ","")&amp;IF(AND(D89&lt;&gt;"",B89&lt;&gt;"",C89=""),"Type the next free no. ","")&amp;IF(AND(F89&lt;&gt;"",COUNTIF(F$4:F$303,F89)&gt;1),"Duplicate Doc ID. ","")))</f>
        <v/>
      </c>
      <c r="S89" s="22" t="n"/>
      <c r="T89" s="23" t="n"/>
    </row>
    <row r="90">
      <c r="A90" s="35" t="n"/>
      <c r="B90" s="22" t="n"/>
      <c r="C90" s="22" t="n"/>
      <c r="D90" s="7">
        <f>IF(A90="","",IF(ISNUMBER(A90),TEXT(A90,"00"),TRIM(A90)))</f>
        <v/>
      </c>
      <c r="E90" s="7">
        <f t="array" ref="E90">IF(OR(D90="",B90=""),"",MAX(IF((D$4:D$303=D90)*(B$4:B$303=B90)*ISNUMBER(C$4:C$303),C$4:C$303,0))+1)</f>
        <v/>
      </c>
      <c r="F90" s="7">
        <f>IF(OR(D90="",B90="",NOT(ISNUMBER(C90))),"",D90&amp;"-"&amp;B90&amp;"-"&amp;TEXT(C90,"000"))</f>
        <v/>
      </c>
      <c r="G90" s="23" t="n"/>
      <c r="H90" s="22" t="n"/>
      <c r="I90" s="24" t="n"/>
      <c r="J90" s="22" t="n"/>
      <c r="K90" s="22" t="n"/>
      <c r="L90" s="22" t="n"/>
      <c r="M90" s="22" t="n"/>
      <c r="N90" s="22" t="n"/>
      <c r="O90" s="7">
        <f>IF(F90="","",F90&amp;"_"&amp;SUBSTITUTE(SUBSTITUTE(SUBSTITUTE(SUBSTITUTE(SUBSTITUTE(SUBSTITUTE(SUBSTITUTE(SUBSTITUTE(SUBSTITUTE(SUBSTITUTE(TRIM(G90)," ","-"),"/","-"),"\","-"),":","-"),"*","-"),"?","-"),"""","-"),"&lt;","-"),"&gt;","-"),"|","-")&amp;IF(H90="","","_Rev"&amp;H90))</f>
        <v/>
      </c>
      <c r="P90" s="7">
        <f>IF(D90="","",IF(L90="Superseded","99 Archive",IF(AND(D90="04",K90&lt;&gt;""),IFERROR(INDEX('Google Drive Map'!$B$4:$B$33,MATCH("04/"&amp;LEFT(K90,2),'Google Drive Map'!$A$4:$A$33,0)),"04 Trades &amp; Tenders/"&amp;K90),IFERROR(INDEX('Google Drive Map'!$B$4:$B$33,MATCH(D90,'Google Drive Map'!$A$4:$A$33,0)),""))))</f>
        <v/>
      </c>
      <c r="Q90" s="7">
        <f>IF(P90="","",IF(IFERROR(INDEX('Google Drive Map'!$G$4:$G$33,MATCH(P90,'Google Drive Map'!$B$4:$B$33,0))&amp;"","")="","",HYPERLINK(INDEX('Google Drive Map'!$G$4:$G$33,MATCH(P90,'Google Drive Map'!$B$4:$B$33,0)),"Open")))</f>
        <v/>
      </c>
      <c r="R90" s="7">
        <f>IF(AND(A90="",B90="",C90=""),"",TRIM(IF(AND(D90&lt;&gt;"",ISNA(MATCH(D90,'Google Drive Map'!$A$4:$A$33,0))),"Folder code isn't on the folder map. ","")&amp;IF(AND(C90&lt;&gt;"",NOT(ISNUMBER(C90))),"No. must be a whole number. ","")&amp;IF(AND(D90&lt;&gt;"",B90&lt;&gt;"",C90=""),"Type the next free no. ","")&amp;IF(AND(F90&lt;&gt;"",COUNTIF(F$4:F$303,F90)&gt;1),"Duplicate Doc ID. ","")))</f>
        <v/>
      </c>
      <c r="S90" s="22" t="n"/>
      <c r="T90" s="23" t="n"/>
    </row>
    <row r="91">
      <c r="A91" s="35" t="n"/>
      <c r="B91" s="22" t="n"/>
      <c r="C91" s="22" t="n"/>
      <c r="D91" s="7">
        <f>IF(A91="","",IF(ISNUMBER(A91),TEXT(A91,"00"),TRIM(A91)))</f>
        <v/>
      </c>
      <c r="E91" s="7">
        <f t="array" ref="E91">IF(OR(D91="",B91=""),"",MAX(IF((D$4:D$303=D91)*(B$4:B$303=B91)*ISNUMBER(C$4:C$303),C$4:C$303,0))+1)</f>
        <v/>
      </c>
      <c r="F91" s="7">
        <f>IF(OR(D91="",B91="",NOT(ISNUMBER(C91))),"",D91&amp;"-"&amp;B91&amp;"-"&amp;TEXT(C91,"000"))</f>
        <v/>
      </c>
      <c r="G91" s="23" t="n"/>
      <c r="H91" s="22" t="n"/>
      <c r="I91" s="24" t="n"/>
      <c r="J91" s="22" t="n"/>
      <c r="K91" s="22" t="n"/>
      <c r="L91" s="22" t="n"/>
      <c r="M91" s="22" t="n"/>
      <c r="N91" s="22" t="n"/>
      <c r="O91" s="7">
        <f>IF(F91="","",F91&amp;"_"&amp;SUBSTITUTE(SUBSTITUTE(SUBSTITUTE(SUBSTITUTE(SUBSTITUTE(SUBSTITUTE(SUBSTITUTE(SUBSTITUTE(SUBSTITUTE(SUBSTITUTE(TRIM(G91)," ","-"),"/","-"),"\","-"),":","-"),"*","-"),"?","-"),"""","-"),"&lt;","-"),"&gt;","-"),"|","-")&amp;IF(H91="","","_Rev"&amp;H91))</f>
        <v/>
      </c>
      <c r="P91" s="7">
        <f>IF(D91="","",IF(L91="Superseded","99 Archive",IF(AND(D91="04",K91&lt;&gt;""),IFERROR(INDEX('Google Drive Map'!$B$4:$B$33,MATCH("04/"&amp;LEFT(K91,2),'Google Drive Map'!$A$4:$A$33,0)),"04 Trades &amp; Tenders/"&amp;K91),IFERROR(INDEX('Google Drive Map'!$B$4:$B$33,MATCH(D91,'Google Drive Map'!$A$4:$A$33,0)),""))))</f>
        <v/>
      </c>
      <c r="Q91" s="7">
        <f>IF(P91="","",IF(IFERROR(INDEX('Google Drive Map'!$G$4:$G$33,MATCH(P91,'Google Drive Map'!$B$4:$B$33,0))&amp;"","")="","",HYPERLINK(INDEX('Google Drive Map'!$G$4:$G$33,MATCH(P91,'Google Drive Map'!$B$4:$B$33,0)),"Open")))</f>
        <v/>
      </c>
      <c r="R91" s="7">
        <f>IF(AND(A91="",B91="",C91=""),"",TRIM(IF(AND(D91&lt;&gt;"",ISNA(MATCH(D91,'Google Drive Map'!$A$4:$A$33,0))),"Folder code isn't on the folder map. ","")&amp;IF(AND(C91&lt;&gt;"",NOT(ISNUMBER(C91))),"No. must be a whole number. ","")&amp;IF(AND(D91&lt;&gt;"",B91&lt;&gt;"",C91=""),"Type the next free no. ","")&amp;IF(AND(F91&lt;&gt;"",COUNTIF(F$4:F$303,F91)&gt;1),"Duplicate Doc ID. ","")))</f>
        <v/>
      </c>
      <c r="S91" s="22" t="n"/>
      <c r="T91" s="23" t="n"/>
    </row>
    <row r="92">
      <c r="A92" s="35" t="n"/>
      <c r="B92" s="22" t="n"/>
      <c r="C92" s="22" t="n"/>
      <c r="D92" s="7">
        <f>IF(A92="","",IF(ISNUMBER(A92),TEXT(A92,"00"),TRIM(A92)))</f>
        <v/>
      </c>
      <c r="E92" s="7">
        <f t="array" ref="E92">IF(OR(D92="",B92=""),"",MAX(IF((D$4:D$303=D92)*(B$4:B$303=B92)*ISNUMBER(C$4:C$303),C$4:C$303,0))+1)</f>
        <v/>
      </c>
      <c r="F92" s="7">
        <f>IF(OR(D92="",B92="",NOT(ISNUMBER(C92))),"",D92&amp;"-"&amp;B92&amp;"-"&amp;TEXT(C92,"000"))</f>
        <v/>
      </c>
      <c r="G92" s="23" t="n"/>
      <c r="H92" s="22" t="n"/>
      <c r="I92" s="24" t="n"/>
      <c r="J92" s="22" t="n"/>
      <c r="K92" s="22" t="n"/>
      <c r="L92" s="22" t="n"/>
      <c r="M92" s="22" t="n"/>
      <c r="N92" s="22" t="n"/>
      <c r="O92" s="7">
        <f>IF(F92="","",F92&amp;"_"&amp;SUBSTITUTE(SUBSTITUTE(SUBSTITUTE(SUBSTITUTE(SUBSTITUTE(SUBSTITUTE(SUBSTITUTE(SUBSTITUTE(SUBSTITUTE(SUBSTITUTE(TRIM(G92)," ","-"),"/","-"),"\","-"),":","-"),"*","-"),"?","-"),"""","-"),"&lt;","-"),"&gt;","-"),"|","-")&amp;IF(H92="","","_Rev"&amp;H92))</f>
        <v/>
      </c>
      <c r="P92" s="7">
        <f>IF(D92="","",IF(L92="Superseded","99 Archive",IF(AND(D92="04",K92&lt;&gt;""),IFERROR(INDEX('Google Drive Map'!$B$4:$B$33,MATCH("04/"&amp;LEFT(K92,2),'Google Drive Map'!$A$4:$A$33,0)),"04 Trades &amp; Tenders/"&amp;K92),IFERROR(INDEX('Google Drive Map'!$B$4:$B$33,MATCH(D92,'Google Drive Map'!$A$4:$A$33,0)),""))))</f>
        <v/>
      </c>
      <c r="Q92" s="7">
        <f>IF(P92="","",IF(IFERROR(INDEX('Google Drive Map'!$G$4:$G$33,MATCH(P92,'Google Drive Map'!$B$4:$B$33,0))&amp;"","")="","",HYPERLINK(INDEX('Google Drive Map'!$G$4:$G$33,MATCH(P92,'Google Drive Map'!$B$4:$B$33,0)),"Open")))</f>
        <v/>
      </c>
      <c r="R92" s="7">
        <f>IF(AND(A92="",B92="",C92=""),"",TRIM(IF(AND(D92&lt;&gt;"",ISNA(MATCH(D92,'Google Drive Map'!$A$4:$A$33,0))),"Folder code isn't on the folder map. ","")&amp;IF(AND(C92&lt;&gt;"",NOT(ISNUMBER(C92))),"No. must be a whole number. ","")&amp;IF(AND(D92&lt;&gt;"",B92&lt;&gt;"",C92=""),"Type the next free no. ","")&amp;IF(AND(F92&lt;&gt;"",COUNTIF(F$4:F$303,F92)&gt;1),"Duplicate Doc ID. ","")))</f>
        <v/>
      </c>
      <c r="S92" s="22" t="n"/>
      <c r="T92" s="23" t="n"/>
    </row>
    <row r="93">
      <c r="A93" s="35" t="n"/>
      <c r="B93" s="22" t="n"/>
      <c r="C93" s="22" t="n"/>
      <c r="D93" s="7">
        <f>IF(A93="","",IF(ISNUMBER(A93),TEXT(A93,"00"),TRIM(A93)))</f>
        <v/>
      </c>
      <c r="E93" s="7">
        <f t="array" ref="E93">IF(OR(D93="",B93=""),"",MAX(IF((D$4:D$303=D93)*(B$4:B$303=B93)*ISNUMBER(C$4:C$303),C$4:C$303,0))+1)</f>
        <v/>
      </c>
      <c r="F93" s="7">
        <f>IF(OR(D93="",B93="",NOT(ISNUMBER(C93))),"",D93&amp;"-"&amp;B93&amp;"-"&amp;TEXT(C93,"000"))</f>
        <v/>
      </c>
      <c r="G93" s="23" t="n"/>
      <c r="H93" s="22" t="n"/>
      <c r="I93" s="24" t="n"/>
      <c r="J93" s="22" t="n"/>
      <c r="K93" s="22" t="n"/>
      <c r="L93" s="22" t="n"/>
      <c r="M93" s="22" t="n"/>
      <c r="N93" s="22" t="n"/>
      <c r="O93" s="7">
        <f>IF(F93="","",F93&amp;"_"&amp;SUBSTITUTE(SUBSTITUTE(SUBSTITUTE(SUBSTITUTE(SUBSTITUTE(SUBSTITUTE(SUBSTITUTE(SUBSTITUTE(SUBSTITUTE(SUBSTITUTE(TRIM(G93)," ","-"),"/","-"),"\","-"),":","-"),"*","-"),"?","-"),"""","-"),"&lt;","-"),"&gt;","-"),"|","-")&amp;IF(H93="","","_Rev"&amp;H93))</f>
        <v/>
      </c>
      <c r="P93" s="7">
        <f>IF(D93="","",IF(L93="Superseded","99 Archive",IF(AND(D93="04",K93&lt;&gt;""),IFERROR(INDEX('Google Drive Map'!$B$4:$B$33,MATCH("04/"&amp;LEFT(K93,2),'Google Drive Map'!$A$4:$A$33,0)),"04 Trades &amp; Tenders/"&amp;K93),IFERROR(INDEX('Google Drive Map'!$B$4:$B$33,MATCH(D93,'Google Drive Map'!$A$4:$A$33,0)),""))))</f>
        <v/>
      </c>
      <c r="Q93" s="7">
        <f>IF(P93="","",IF(IFERROR(INDEX('Google Drive Map'!$G$4:$G$33,MATCH(P93,'Google Drive Map'!$B$4:$B$33,0))&amp;"","")="","",HYPERLINK(INDEX('Google Drive Map'!$G$4:$G$33,MATCH(P93,'Google Drive Map'!$B$4:$B$33,0)),"Open")))</f>
        <v/>
      </c>
      <c r="R93" s="7">
        <f>IF(AND(A93="",B93="",C93=""),"",TRIM(IF(AND(D93&lt;&gt;"",ISNA(MATCH(D93,'Google Drive Map'!$A$4:$A$33,0))),"Folder code isn't on the folder map. ","")&amp;IF(AND(C93&lt;&gt;"",NOT(ISNUMBER(C93))),"No. must be a whole number. ","")&amp;IF(AND(D93&lt;&gt;"",B93&lt;&gt;"",C93=""),"Type the next free no. ","")&amp;IF(AND(F93&lt;&gt;"",COUNTIF(F$4:F$303,F93)&gt;1),"Duplicate Doc ID. ","")))</f>
        <v/>
      </c>
      <c r="S93" s="22" t="n"/>
      <c r="T93" s="23" t="n"/>
    </row>
    <row r="94">
      <c r="A94" s="35" t="n"/>
      <c r="B94" s="22" t="n"/>
      <c r="C94" s="22" t="n"/>
      <c r="D94" s="7">
        <f>IF(A94="","",IF(ISNUMBER(A94),TEXT(A94,"00"),TRIM(A94)))</f>
        <v/>
      </c>
      <c r="E94" s="7">
        <f t="array" ref="E94">IF(OR(D94="",B94=""),"",MAX(IF((D$4:D$303=D94)*(B$4:B$303=B94)*ISNUMBER(C$4:C$303),C$4:C$303,0))+1)</f>
        <v/>
      </c>
      <c r="F94" s="7">
        <f>IF(OR(D94="",B94="",NOT(ISNUMBER(C94))),"",D94&amp;"-"&amp;B94&amp;"-"&amp;TEXT(C94,"000"))</f>
        <v/>
      </c>
      <c r="G94" s="23" t="n"/>
      <c r="H94" s="22" t="n"/>
      <c r="I94" s="24" t="n"/>
      <c r="J94" s="22" t="n"/>
      <c r="K94" s="22" t="n"/>
      <c r="L94" s="22" t="n"/>
      <c r="M94" s="22" t="n"/>
      <c r="N94" s="22" t="n"/>
      <c r="O94" s="7">
        <f>IF(F94="","",F94&amp;"_"&amp;SUBSTITUTE(SUBSTITUTE(SUBSTITUTE(SUBSTITUTE(SUBSTITUTE(SUBSTITUTE(SUBSTITUTE(SUBSTITUTE(SUBSTITUTE(SUBSTITUTE(TRIM(G94)," ","-"),"/","-"),"\","-"),":","-"),"*","-"),"?","-"),"""","-"),"&lt;","-"),"&gt;","-"),"|","-")&amp;IF(H94="","","_Rev"&amp;H94))</f>
        <v/>
      </c>
      <c r="P94" s="7">
        <f>IF(D94="","",IF(L94="Superseded","99 Archive",IF(AND(D94="04",K94&lt;&gt;""),IFERROR(INDEX('Google Drive Map'!$B$4:$B$33,MATCH("04/"&amp;LEFT(K94,2),'Google Drive Map'!$A$4:$A$33,0)),"04 Trades &amp; Tenders/"&amp;K94),IFERROR(INDEX('Google Drive Map'!$B$4:$B$33,MATCH(D94,'Google Drive Map'!$A$4:$A$33,0)),""))))</f>
        <v/>
      </c>
      <c r="Q94" s="7">
        <f>IF(P94="","",IF(IFERROR(INDEX('Google Drive Map'!$G$4:$G$33,MATCH(P94,'Google Drive Map'!$B$4:$B$33,0))&amp;"","")="","",HYPERLINK(INDEX('Google Drive Map'!$G$4:$G$33,MATCH(P94,'Google Drive Map'!$B$4:$B$33,0)),"Open")))</f>
        <v/>
      </c>
      <c r="R94" s="7">
        <f>IF(AND(A94="",B94="",C94=""),"",TRIM(IF(AND(D94&lt;&gt;"",ISNA(MATCH(D94,'Google Drive Map'!$A$4:$A$33,0))),"Folder code isn't on the folder map. ","")&amp;IF(AND(C94&lt;&gt;"",NOT(ISNUMBER(C94))),"No. must be a whole number. ","")&amp;IF(AND(D94&lt;&gt;"",B94&lt;&gt;"",C94=""),"Type the next free no. ","")&amp;IF(AND(F94&lt;&gt;"",COUNTIF(F$4:F$303,F94)&gt;1),"Duplicate Doc ID. ","")))</f>
        <v/>
      </c>
      <c r="S94" s="22" t="n"/>
      <c r="T94" s="23" t="n"/>
    </row>
    <row r="95">
      <c r="A95" s="35" t="n"/>
      <c r="B95" s="22" t="n"/>
      <c r="C95" s="22" t="n"/>
      <c r="D95" s="7">
        <f>IF(A95="","",IF(ISNUMBER(A95),TEXT(A95,"00"),TRIM(A95)))</f>
        <v/>
      </c>
      <c r="E95" s="7">
        <f t="array" ref="E95">IF(OR(D95="",B95=""),"",MAX(IF((D$4:D$303=D95)*(B$4:B$303=B95)*ISNUMBER(C$4:C$303),C$4:C$303,0))+1)</f>
        <v/>
      </c>
      <c r="F95" s="7">
        <f>IF(OR(D95="",B95="",NOT(ISNUMBER(C95))),"",D95&amp;"-"&amp;B95&amp;"-"&amp;TEXT(C95,"000"))</f>
        <v/>
      </c>
      <c r="G95" s="23" t="n"/>
      <c r="H95" s="22" t="n"/>
      <c r="I95" s="24" t="n"/>
      <c r="J95" s="22" t="n"/>
      <c r="K95" s="22" t="n"/>
      <c r="L95" s="22" t="n"/>
      <c r="M95" s="22" t="n"/>
      <c r="N95" s="22" t="n"/>
      <c r="O95" s="7">
        <f>IF(F95="","",F95&amp;"_"&amp;SUBSTITUTE(SUBSTITUTE(SUBSTITUTE(SUBSTITUTE(SUBSTITUTE(SUBSTITUTE(SUBSTITUTE(SUBSTITUTE(SUBSTITUTE(SUBSTITUTE(TRIM(G95)," ","-"),"/","-"),"\","-"),":","-"),"*","-"),"?","-"),"""","-"),"&lt;","-"),"&gt;","-"),"|","-")&amp;IF(H95="","","_Rev"&amp;H95))</f>
        <v/>
      </c>
      <c r="P95" s="7">
        <f>IF(D95="","",IF(L95="Superseded","99 Archive",IF(AND(D95="04",K95&lt;&gt;""),IFERROR(INDEX('Google Drive Map'!$B$4:$B$33,MATCH("04/"&amp;LEFT(K95,2),'Google Drive Map'!$A$4:$A$33,0)),"04 Trades &amp; Tenders/"&amp;K95),IFERROR(INDEX('Google Drive Map'!$B$4:$B$33,MATCH(D95,'Google Drive Map'!$A$4:$A$33,0)),""))))</f>
        <v/>
      </c>
      <c r="Q95" s="7">
        <f>IF(P95="","",IF(IFERROR(INDEX('Google Drive Map'!$G$4:$G$33,MATCH(P95,'Google Drive Map'!$B$4:$B$33,0))&amp;"","")="","",HYPERLINK(INDEX('Google Drive Map'!$G$4:$G$33,MATCH(P95,'Google Drive Map'!$B$4:$B$33,0)),"Open")))</f>
        <v/>
      </c>
      <c r="R95" s="7">
        <f>IF(AND(A95="",B95="",C95=""),"",TRIM(IF(AND(D95&lt;&gt;"",ISNA(MATCH(D95,'Google Drive Map'!$A$4:$A$33,0))),"Folder code isn't on the folder map. ","")&amp;IF(AND(C95&lt;&gt;"",NOT(ISNUMBER(C95))),"No. must be a whole number. ","")&amp;IF(AND(D95&lt;&gt;"",B95&lt;&gt;"",C95=""),"Type the next free no. ","")&amp;IF(AND(F95&lt;&gt;"",COUNTIF(F$4:F$303,F95)&gt;1),"Duplicate Doc ID. ","")))</f>
        <v/>
      </c>
      <c r="S95" s="22" t="n"/>
      <c r="T95" s="23" t="n"/>
    </row>
    <row r="96">
      <c r="A96" s="35" t="n"/>
      <c r="B96" s="22" t="n"/>
      <c r="C96" s="22" t="n"/>
      <c r="D96" s="7">
        <f>IF(A96="","",IF(ISNUMBER(A96),TEXT(A96,"00"),TRIM(A96)))</f>
        <v/>
      </c>
      <c r="E96" s="7">
        <f t="array" ref="E96">IF(OR(D96="",B96=""),"",MAX(IF((D$4:D$303=D96)*(B$4:B$303=B96)*ISNUMBER(C$4:C$303),C$4:C$303,0))+1)</f>
        <v/>
      </c>
      <c r="F96" s="7">
        <f>IF(OR(D96="",B96="",NOT(ISNUMBER(C96))),"",D96&amp;"-"&amp;B96&amp;"-"&amp;TEXT(C96,"000"))</f>
        <v/>
      </c>
      <c r="G96" s="23" t="n"/>
      <c r="H96" s="22" t="n"/>
      <c r="I96" s="24" t="n"/>
      <c r="J96" s="22" t="n"/>
      <c r="K96" s="22" t="n"/>
      <c r="L96" s="22" t="n"/>
      <c r="M96" s="22" t="n"/>
      <c r="N96" s="22" t="n"/>
      <c r="O96" s="7">
        <f>IF(F96="","",F96&amp;"_"&amp;SUBSTITUTE(SUBSTITUTE(SUBSTITUTE(SUBSTITUTE(SUBSTITUTE(SUBSTITUTE(SUBSTITUTE(SUBSTITUTE(SUBSTITUTE(SUBSTITUTE(TRIM(G96)," ","-"),"/","-"),"\","-"),":","-"),"*","-"),"?","-"),"""","-"),"&lt;","-"),"&gt;","-"),"|","-")&amp;IF(H96="","","_Rev"&amp;H96))</f>
        <v/>
      </c>
      <c r="P96" s="7">
        <f>IF(D96="","",IF(L96="Superseded","99 Archive",IF(AND(D96="04",K96&lt;&gt;""),IFERROR(INDEX('Google Drive Map'!$B$4:$B$33,MATCH("04/"&amp;LEFT(K96,2),'Google Drive Map'!$A$4:$A$33,0)),"04 Trades &amp; Tenders/"&amp;K96),IFERROR(INDEX('Google Drive Map'!$B$4:$B$33,MATCH(D96,'Google Drive Map'!$A$4:$A$33,0)),""))))</f>
        <v/>
      </c>
      <c r="Q96" s="7">
        <f>IF(P96="","",IF(IFERROR(INDEX('Google Drive Map'!$G$4:$G$33,MATCH(P96,'Google Drive Map'!$B$4:$B$33,0))&amp;"","")="","",HYPERLINK(INDEX('Google Drive Map'!$G$4:$G$33,MATCH(P96,'Google Drive Map'!$B$4:$B$33,0)),"Open")))</f>
        <v/>
      </c>
      <c r="R96" s="7">
        <f>IF(AND(A96="",B96="",C96=""),"",TRIM(IF(AND(D96&lt;&gt;"",ISNA(MATCH(D96,'Google Drive Map'!$A$4:$A$33,0))),"Folder code isn't on the folder map. ","")&amp;IF(AND(C96&lt;&gt;"",NOT(ISNUMBER(C96))),"No. must be a whole number. ","")&amp;IF(AND(D96&lt;&gt;"",B96&lt;&gt;"",C96=""),"Type the next free no. ","")&amp;IF(AND(F96&lt;&gt;"",COUNTIF(F$4:F$303,F96)&gt;1),"Duplicate Doc ID. ","")))</f>
        <v/>
      </c>
      <c r="S96" s="22" t="n"/>
      <c r="T96" s="23" t="n"/>
    </row>
    <row r="97">
      <c r="A97" s="35" t="n"/>
      <c r="B97" s="22" t="n"/>
      <c r="C97" s="22" t="n"/>
      <c r="D97" s="7">
        <f>IF(A97="","",IF(ISNUMBER(A97),TEXT(A97,"00"),TRIM(A97)))</f>
        <v/>
      </c>
      <c r="E97" s="7">
        <f t="array" ref="E97">IF(OR(D97="",B97=""),"",MAX(IF((D$4:D$303=D97)*(B$4:B$303=B97)*ISNUMBER(C$4:C$303),C$4:C$303,0))+1)</f>
        <v/>
      </c>
      <c r="F97" s="7">
        <f>IF(OR(D97="",B97="",NOT(ISNUMBER(C97))),"",D97&amp;"-"&amp;B97&amp;"-"&amp;TEXT(C97,"000"))</f>
        <v/>
      </c>
      <c r="G97" s="23" t="n"/>
      <c r="H97" s="22" t="n"/>
      <c r="I97" s="24" t="n"/>
      <c r="J97" s="22" t="n"/>
      <c r="K97" s="22" t="n"/>
      <c r="L97" s="22" t="n"/>
      <c r="M97" s="22" t="n"/>
      <c r="N97" s="22" t="n"/>
      <c r="O97" s="7">
        <f>IF(F97="","",F97&amp;"_"&amp;SUBSTITUTE(SUBSTITUTE(SUBSTITUTE(SUBSTITUTE(SUBSTITUTE(SUBSTITUTE(SUBSTITUTE(SUBSTITUTE(SUBSTITUTE(SUBSTITUTE(TRIM(G97)," ","-"),"/","-"),"\","-"),":","-"),"*","-"),"?","-"),"""","-"),"&lt;","-"),"&gt;","-"),"|","-")&amp;IF(H97="","","_Rev"&amp;H97))</f>
        <v/>
      </c>
      <c r="P97" s="7">
        <f>IF(D97="","",IF(L97="Superseded","99 Archive",IF(AND(D97="04",K97&lt;&gt;""),IFERROR(INDEX('Google Drive Map'!$B$4:$B$33,MATCH("04/"&amp;LEFT(K97,2),'Google Drive Map'!$A$4:$A$33,0)),"04 Trades &amp; Tenders/"&amp;K97),IFERROR(INDEX('Google Drive Map'!$B$4:$B$33,MATCH(D97,'Google Drive Map'!$A$4:$A$33,0)),""))))</f>
        <v/>
      </c>
      <c r="Q97" s="7">
        <f>IF(P97="","",IF(IFERROR(INDEX('Google Drive Map'!$G$4:$G$33,MATCH(P97,'Google Drive Map'!$B$4:$B$33,0))&amp;"","")="","",HYPERLINK(INDEX('Google Drive Map'!$G$4:$G$33,MATCH(P97,'Google Drive Map'!$B$4:$B$33,0)),"Open")))</f>
        <v/>
      </c>
      <c r="R97" s="7">
        <f>IF(AND(A97="",B97="",C97=""),"",TRIM(IF(AND(D97&lt;&gt;"",ISNA(MATCH(D97,'Google Drive Map'!$A$4:$A$33,0))),"Folder code isn't on the folder map. ","")&amp;IF(AND(C97&lt;&gt;"",NOT(ISNUMBER(C97))),"No. must be a whole number. ","")&amp;IF(AND(D97&lt;&gt;"",B97&lt;&gt;"",C97=""),"Type the next free no. ","")&amp;IF(AND(F97&lt;&gt;"",COUNTIF(F$4:F$303,F97)&gt;1),"Duplicate Doc ID. ","")))</f>
        <v/>
      </c>
      <c r="S97" s="22" t="n"/>
      <c r="T97" s="23" t="n"/>
    </row>
    <row r="98">
      <c r="A98" s="35" t="n"/>
      <c r="B98" s="22" t="n"/>
      <c r="C98" s="22" t="n"/>
      <c r="D98" s="7">
        <f>IF(A98="","",IF(ISNUMBER(A98),TEXT(A98,"00"),TRIM(A98)))</f>
        <v/>
      </c>
      <c r="E98" s="7">
        <f t="array" ref="E98">IF(OR(D98="",B98=""),"",MAX(IF((D$4:D$303=D98)*(B$4:B$303=B98)*ISNUMBER(C$4:C$303),C$4:C$303,0))+1)</f>
        <v/>
      </c>
      <c r="F98" s="7">
        <f>IF(OR(D98="",B98="",NOT(ISNUMBER(C98))),"",D98&amp;"-"&amp;B98&amp;"-"&amp;TEXT(C98,"000"))</f>
        <v/>
      </c>
      <c r="G98" s="23" t="n"/>
      <c r="H98" s="22" t="n"/>
      <c r="I98" s="24" t="n"/>
      <c r="J98" s="22" t="n"/>
      <c r="K98" s="22" t="n"/>
      <c r="L98" s="22" t="n"/>
      <c r="M98" s="22" t="n"/>
      <c r="N98" s="22" t="n"/>
      <c r="O98" s="7">
        <f>IF(F98="","",F98&amp;"_"&amp;SUBSTITUTE(SUBSTITUTE(SUBSTITUTE(SUBSTITUTE(SUBSTITUTE(SUBSTITUTE(SUBSTITUTE(SUBSTITUTE(SUBSTITUTE(SUBSTITUTE(TRIM(G98)," ","-"),"/","-"),"\","-"),":","-"),"*","-"),"?","-"),"""","-"),"&lt;","-"),"&gt;","-"),"|","-")&amp;IF(H98="","","_Rev"&amp;H98))</f>
        <v/>
      </c>
      <c r="P98" s="7">
        <f>IF(D98="","",IF(L98="Superseded","99 Archive",IF(AND(D98="04",K98&lt;&gt;""),IFERROR(INDEX('Google Drive Map'!$B$4:$B$33,MATCH("04/"&amp;LEFT(K98,2),'Google Drive Map'!$A$4:$A$33,0)),"04 Trades &amp; Tenders/"&amp;K98),IFERROR(INDEX('Google Drive Map'!$B$4:$B$33,MATCH(D98,'Google Drive Map'!$A$4:$A$33,0)),""))))</f>
        <v/>
      </c>
      <c r="Q98" s="7">
        <f>IF(P98="","",IF(IFERROR(INDEX('Google Drive Map'!$G$4:$G$33,MATCH(P98,'Google Drive Map'!$B$4:$B$33,0))&amp;"","")="","",HYPERLINK(INDEX('Google Drive Map'!$G$4:$G$33,MATCH(P98,'Google Drive Map'!$B$4:$B$33,0)),"Open")))</f>
        <v/>
      </c>
      <c r="R98" s="7">
        <f>IF(AND(A98="",B98="",C98=""),"",TRIM(IF(AND(D98&lt;&gt;"",ISNA(MATCH(D98,'Google Drive Map'!$A$4:$A$33,0))),"Folder code isn't on the folder map. ","")&amp;IF(AND(C98&lt;&gt;"",NOT(ISNUMBER(C98))),"No. must be a whole number. ","")&amp;IF(AND(D98&lt;&gt;"",B98&lt;&gt;"",C98=""),"Type the next free no. ","")&amp;IF(AND(F98&lt;&gt;"",COUNTIF(F$4:F$303,F98)&gt;1),"Duplicate Doc ID. ","")))</f>
        <v/>
      </c>
      <c r="S98" s="22" t="n"/>
      <c r="T98" s="23" t="n"/>
    </row>
    <row r="99">
      <c r="A99" s="35" t="n"/>
      <c r="B99" s="22" t="n"/>
      <c r="C99" s="22" t="n"/>
      <c r="D99" s="7">
        <f>IF(A99="","",IF(ISNUMBER(A99),TEXT(A99,"00"),TRIM(A99)))</f>
        <v/>
      </c>
      <c r="E99" s="7">
        <f t="array" ref="E99">IF(OR(D99="",B99=""),"",MAX(IF((D$4:D$303=D99)*(B$4:B$303=B99)*ISNUMBER(C$4:C$303),C$4:C$303,0))+1)</f>
        <v/>
      </c>
      <c r="F99" s="7">
        <f>IF(OR(D99="",B99="",NOT(ISNUMBER(C99))),"",D99&amp;"-"&amp;B99&amp;"-"&amp;TEXT(C99,"000"))</f>
        <v/>
      </c>
      <c r="G99" s="23" t="n"/>
      <c r="H99" s="22" t="n"/>
      <c r="I99" s="24" t="n"/>
      <c r="J99" s="22" t="n"/>
      <c r="K99" s="22" t="n"/>
      <c r="L99" s="22" t="n"/>
      <c r="M99" s="22" t="n"/>
      <c r="N99" s="22" t="n"/>
      <c r="O99" s="7">
        <f>IF(F99="","",F99&amp;"_"&amp;SUBSTITUTE(SUBSTITUTE(SUBSTITUTE(SUBSTITUTE(SUBSTITUTE(SUBSTITUTE(SUBSTITUTE(SUBSTITUTE(SUBSTITUTE(SUBSTITUTE(TRIM(G99)," ","-"),"/","-"),"\","-"),":","-"),"*","-"),"?","-"),"""","-"),"&lt;","-"),"&gt;","-"),"|","-")&amp;IF(H99="","","_Rev"&amp;H99))</f>
        <v/>
      </c>
      <c r="P99" s="7">
        <f>IF(D99="","",IF(L99="Superseded","99 Archive",IF(AND(D99="04",K99&lt;&gt;""),IFERROR(INDEX('Google Drive Map'!$B$4:$B$33,MATCH("04/"&amp;LEFT(K99,2),'Google Drive Map'!$A$4:$A$33,0)),"04 Trades &amp; Tenders/"&amp;K99),IFERROR(INDEX('Google Drive Map'!$B$4:$B$33,MATCH(D99,'Google Drive Map'!$A$4:$A$33,0)),""))))</f>
        <v/>
      </c>
      <c r="Q99" s="7">
        <f>IF(P99="","",IF(IFERROR(INDEX('Google Drive Map'!$G$4:$G$33,MATCH(P99,'Google Drive Map'!$B$4:$B$33,0))&amp;"","")="","",HYPERLINK(INDEX('Google Drive Map'!$G$4:$G$33,MATCH(P99,'Google Drive Map'!$B$4:$B$33,0)),"Open")))</f>
        <v/>
      </c>
      <c r="R99" s="7">
        <f>IF(AND(A99="",B99="",C99=""),"",TRIM(IF(AND(D99&lt;&gt;"",ISNA(MATCH(D99,'Google Drive Map'!$A$4:$A$33,0))),"Folder code isn't on the folder map. ","")&amp;IF(AND(C99&lt;&gt;"",NOT(ISNUMBER(C99))),"No. must be a whole number. ","")&amp;IF(AND(D99&lt;&gt;"",B99&lt;&gt;"",C99=""),"Type the next free no. ","")&amp;IF(AND(F99&lt;&gt;"",COUNTIF(F$4:F$303,F99)&gt;1),"Duplicate Doc ID. ","")))</f>
        <v/>
      </c>
      <c r="S99" s="22" t="n"/>
      <c r="T99" s="23" t="n"/>
    </row>
    <row r="100">
      <c r="A100" s="35" t="n"/>
      <c r="B100" s="22" t="n"/>
      <c r="C100" s="22" t="n"/>
      <c r="D100" s="7">
        <f>IF(A100="","",IF(ISNUMBER(A100),TEXT(A100,"00"),TRIM(A100)))</f>
        <v/>
      </c>
      <c r="E100" s="7">
        <f t="array" ref="E100">IF(OR(D100="",B100=""),"",MAX(IF((D$4:D$303=D100)*(B$4:B$303=B100)*ISNUMBER(C$4:C$303),C$4:C$303,0))+1)</f>
        <v/>
      </c>
      <c r="F100" s="7">
        <f>IF(OR(D100="",B100="",NOT(ISNUMBER(C100))),"",D100&amp;"-"&amp;B100&amp;"-"&amp;TEXT(C100,"000"))</f>
        <v/>
      </c>
      <c r="G100" s="23" t="n"/>
      <c r="H100" s="22" t="n"/>
      <c r="I100" s="24" t="n"/>
      <c r="J100" s="22" t="n"/>
      <c r="K100" s="22" t="n"/>
      <c r="L100" s="22" t="n"/>
      <c r="M100" s="22" t="n"/>
      <c r="N100" s="22" t="n"/>
      <c r="O100" s="7">
        <f>IF(F100="","",F100&amp;"_"&amp;SUBSTITUTE(SUBSTITUTE(SUBSTITUTE(SUBSTITUTE(SUBSTITUTE(SUBSTITUTE(SUBSTITUTE(SUBSTITUTE(SUBSTITUTE(SUBSTITUTE(TRIM(G100)," ","-"),"/","-"),"\","-"),":","-"),"*","-"),"?","-"),"""","-"),"&lt;","-"),"&gt;","-"),"|","-")&amp;IF(H100="","","_Rev"&amp;H100))</f>
        <v/>
      </c>
      <c r="P100" s="7">
        <f>IF(D100="","",IF(L100="Superseded","99 Archive",IF(AND(D100="04",K100&lt;&gt;""),IFERROR(INDEX('Google Drive Map'!$B$4:$B$33,MATCH("04/"&amp;LEFT(K100,2),'Google Drive Map'!$A$4:$A$33,0)),"04 Trades &amp; Tenders/"&amp;K100),IFERROR(INDEX('Google Drive Map'!$B$4:$B$33,MATCH(D100,'Google Drive Map'!$A$4:$A$33,0)),""))))</f>
        <v/>
      </c>
      <c r="Q100" s="7">
        <f>IF(P100="","",IF(IFERROR(INDEX('Google Drive Map'!$G$4:$G$33,MATCH(P100,'Google Drive Map'!$B$4:$B$33,0))&amp;"","")="","",HYPERLINK(INDEX('Google Drive Map'!$G$4:$G$33,MATCH(P100,'Google Drive Map'!$B$4:$B$33,0)),"Open")))</f>
        <v/>
      </c>
      <c r="R100" s="7">
        <f>IF(AND(A100="",B100="",C100=""),"",TRIM(IF(AND(D100&lt;&gt;"",ISNA(MATCH(D100,'Google Drive Map'!$A$4:$A$33,0))),"Folder code isn't on the folder map. ","")&amp;IF(AND(C100&lt;&gt;"",NOT(ISNUMBER(C100))),"No. must be a whole number. ","")&amp;IF(AND(D100&lt;&gt;"",B100&lt;&gt;"",C100=""),"Type the next free no. ","")&amp;IF(AND(F100&lt;&gt;"",COUNTIF(F$4:F$303,F100)&gt;1),"Duplicate Doc ID. ","")))</f>
        <v/>
      </c>
      <c r="S100" s="22" t="n"/>
      <c r="T100" s="23" t="n"/>
    </row>
    <row r="101">
      <c r="A101" s="35" t="n"/>
      <c r="B101" s="22" t="n"/>
      <c r="C101" s="22" t="n"/>
      <c r="D101" s="7">
        <f>IF(A101="","",IF(ISNUMBER(A101),TEXT(A101,"00"),TRIM(A101)))</f>
        <v/>
      </c>
      <c r="E101" s="7">
        <f t="array" ref="E101">IF(OR(D101="",B101=""),"",MAX(IF((D$4:D$303=D101)*(B$4:B$303=B101)*ISNUMBER(C$4:C$303),C$4:C$303,0))+1)</f>
        <v/>
      </c>
      <c r="F101" s="7">
        <f>IF(OR(D101="",B101="",NOT(ISNUMBER(C101))),"",D101&amp;"-"&amp;B101&amp;"-"&amp;TEXT(C101,"000"))</f>
        <v/>
      </c>
      <c r="G101" s="23" t="n"/>
      <c r="H101" s="22" t="n"/>
      <c r="I101" s="24" t="n"/>
      <c r="J101" s="22" t="n"/>
      <c r="K101" s="22" t="n"/>
      <c r="L101" s="22" t="n"/>
      <c r="M101" s="22" t="n"/>
      <c r="N101" s="22" t="n"/>
      <c r="O101" s="7">
        <f>IF(F101="","",F101&amp;"_"&amp;SUBSTITUTE(SUBSTITUTE(SUBSTITUTE(SUBSTITUTE(SUBSTITUTE(SUBSTITUTE(SUBSTITUTE(SUBSTITUTE(SUBSTITUTE(SUBSTITUTE(TRIM(G101)," ","-"),"/","-"),"\","-"),":","-"),"*","-"),"?","-"),"""","-"),"&lt;","-"),"&gt;","-"),"|","-")&amp;IF(H101="","","_Rev"&amp;H101))</f>
        <v/>
      </c>
      <c r="P101" s="7">
        <f>IF(D101="","",IF(L101="Superseded","99 Archive",IF(AND(D101="04",K101&lt;&gt;""),IFERROR(INDEX('Google Drive Map'!$B$4:$B$33,MATCH("04/"&amp;LEFT(K101,2),'Google Drive Map'!$A$4:$A$33,0)),"04 Trades &amp; Tenders/"&amp;K101),IFERROR(INDEX('Google Drive Map'!$B$4:$B$33,MATCH(D101,'Google Drive Map'!$A$4:$A$33,0)),""))))</f>
        <v/>
      </c>
      <c r="Q101" s="7">
        <f>IF(P101="","",IF(IFERROR(INDEX('Google Drive Map'!$G$4:$G$33,MATCH(P101,'Google Drive Map'!$B$4:$B$33,0))&amp;"","")="","",HYPERLINK(INDEX('Google Drive Map'!$G$4:$G$33,MATCH(P101,'Google Drive Map'!$B$4:$B$33,0)),"Open")))</f>
        <v/>
      </c>
      <c r="R101" s="7">
        <f>IF(AND(A101="",B101="",C101=""),"",TRIM(IF(AND(D101&lt;&gt;"",ISNA(MATCH(D101,'Google Drive Map'!$A$4:$A$33,0))),"Folder code isn't on the folder map. ","")&amp;IF(AND(C101&lt;&gt;"",NOT(ISNUMBER(C101))),"No. must be a whole number. ","")&amp;IF(AND(D101&lt;&gt;"",B101&lt;&gt;"",C101=""),"Type the next free no. ","")&amp;IF(AND(F101&lt;&gt;"",COUNTIF(F$4:F$303,F101)&gt;1),"Duplicate Doc ID. ","")))</f>
        <v/>
      </c>
      <c r="S101" s="22" t="n"/>
      <c r="T101" s="23" t="n"/>
    </row>
    <row r="102">
      <c r="A102" s="35" t="n"/>
      <c r="B102" s="22" t="n"/>
      <c r="C102" s="22" t="n"/>
      <c r="D102" s="7">
        <f>IF(A102="","",IF(ISNUMBER(A102),TEXT(A102,"00"),TRIM(A102)))</f>
        <v/>
      </c>
      <c r="E102" s="7">
        <f t="array" ref="E102">IF(OR(D102="",B102=""),"",MAX(IF((D$4:D$303=D102)*(B$4:B$303=B102)*ISNUMBER(C$4:C$303),C$4:C$303,0))+1)</f>
        <v/>
      </c>
      <c r="F102" s="7">
        <f>IF(OR(D102="",B102="",NOT(ISNUMBER(C102))),"",D102&amp;"-"&amp;B102&amp;"-"&amp;TEXT(C102,"000"))</f>
        <v/>
      </c>
      <c r="G102" s="23" t="n"/>
      <c r="H102" s="22" t="n"/>
      <c r="I102" s="24" t="n"/>
      <c r="J102" s="22" t="n"/>
      <c r="K102" s="22" t="n"/>
      <c r="L102" s="22" t="n"/>
      <c r="M102" s="22" t="n"/>
      <c r="N102" s="22" t="n"/>
      <c r="O102" s="7">
        <f>IF(F102="","",F102&amp;"_"&amp;SUBSTITUTE(SUBSTITUTE(SUBSTITUTE(SUBSTITUTE(SUBSTITUTE(SUBSTITUTE(SUBSTITUTE(SUBSTITUTE(SUBSTITUTE(SUBSTITUTE(TRIM(G102)," ","-"),"/","-"),"\","-"),":","-"),"*","-"),"?","-"),"""","-"),"&lt;","-"),"&gt;","-"),"|","-")&amp;IF(H102="","","_Rev"&amp;H102))</f>
        <v/>
      </c>
      <c r="P102" s="7">
        <f>IF(D102="","",IF(L102="Superseded","99 Archive",IF(AND(D102="04",K102&lt;&gt;""),IFERROR(INDEX('Google Drive Map'!$B$4:$B$33,MATCH("04/"&amp;LEFT(K102,2),'Google Drive Map'!$A$4:$A$33,0)),"04 Trades &amp; Tenders/"&amp;K102),IFERROR(INDEX('Google Drive Map'!$B$4:$B$33,MATCH(D102,'Google Drive Map'!$A$4:$A$33,0)),""))))</f>
        <v/>
      </c>
      <c r="Q102" s="7">
        <f>IF(P102="","",IF(IFERROR(INDEX('Google Drive Map'!$G$4:$G$33,MATCH(P102,'Google Drive Map'!$B$4:$B$33,0))&amp;"","")="","",HYPERLINK(INDEX('Google Drive Map'!$G$4:$G$33,MATCH(P102,'Google Drive Map'!$B$4:$B$33,0)),"Open")))</f>
        <v/>
      </c>
      <c r="R102" s="7">
        <f>IF(AND(A102="",B102="",C102=""),"",TRIM(IF(AND(D102&lt;&gt;"",ISNA(MATCH(D102,'Google Drive Map'!$A$4:$A$33,0))),"Folder code isn't on the folder map. ","")&amp;IF(AND(C102&lt;&gt;"",NOT(ISNUMBER(C102))),"No. must be a whole number. ","")&amp;IF(AND(D102&lt;&gt;"",B102&lt;&gt;"",C102=""),"Type the next free no. ","")&amp;IF(AND(F102&lt;&gt;"",COUNTIF(F$4:F$303,F102)&gt;1),"Duplicate Doc ID. ","")))</f>
        <v/>
      </c>
      <c r="S102" s="22" t="n"/>
      <c r="T102" s="23" t="n"/>
    </row>
    <row r="103">
      <c r="A103" s="35" t="n"/>
      <c r="B103" s="22" t="n"/>
      <c r="C103" s="22" t="n"/>
      <c r="D103" s="7">
        <f>IF(A103="","",IF(ISNUMBER(A103),TEXT(A103,"00"),TRIM(A103)))</f>
        <v/>
      </c>
      <c r="E103" s="7">
        <f t="array" ref="E103">IF(OR(D103="",B103=""),"",MAX(IF((D$4:D$303=D103)*(B$4:B$303=B103)*ISNUMBER(C$4:C$303),C$4:C$303,0))+1)</f>
        <v/>
      </c>
      <c r="F103" s="7">
        <f>IF(OR(D103="",B103="",NOT(ISNUMBER(C103))),"",D103&amp;"-"&amp;B103&amp;"-"&amp;TEXT(C103,"000"))</f>
        <v/>
      </c>
      <c r="G103" s="23" t="n"/>
      <c r="H103" s="22" t="n"/>
      <c r="I103" s="24" t="n"/>
      <c r="J103" s="22" t="n"/>
      <c r="K103" s="22" t="n"/>
      <c r="L103" s="22" t="n"/>
      <c r="M103" s="22" t="n"/>
      <c r="N103" s="22" t="n"/>
      <c r="O103" s="7">
        <f>IF(F103="","",F103&amp;"_"&amp;SUBSTITUTE(SUBSTITUTE(SUBSTITUTE(SUBSTITUTE(SUBSTITUTE(SUBSTITUTE(SUBSTITUTE(SUBSTITUTE(SUBSTITUTE(SUBSTITUTE(TRIM(G103)," ","-"),"/","-"),"\","-"),":","-"),"*","-"),"?","-"),"""","-"),"&lt;","-"),"&gt;","-"),"|","-")&amp;IF(H103="","","_Rev"&amp;H103))</f>
        <v/>
      </c>
      <c r="P103" s="7">
        <f>IF(D103="","",IF(L103="Superseded","99 Archive",IF(AND(D103="04",K103&lt;&gt;""),IFERROR(INDEX('Google Drive Map'!$B$4:$B$33,MATCH("04/"&amp;LEFT(K103,2),'Google Drive Map'!$A$4:$A$33,0)),"04 Trades &amp; Tenders/"&amp;K103),IFERROR(INDEX('Google Drive Map'!$B$4:$B$33,MATCH(D103,'Google Drive Map'!$A$4:$A$33,0)),""))))</f>
        <v/>
      </c>
      <c r="Q103" s="7">
        <f>IF(P103="","",IF(IFERROR(INDEX('Google Drive Map'!$G$4:$G$33,MATCH(P103,'Google Drive Map'!$B$4:$B$33,0))&amp;"","")="","",HYPERLINK(INDEX('Google Drive Map'!$G$4:$G$33,MATCH(P103,'Google Drive Map'!$B$4:$B$33,0)),"Open")))</f>
        <v/>
      </c>
      <c r="R103" s="7">
        <f>IF(AND(A103="",B103="",C103=""),"",TRIM(IF(AND(D103&lt;&gt;"",ISNA(MATCH(D103,'Google Drive Map'!$A$4:$A$33,0))),"Folder code isn't on the folder map. ","")&amp;IF(AND(C103&lt;&gt;"",NOT(ISNUMBER(C103))),"No. must be a whole number. ","")&amp;IF(AND(D103&lt;&gt;"",B103&lt;&gt;"",C103=""),"Type the next free no. ","")&amp;IF(AND(F103&lt;&gt;"",COUNTIF(F$4:F$303,F103)&gt;1),"Duplicate Doc ID. ","")))</f>
        <v/>
      </c>
      <c r="S103" s="22" t="n"/>
      <c r="T103" s="23" t="n"/>
    </row>
    <row r="104">
      <c r="A104" s="35" t="n"/>
      <c r="B104" s="22" t="n"/>
      <c r="C104" s="22" t="n"/>
      <c r="D104" s="7">
        <f>IF(A104="","",IF(ISNUMBER(A104),TEXT(A104,"00"),TRIM(A104)))</f>
        <v/>
      </c>
      <c r="E104" s="7">
        <f t="array" ref="E104">IF(OR(D104="",B104=""),"",MAX(IF((D$4:D$303=D104)*(B$4:B$303=B104)*ISNUMBER(C$4:C$303),C$4:C$303,0))+1)</f>
        <v/>
      </c>
      <c r="F104" s="7">
        <f>IF(OR(D104="",B104="",NOT(ISNUMBER(C104))),"",D104&amp;"-"&amp;B104&amp;"-"&amp;TEXT(C104,"000"))</f>
        <v/>
      </c>
      <c r="G104" s="23" t="n"/>
      <c r="H104" s="22" t="n"/>
      <c r="I104" s="24" t="n"/>
      <c r="J104" s="22" t="n"/>
      <c r="K104" s="22" t="n"/>
      <c r="L104" s="22" t="n"/>
      <c r="M104" s="22" t="n"/>
      <c r="N104" s="22" t="n"/>
      <c r="O104" s="7">
        <f>IF(F104="","",F104&amp;"_"&amp;SUBSTITUTE(SUBSTITUTE(SUBSTITUTE(SUBSTITUTE(SUBSTITUTE(SUBSTITUTE(SUBSTITUTE(SUBSTITUTE(SUBSTITUTE(SUBSTITUTE(TRIM(G104)," ","-"),"/","-"),"\","-"),":","-"),"*","-"),"?","-"),"""","-"),"&lt;","-"),"&gt;","-"),"|","-")&amp;IF(H104="","","_Rev"&amp;H104))</f>
        <v/>
      </c>
      <c r="P104" s="7">
        <f>IF(D104="","",IF(L104="Superseded","99 Archive",IF(AND(D104="04",K104&lt;&gt;""),IFERROR(INDEX('Google Drive Map'!$B$4:$B$33,MATCH("04/"&amp;LEFT(K104,2),'Google Drive Map'!$A$4:$A$33,0)),"04 Trades &amp; Tenders/"&amp;K104),IFERROR(INDEX('Google Drive Map'!$B$4:$B$33,MATCH(D104,'Google Drive Map'!$A$4:$A$33,0)),""))))</f>
        <v/>
      </c>
      <c r="Q104" s="7">
        <f>IF(P104="","",IF(IFERROR(INDEX('Google Drive Map'!$G$4:$G$33,MATCH(P104,'Google Drive Map'!$B$4:$B$33,0))&amp;"","")="","",HYPERLINK(INDEX('Google Drive Map'!$G$4:$G$33,MATCH(P104,'Google Drive Map'!$B$4:$B$33,0)),"Open")))</f>
        <v/>
      </c>
      <c r="R104" s="7">
        <f>IF(AND(A104="",B104="",C104=""),"",TRIM(IF(AND(D104&lt;&gt;"",ISNA(MATCH(D104,'Google Drive Map'!$A$4:$A$33,0))),"Folder code isn't on the folder map. ","")&amp;IF(AND(C104&lt;&gt;"",NOT(ISNUMBER(C104))),"No. must be a whole number. ","")&amp;IF(AND(D104&lt;&gt;"",B104&lt;&gt;"",C104=""),"Type the next free no. ","")&amp;IF(AND(F104&lt;&gt;"",COUNTIF(F$4:F$303,F104)&gt;1),"Duplicate Doc ID. ","")))</f>
        <v/>
      </c>
      <c r="S104" s="22" t="n"/>
      <c r="T104" s="23" t="n"/>
    </row>
    <row r="105">
      <c r="A105" s="35" t="n"/>
      <c r="B105" s="22" t="n"/>
      <c r="C105" s="22" t="n"/>
      <c r="D105" s="7">
        <f>IF(A105="","",IF(ISNUMBER(A105),TEXT(A105,"00"),TRIM(A105)))</f>
        <v/>
      </c>
      <c r="E105" s="7">
        <f t="array" ref="E105">IF(OR(D105="",B105=""),"",MAX(IF((D$4:D$303=D105)*(B$4:B$303=B105)*ISNUMBER(C$4:C$303),C$4:C$303,0))+1)</f>
        <v/>
      </c>
      <c r="F105" s="7">
        <f>IF(OR(D105="",B105="",NOT(ISNUMBER(C105))),"",D105&amp;"-"&amp;B105&amp;"-"&amp;TEXT(C105,"000"))</f>
        <v/>
      </c>
      <c r="G105" s="23" t="n"/>
      <c r="H105" s="22" t="n"/>
      <c r="I105" s="24" t="n"/>
      <c r="J105" s="22" t="n"/>
      <c r="K105" s="22" t="n"/>
      <c r="L105" s="22" t="n"/>
      <c r="M105" s="22" t="n"/>
      <c r="N105" s="22" t="n"/>
      <c r="O105" s="7">
        <f>IF(F105="","",F105&amp;"_"&amp;SUBSTITUTE(SUBSTITUTE(SUBSTITUTE(SUBSTITUTE(SUBSTITUTE(SUBSTITUTE(SUBSTITUTE(SUBSTITUTE(SUBSTITUTE(SUBSTITUTE(TRIM(G105)," ","-"),"/","-"),"\","-"),":","-"),"*","-"),"?","-"),"""","-"),"&lt;","-"),"&gt;","-"),"|","-")&amp;IF(H105="","","_Rev"&amp;H105))</f>
        <v/>
      </c>
      <c r="P105" s="7">
        <f>IF(D105="","",IF(L105="Superseded","99 Archive",IF(AND(D105="04",K105&lt;&gt;""),IFERROR(INDEX('Google Drive Map'!$B$4:$B$33,MATCH("04/"&amp;LEFT(K105,2),'Google Drive Map'!$A$4:$A$33,0)),"04 Trades &amp; Tenders/"&amp;K105),IFERROR(INDEX('Google Drive Map'!$B$4:$B$33,MATCH(D105,'Google Drive Map'!$A$4:$A$33,0)),""))))</f>
        <v/>
      </c>
      <c r="Q105" s="7">
        <f>IF(P105="","",IF(IFERROR(INDEX('Google Drive Map'!$G$4:$G$33,MATCH(P105,'Google Drive Map'!$B$4:$B$33,0))&amp;"","")="","",HYPERLINK(INDEX('Google Drive Map'!$G$4:$G$33,MATCH(P105,'Google Drive Map'!$B$4:$B$33,0)),"Open")))</f>
        <v/>
      </c>
      <c r="R105" s="7">
        <f>IF(AND(A105="",B105="",C105=""),"",TRIM(IF(AND(D105&lt;&gt;"",ISNA(MATCH(D105,'Google Drive Map'!$A$4:$A$33,0))),"Folder code isn't on the folder map. ","")&amp;IF(AND(C105&lt;&gt;"",NOT(ISNUMBER(C105))),"No. must be a whole number. ","")&amp;IF(AND(D105&lt;&gt;"",B105&lt;&gt;"",C105=""),"Type the next free no. ","")&amp;IF(AND(F105&lt;&gt;"",COUNTIF(F$4:F$303,F105)&gt;1),"Duplicate Doc ID. ","")))</f>
        <v/>
      </c>
      <c r="S105" s="22" t="n"/>
      <c r="T105" s="23" t="n"/>
    </row>
    <row r="106">
      <c r="A106" s="35" t="n"/>
      <c r="B106" s="22" t="n"/>
      <c r="C106" s="22" t="n"/>
      <c r="D106" s="7">
        <f>IF(A106="","",IF(ISNUMBER(A106),TEXT(A106,"00"),TRIM(A106)))</f>
        <v/>
      </c>
      <c r="E106" s="7">
        <f t="array" ref="E106">IF(OR(D106="",B106=""),"",MAX(IF((D$4:D$303=D106)*(B$4:B$303=B106)*ISNUMBER(C$4:C$303),C$4:C$303,0))+1)</f>
        <v/>
      </c>
      <c r="F106" s="7">
        <f>IF(OR(D106="",B106="",NOT(ISNUMBER(C106))),"",D106&amp;"-"&amp;B106&amp;"-"&amp;TEXT(C106,"000"))</f>
        <v/>
      </c>
      <c r="G106" s="23" t="n"/>
      <c r="H106" s="22" t="n"/>
      <c r="I106" s="24" t="n"/>
      <c r="J106" s="22" t="n"/>
      <c r="K106" s="22" t="n"/>
      <c r="L106" s="22" t="n"/>
      <c r="M106" s="22" t="n"/>
      <c r="N106" s="22" t="n"/>
      <c r="O106" s="7">
        <f>IF(F106="","",F106&amp;"_"&amp;SUBSTITUTE(SUBSTITUTE(SUBSTITUTE(SUBSTITUTE(SUBSTITUTE(SUBSTITUTE(SUBSTITUTE(SUBSTITUTE(SUBSTITUTE(SUBSTITUTE(TRIM(G106)," ","-"),"/","-"),"\","-"),":","-"),"*","-"),"?","-"),"""","-"),"&lt;","-"),"&gt;","-"),"|","-")&amp;IF(H106="","","_Rev"&amp;H106))</f>
        <v/>
      </c>
      <c r="P106" s="7">
        <f>IF(D106="","",IF(L106="Superseded","99 Archive",IF(AND(D106="04",K106&lt;&gt;""),IFERROR(INDEX('Google Drive Map'!$B$4:$B$33,MATCH("04/"&amp;LEFT(K106,2),'Google Drive Map'!$A$4:$A$33,0)),"04 Trades &amp; Tenders/"&amp;K106),IFERROR(INDEX('Google Drive Map'!$B$4:$B$33,MATCH(D106,'Google Drive Map'!$A$4:$A$33,0)),""))))</f>
        <v/>
      </c>
      <c r="Q106" s="7">
        <f>IF(P106="","",IF(IFERROR(INDEX('Google Drive Map'!$G$4:$G$33,MATCH(P106,'Google Drive Map'!$B$4:$B$33,0))&amp;"","")="","",HYPERLINK(INDEX('Google Drive Map'!$G$4:$G$33,MATCH(P106,'Google Drive Map'!$B$4:$B$33,0)),"Open")))</f>
        <v/>
      </c>
      <c r="R106" s="7">
        <f>IF(AND(A106="",B106="",C106=""),"",TRIM(IF(AND(D106&lt;&gt;"",ISNA(MATCH(D106,'Google Drive Map'!$A$4:$A$33,0))),"Folder code isn't on the folder map. ","")&amp;IF(AND(C106&lt;&gt;"",NOT(ISNUMBER(C106))),"No. must be a whole number. ","")&amp;IF(AND(D106&lt;&gt;"",B106&lt;&gt;"",C106=""),"Type the next free no. ","")&amp;IF(AND(F106&lt;&gt;"",COUNTIF(F$4:F$303,F106)&gt;1),"Duplicate Doc ID. ","")))</f>
        <v/>
      </c>
      <c r="S106" s="22" t="n"/>
      <c r="T106" s="23" t="n"/>
    </row>
    <row r="107">
      <c r="A107" s="35" t="n"/>
      <c r="B107" s="22" t="n"/>
      <c r="C107" s="22" t="n"/>
      <c r="D107" s="7">
        <f>IF(A107="","",IF(ISNUMBER(A107),TEXT(A107,"00"),TRIM(A107)))</f>
        <v/>
      </c>
      <c r="E107" s="7">
        <f t="array" ref="E107">IF(OR(D107="",B107=""),"",MAX(IF((D$4:D$303=D107)*(B$4:B$303=B107)*ISNUMBER(C$4:C$303),C$4:C$303,0))+1)</f>
        <v/>
      </c>
      <c r="F107" s="7">
        <f>IF(OR(D107="",B107="",NOT(ISNUMBER(C107))),"",D107&amp;"-"&amp;B107&amp;"-"&amp;TEXT(C107,"000"))</f>
        <v/>
      </c>
      <c r="G107" s="23" t="n"/>
      <c r="H107" s="22" t="n"/>
      <c r="I107" s="24" t="n"/>
      <c r="J107" s="22" t="n"/>
      <c r="K107" s="22" t="n"/>
      <c r="L107" s="22" t="n"/>
      <c r="M107" s="22" t="n"/>
      <c r="N107" s="22" t="n"/>
      <c r="O107" s="7">
        <f>IF(F107="","",F107&amp;"_"&amp;SUBSTITUTE(SUBSTITUTE(SUBSTITUTE(SUBSTITUTE(SUBSTITUTE(SUBSTITUTE(SUBSTITUTE(SUBSTITUTE(SUBSTITUTE(SUBSTITUTE(TRIM(G107)," ","-"),"/","-"),"\","-"),":","-"),"*","-"),"?","-"),"""","-"),"&lt;","-"),"&gt;","-"),"|","-")&amp;IF(H107="","","_Rev"&amp;H107))</f>
        <v/>
      </c>
      <c r="P107" s="7">
        <f>IF(D107="","",IF(L107="Superseded","99 Archive",IF(AND(D107="04",K107&lt;&gt;""),IFERROR(INDEX('Google Drive Map'!$B$4:$B$33,MATCH("04/"&amp;LEFT(K107,2),'Google Drive Map'!$A$4:$A$33,0)),"04 Trades &amp; Tenders/"&amp;K107),IFERROR(INDEX('Google Drive Map'!$B$4:$B$33,MATCH(D107,'Google Drive Map'!$A$4:$A$33,0)),""))))</f>
        <v/>
      </c>
      <c r="Q107" s="7">
        <f>IF(P107="","",IF(IFERROR(INDEX('Google Drive Map'!$G$4:$G$33,MATCH(P107,'Google Drive Map'!$B$4:$B$33,0))&amp;"","")="","",HYPERLINK(INDEX('Google Drive Map'!$G$4:$G$33,MATCH(P107,'Google Drive Map'!$B$4:$B$33,0)),"Open")))</f>
        <v/>
      </c>
      <c r="R107" s="7">
        <f>IF(AND(A107="",B107="",C107=""),"",TRIM(IF(AND(D107&lt;&gt;"",ISNA(MATCH(D107,'Google Drive Map'!$A$4:$A$33,0))),"Folder code isn't on the folder map. ","")&amp;IF(AND(C107&lt;&gt;"",NOT(ISNUMBER(C107))),"No. must be a whole number. ","")&amp;IF(AND(D107&lt;&gt;"",B107&lt;&gt;"",C107=""),"Type the next free no. ","")&amp;IF(AND(F107&lt;&gt;"",COUNTIF(F$4:F$303,F107)&gt;1),"Duplicate Doc ID. ","")))</f>
        <v/>
      </c>
      <c r="S107" s="22" t="n"/>
      <c r="T107" s="23" t="n"/>
    </row>
    <row r="108">
      <c r="A108" s="35" t="n"/>
      <c r="B108" s="22" t="n"/>
      <c r="C108" s="22" t="n"/>
      <c r="D108" s="7">
        <f>IF(A108="","",IF(ISNUMBER(A108),TEXT(A108,"00"),TRIM(A108)))</f>
        <v/>
      </c>
      <c r="E108" s="7">
        <f t="array" ref="E108">IF(OR(D108="",B108=""),"",MAX(IF((D$4:D$303=D108)*(B$4:B$303=B108)*ISNUMBER(C$4:C$303),C$4:C$303,0))+1)</f>
        <v/>
      </c>
      <c r="F108" s="7">
        <f>IF(OR(D108="",B108="",NOT(ISNUMBER(C108))),"",D108&amp;"-"&amp;B108&amp;"-"&amp;TEXT(C108,"000"))</f>
        <v/>
      </c>
      <c r="G108" s="23" t="n"/>
      <c r="H108" s="22" t="n"/>
      <c r="I108" s="24" t="n"/>
      <c r="J108" s="22" t="n"/>
      <c r="K108" s="22" t="n"/>
      <c r="L108" s="22" t="n"/>
      <c r="M108" s="22" t="n"/>
      <c r="N108" s="22" t="n"/>
      <c r="O108" s="7">
        <f>IF(F108="","",F108&amp;"_"&amp;SUBSTITUTE(SUBSTITUTE(SUBSTITUTE(SUBSTITUTE(SUBSTITUTE(SUBSTITUTE(SUBSTITUTE(SUBSTITUTE(SUBSTITUTE(SUBSTITUTE(TRIM(G108)," ","-"),"/","-"),"\","-"),":","-"),"*","-"),"?","-"),"""","-"),"&lt;","-"),"&gt;","-"),"|","-")&amp;IF(H108="","","_Rev"&amp;H108))</f>
        <v/>
      </c>
      <c r="P108" s="7">
        <f>IF(D108="","",IF(L108="Superseded","99 Archive",IF(AND(D108="04",K108&lt;&gt;""),IFERROR(INDEX('Google Drive Map'!$B$4:$B$33,MATCH("04/"&amp;LEFT(K108,2),'Google Drive Map'!$A$4:$A$33,0)),"04 Trades &amp; Tenders/"&amp;K108),IFERROR(INDEX('Google Drive Map'!$B$4:$B$33,MATCH(D108,'Google Drive Map'!$A$4:$A$33,0)),""))))</f>
        <v/>
      </c>
      <c r="Q108" s="7">
        <f>IF(P108="","",IF(IFERROR(INDEX('Google Drive Map'!$G$4:$G$33,MATCH(P108,'Google Drive Map'!$B$4:$B$33,0))&amp;"","")="","",HYPERLINK(INDEX('Google Drive Map'!$G$4:$G$33,MATCH(P108,'Google Drive Map'!$B$4:$B$33,0)),"Open")))</f>
        <v/>
      </c>
      <c r="R108" s="7">
        <f>IF(AND(A108="",B108="",C108=""),"",TRIM(IF(AND(D108&lt;&gt;"",ISNA(MATCH(D108,'Google Drive Map'!$A$4:$A$33,0))),"Folder code isn't on the folder map. ","")&amp;IF(AND(C108&lt;&gt;"",NOT(ISNUMBER(C108))),"No. must be a whole number. ","")&amp;IF(AND(D108&lt;&gt;"",B108&lt;&gt;"",C108=""),"Type the next free no. ","")&amp;IF(AND(F108&lt;&gt;"",COUNTIF(F$4:F$303,F108)&gt;1),"Duplicate Doc ID. ","")))</f>
        <v/>
      </c>
      <c r="S108" s="22" t="n"/>
      <c r="T108" s="23" t="n"/>
    </row>
    <row r="109">
      <c r="A109" s="35" t="n"/>
      <c r="B109" s="22" t="n"/>
      <c r="C109" s="22" t="n"/>
      <c r="D109" s="7">
        <f>IF(A109="","",IF(ISNUMBER(A109),TEXT(A109,"00"),TRIM(A109)))</f>
        <v/>
      </c>
      <c r="E109" s="7">
        <f t="array" ref="E109">IF(OR(D109="",B109=""),"",MAX(IF((D$4:D$303=D109)*(B$4:B$303=B109)*ISNUMBER(C$4:C$303),C$4:C$303,0))+1)</f>
        <v/>
      </c>
      <c r="F109" s="7">
        <f>IF(OR(D109="",B109="",NOT(ISNUMBER(C109))),"",D109&amp;"-"&amp;B109&amp;"-"&amp;TEXT(C109,"000"))</f>
        <v/>
      </c>
      <c r="G109" s="23" t="n"/>
      <c r="H109" s="22" t="n"/>
      <c r="I109" s="24" t="n"/>
      <c r="J109" s="22" t="n"/>
      <c r="K109" s="22" t="n"/>
      <c r="L109" s="22" t="n"/>
      <c r="M109" s="22" t="n"/>
      <c r="N109" s="22" t="n"/>
      <c r="O109" s="7">
        <f>IF(F109="","",F109&amp;"_"&amp;SUBSTITUTE(SUBSTITUTE(SUBSTITUTE(SUBSTITUTE(SUBSTITUTE(SUBSTITUTE(SUBSTITUTE(SUBSTITUTE(SUBSTITUTE(SUBSTITUTE(TRIM(G109)," ","-"),"/","-"),"\","-"),":","-"),"*","-"),"?","-"),"""","-"),"&lt;","-"),"&gt;","-"),"|","-")&amp;IF(H109="","","_Rev"&amp;H109))</f>
        <v/>
      </c>
      <c r="P109" s="7">
        <f>IF(D109="","",IF(L109="Superseded","99 Archive",IF(AND(D109="04",K109&lt;&gt;""),IFERROR(INDEX('Google Drive Map'!$B$4:$B$33,MATCH("04/"&amp;LEFT(K109,2),'Google Drive Map'!$A$4:$A$33,0)),"04 Trades &amp; Tenders/"&amp;K109),IFERROR(INDEX('Google Drive Map'!$B$4:$B$33,MATCH(D109,'Google Drive Map'!$A$4:$A$33,0)),""))))</f>
        <v/>
      </c>
      <c r="Q109" s="7">
        <f>IF(P109="","",IF(IFERROR(INDEX('Google Drive Map'!$G$4:$G$33,MATCH(P109,'Google Drive Map'!$B$4:$B$33,0))&amp;"","")="","",HYPERLINK(INDEX('Google Drive Map'!$G$4:$G$33,MATCH(P109,'Google Drive Map'!$B$4:$B$33,0)),"Open")))</f>
        <v/>
      </c>
      <c r="R109" s="7">
        <f>IF(AND(A109="",B109="",C109=""),"",TRIM(IF(AND(D109&lt;&gt;"",ISNA(MATCH(D109,'Google Drive Map'!$A$4:$A$33,0))),"Folder code isn't on the folder map. ","")&amp;IF(AND(C109&lt;&gt;"",NOT(ISNUMBER(C109))),"No. must be a whole number. ","")&amp;IF(AND(D109&lt;&gt;"",B109&lt;&gt;"",C109=""),"Type the next free no. ","")&amp;IF(AND(F109&lt;&gt;"",COUNTIF(F$4:F$303,F109)&gt;1),"Duplicate Doc ID. ","")))</f>
        <v/>
      </c>
      <c r="S109" s="22" t="n"/>
      <c r="T109" s="23" t="n"/>
    </row>
    <row r="110">
      <c r="A110" s="35" t="n"/>
      <c r="B110" s="22" t="n"/>
      <c r="C110" s="22" t="n"/>
      <c r="D110" s="7">
        <f>IF(A110="","",IF(ISNUMBER(A110),TEXT(A110,"00"),TRIM(A110)))</f>
        <v/>
      </c>
      <c r="E110" s="7">
        <f t="array" ref="E110">IF(OR(D110="",B110=""),"",MAX(IF((D$4:D$303=D110)*(B$4:B$303=B110)*ISNUMBER(C$4:C$303),C$4:C$303,0))+1)</f>
        <v/>
      </c>
      <c r="F110" s="7">
        <f>IF(OR(D110="",B110="",NOT(ISNUMBER(C110))),"",D110&amp;"-"&amp;B110&amp;"-"&amp;TEXT(C110,"000"))</f>
        <v/>
      </c>
      <c r="G110" s="23" t="n"/>
      <c r="H110" s="22" t="n"/>
      <c r="I110" s="24" t="n"/>
      <c r="J110" s="22" t="n"/>
      <c r="K110" s="22" t="n"/>
      <c r="L110" s="22" t="n"/>
      <c r="M110" s="22" t="n"/>
      <c r="N110" s="22" t="n"/>
      <c r="O110" s="7">
        <f>IF(F110="","",F110&amp;"_"&amp;SUBSTITUTE(SUBSTITUTE(SUBSTITUTE(SUBSTITUTE(SUBSTITUTE(SUBSTITUTE(SUBSTITUTE(SUBSTITUTE(SUBSTITUTE(SUBSTITUTE(TRIM(G110)," ","-"),"/","-"),"\","-"),":","-"),"*","-"),"?","-"),"""","-"),"&lt;","-"),"&gt;","-"),"|","-")&amp;IF(H110="","","_Rev"&amp;H110))</f>
        <v/>
      </c>
      <c r="P110" s="7">
        <f>IF(D110="","",IF(L110="Superseded","99 Archive",IF(AND(D110="04",K110&lt;&gt;""),IFERROR(INDEX('Google Drive Map'!$B$4:$B$33,MATCH("04/"&amp;LEFT(K110,2),'Google Drive Map'!$A$4:$A$33,0)),"04 Trades &amp; Tenders/"&amp;K110),IFERROR(INDEX('Google Drive Map'!$B$4:$B$33,MATCH(D110,'Google Drive Map'!$A$4:$A$33,0)),""))))</f>
        <v/>
      </c>
      <c r="Q110" s="7">
        <f>IF(P110="","",IF(IFERROR(INDEX('Google Drive Map'!$G$4:$G$33,MATCH(P110,'Google Drive Map'!$B$4:$B$33,0))&amp;"","")="","",HYPERLINK(INDEX('Google Drive Map'!$G$4:$G$33,MATCH(P110,'Google Drive Map'!$B$4:$B$33,0)),"Open")))</f>
        <v/>
      </c>
      <c r="R110" s="7">
        <f>IF(AND(A110="",B110="",C110=""),"",TRIM(IF(AND(D110&lt;&gt;"",ISNA(MATCH(D110,'Google Drive Map'!$A$4:$A$33,0))),"Folder code isn't on the folder map. ","")&amp;IF(AND(C110&lt;&gt;"",NOT(ISNUMBER(C110))),"No. must be a whole number. ","")&amp;IF(AND(D110&lt;&gt;"",B110&lt;&gt;"",C110=""),"Type the next free no. ","")&amp;IF(AND(F110&lt;&gt;"",COUNTIF(F$4:F$303,F110)&gt;1),"Duplicate Doc ID. ","")))</f>
        <v/>
      </c>
      <c r="S110" s="22" t="n"/>
      <c r="T110" s="23" t="n"/>
    </row>
    <row r="111">
      <c r="A111" s="35" t="n"/>
      <c r="B111" s="22" t="n"/>
      <c r="C111" s="22" t="n"/>
      <c r="D111" s="7">
        <f>IF(A111="","",IF(ISNUMBER(A111),TEXT(A111,"00"),TRIM(A111)))</f>
        <v/>
      </c>
      <c r="E111" s="7">
        <f t="array" ref="E111">IF(OR(D111="",B111=""),"",MAX(IF((D$4:D$303=D111)*(B$4:B$303=B111)*ISNUMBER(C$4:C$303),C$4:C$303,0))+1)</f>
        <v/>
      </c>
      <c r="F111" s="7">
        <f>IF(OR(D111="",B111="",NOT(ISNUMBER(C111))),"",D111&amp;"-"&amp;B111&amp;"-"&amp;TEXT(C111,"000"))</f>
        <v/>
      </c>
      <c r="G111" s="23" t="n"/>
      <c r="H111" s="22" t="n"/>
      <c r="I111" s="24" t="n"/>
      <c r="J111" s="22" t="n"/>
      <c r="K111" s="22" t="n"/>
      <c r="L111" s="22" t="n"/>
      <c r="M111" s="22" t="n"/>
      <c r="N111" s="22" t="n"/>
      <c r="O111" s="7">
        <f>IF(F111="","",F111&amp;"_"&amp;SUBSTITUTE(SUBSTITUTE(SUBSTITUTE(SUBSTITUTE(SUBSTITUTE(SUBSTITUTE(SUBSTITUTE(SUBSTITUTE(SUBSTITUTE(SUBSTITUTE(TRIM(G111)," ","-"),"/","-"),"\","-"),":","-"),"*","-"),"?","-"),"""","-"),"&lt;","-"),"&gt;","-"),"|","-")&amp;IF(H111="","","_Rev"&amp;H111))</f>
        <v/>
      </c>
      <c r="P111" s="7">
        <f>IF(D111="","",IF(L111="Superseded","99 Archive",IF(AND(D111="04",K111&lt;&gt;""),IFERROR(INDEX('Google Drive Map'!$B$4:$B$33,MATCH("04/"&amp;LEFT(K111,2),'Google Drive Map'!$A$4:$A$33,0)),"04 Trades &amp; Tenders/"&amp;K111),IFERROR(INDEX('Google Drive Map'!$B$4:$B$33,MATCH(D111,'Google Drive Map'!$A$4:$A$33,0)),""))))</f>
        <v/>
      </c>
      <c r="Q111" s="7">
        <f>IF(P111="","",IF(IFERROR(INDEX('Google Drive Map'!$G$4:$G$33,MATCH(P111,'Google Drive Map'!$B$4:$B$33,0))&amp;"","")="","",HYPERLINK(INDEX('Google Drive Map'!$G$4:$G$33,MATCH(P111,'Google Drive Map'!$B$4:$B$33,0)),"Open")))</f>
        <v/>
      </c>
      <c r="R111" s="7">
        <f>IF(AND(A111="",B111="",C111=""),"",TRIM(IF(AND(D111&lt;&gt;"",ISNA(MATCH(D111,'Google Drive Map'!$A$4:$A$33,0))),"Folder code isn't on the folder map. ","")&amp;IF(AND(C111&lt;&gt;"",NOT(ISNUMBER(C111))),"No. must be a whole number. ","")&amp;IF(AND(D111&lt;&gt;"",B111&lt;&gt;"",C111=""),"Type the next free no. ","")&amp;IF(AND(F111&lt;&gt;"",COUNTIF(F$4:F$303,F111)&gt;1),"Duplicate Doc ID. ","")))</f>
        <v/>
      </c>
      <c r="S111" s="22" t="n"/>
      <c r="T111" s="23" t="n"/>
    </row>
    <row r="112">
      <c r="A112" s="35" t="n"/>
      <c r="B112" s="22" t="n"/>
      <c r="C112" s="22" t="n"/>
      <c r="D112" s="7">
        <f>IF(A112="","",IF(ISNUMBER(A112),TEXT(A112,"00"),TRIM(A112)))</f>
        <v/>
      </c>
      <c r="E112" s="7">
        <f t="array" ref="E112">IF(OR(D112="",B112=""),"",MAX(IF((D$4:D$303=D112)*(B$4:B$303=B112)*ISNUMBER(C$4:C$303),C$4:C$303,0))+1)</f>
        <v/>
      </c>
      <c r="F112" s="7">
        <f>IF(OR(D112="",B112="",NOT(ISNUMBER(C112))),"",D112&amp;"-"&amp;B112&amp;"-"&amp;TEXT(C112,"000"))</f>
        <v/>
      </c>
      <c r="G112" s="23" t="n"/>
      <c r="H112" s="22" t="n"/>
      <c r="I112" s="24" t="n"/>
      <c r="J112" s="22" t="n"/>
      <c r="K112" s="22" t="n"/>
      <c r="L112" s="22" t="n"/>
      <c r="M112" s="22" t="n"/>
      <c r="N112" s="22" t="n"/>
      <c r="O112" s="7">
        <f>IF(F112="","",F112&amp;"_"&amp;SUBSTITUTE(SUBSTITUTE(SUBSTITUTE(SUBSTITUTE(SUBSTITUTE(SUBSTITUTE(SUBSTITUTE(SUBSTITUTE(SUBSTITUTE(SUBSTITUTE(TRIM(G112)," ","-"),"/","-"),"\","-"),":","-"),"*","-"),"?","-"),"""","-"),"&lt;","-"),"&gt;","-"),"|","-")&amp;IF(H112="","","_Rev"&amp;H112))</f>
        <v/>
      </c>
      <c r="P112" s="7">
        <f>IF(D112="","",IF(L112="Superseded","99 Archive",IF(AND(D112="04",K112&lt;&gt;""),IFERROR(INDEX('Google Drive Map'!$B$4:$B$33,MATCH("04/"&amp;LEFT(K112,2),'Google Drive Map'!$A$4:$A$33,0)),"04 Trades &amp; Tenders/"&amp;K112),IFERROR(INDEX('Google Drive Map'!$B$4:$B$33,MATCH(D112,'Google Drive Map'!$A$4:$A$33,0)),""))))</f>
        <v/>
      </c>
      <c r="Q112" s="7">
        <f>IF(P112="","",IF(IFERROR(INDEX('Google Drive Map'!$G$4:$G$33,MATCH(P112,'Google Drive Map'!$B$4:$B$33,0))&amp;"","")="","",HYPERLINK(INDEX('Google Drive Map'!$G$4:$G$33,MATCH(P112,'Google Drive Map'!$B$4:$B$33,0)),"Open")))</f>
        <v/>
      </c>
      <c r="R112" s="7">
        <f>IF(AND(A112="",B112="",C112=""),"",TRIM(IF(AND(D112&lt;&gt;"",ISNA(MATCH(D112,'Google Drive Map'!$A$4:$A$33,0))),"Folder code isn't on the folder map. ","")&amp;IF(AND(C112&lt;&gt;"",NOT(ISNUMBER(C112))),"No. must be a whole number. ","")&amp;IF(AND(D112&lt;&gt;"",B112&lt;&gt;"",C112=""),"Type the next free no. ","")&amp;IF(AND(F112&lt;&gt;"",COUNTIF(F$4:F$303,F112)&gt;1),"Duplicate Doc ID. ","")))</f>
        <v/>
      </c>
      <c r="S112" s="22" t="n"/>
      <c r="T112" s="23" t="n"/>
    </row>
    <row r="113">
      <c r="A113" s="35" t="n"/>
      <c r="B113" s="22" t="n"/>
      <c r="C113" s="22" t="n"/>
      <c r="D113" s="7">
        <f>IF(A113="","",IF(ISNUMBER(A113),TEXT(A113,"00"),TRIM(A113)))</f>
        <v/>
      </c>
      <c r="E113" s="7">
        <f t="array" ref="E113">IF(OR(D113="",B113=""),"",MAX(IF((D$4:D$303=D113)*(B$4:B$303=B113)*ISNUMBER(C$4:C$303),C$4:C$303,0))+1)</f>
        <v/>
      </c>
      <c r="F113" s="7">
        <f>IF(OR(D113="",B113="",NOT(ISNUMBER(C113))),"",D113&amp;"-"&amp;B113&amp;"-"&amp;TEXT(C113,"000"))</f>
        <v/>
      </c>
      <c r="G113" s="23" t="n"/>
      <c r="H113" s="22" t="n"/>
      <c r="I113" s="24" t="n"/>
      <c r="J113" s="22" t="n"/>
      <c r="K113" s="22" t="n"/>
      <c r="L113" s="22" t="n"/>
      <c r="M113" s="22" t="n"/>
      <c r="N113" s="22" t="n"/>
      <c r="O113" s="7">
        <f>IF(F113="","",F113&amp;"_"&amp;SUBSTITUTE(SUBSTITUTE(SUBSTITUTE(SUBSTITUTE(SUBSTITUTE(SUBSTITUTE(SUBSTITUTE(SUBSTITUTE(SUBSTITUTE(SUBSTITUTE(TRIM(G113)," ","-"),"/","-"),"\","-"),":","-"),"*","-"),"?","-"),"""","-"),"&lt;","-"),"&gt;","-"),"|","-")&amp;IF(H113="","","_Rev"&amp;H113))</f>
        <v/>
      </c>
      <c r="P113" s="7">
        <f>IF(D113="","",IF(L113="Superseded","99 Archive",IF(AND(D113="04",K113&lt;&gt;""),IFERROR(INDEX('Google Drive Map'!$B$4:$B$33,MATCH("04/"&amp;LEFT(K113,2),'Google Drive Map'!$A$4:$A$33,0)),"04 Trades &amp; Tenders/"&amp;K113),IFERROR(INDEX('Google Drive Map'!$B$4:$B$33,MATCH(D113,'Google Drive Map'!$A$4:$A$33,0)),""))))</f>
        <v/>
      </c>
      <c r="Q113" s="7">
        <f>IF(P113="","",IF(IFERROR(INDEX('Google Drive Map'!$G$4:$G$33,MATCH(P113,'Google Drive Map'!$B$4:$B$33,0))&amp;"","")="","",HYPERLINK(INDEX('Google Drive Map'!$G$4:$G$33,MATCH(P113,'Google Drive Map'!$B$4:$B$33,0)),"Open")))</f>
        <v/>
      </c>
      <c r="R113" s="7">
        <f>IF(AND(A113="",B113="",C113=""),"",TRIM(IF(AND(D113&lt;&gt;"",ISNA(MATCH(D113,'Google Drive Map'!$A$4:$A$33,0))),"Folder code isn't on the folder map. ","")&amp;IF(AND(C113&lt;&gt;"",NOT(ISNUMBER(C113))),"No. must be a whole number. ","")&amp;IF(AND(D113&lt;&gt;"",B113&lt;&gt;"",C113=""),"Type the next free no. ","")&amp;IF(AND(F113&lt;&gt;"",COUNTIF(F$4:F$303,F113)&gt;1),"Duplicate Doc ID. ","")))</f>
        <v/>
      </c>
      <c r="S113" s="22" t="n"/>
      <c r="T113" s="23" t="n"/>
    </row>
    <row r="114">
      <c r="A114" s="35" t="n"/>
      <c r="B114" s="22" t="n"/>
      <c r="C114" s="22" t="n"/>
      <c r="D114" s="7">
        <f>IF(A114="","",IF(ISNUMBER(A114),TEXT(A114,"00"),TRIM(A114)))</f>
        <v/>
      </c>
      <c r="E114" s="7">
        <f t="array" ref="E114">IF(OR(D114="",B114=""),"",MAX(IF((D$4:D$303=D114)*(B$4:B$303=B114)*ISNUMBER(C$4:C$303),C$4:C$303,0))+1)</f>
        <v/>
      </c>
      <c r="F114" s="7">
        <f>IF(OR(D114="",B114="",NOT(ISNUMBER(C114))),"",D114&amp;"-"&amp;B114&amp;"-"&amp;TEXT(C114,"000"))</f>
        <v/>
      </c>
      <c r="G114" s="23" t="n"/>
      <c r="H114" s="22" t="n"/>
      <c r="I114" s="24" t="n"/>
      <c r="J114" s="22" t="n"/>
      <c r="K114" s="22" t="n"/>
      <c r="L114" s="22" t="n"/>
      <c r="M114" s="22" t="n"/>
      <c r="N114" s="22" t="n"/>
      <c r="O114" s="7">
        <f>IF(F114="","",F114&amp;"_"&amp;SUBSTITUTE(SUBSTITUTE(SUBSTITUTE(SUBSTITUTE(SUBSTITUTE(SUBSTITUTE(SUBSTITUTE(SUBSTITUTE(SUBSTITUTE(SUBSTITUTE(TRIM(G114)," ","-"),"/","-"),"\","-"),":","-"),"*","-"),"?","-"),"""","-"),"&lt;","-"),"&gt;","-"),"|","-")&amp;IF(H114="","","_Rev"&amp;H114))</f>
        <v/>
      </c>
      <c r="P114" s="7">
        <f>IF(D114="","",IF(L114="Superseded","99 Archive",IF(AND(D114="04",K114&lt;&gt;""),IFERROR(INDEX('Google Drive Map'!$B$4:$B$33,MATCH("04/"&amp;LEFT(K114,2),'Google Drive Map'!$A$4:$A$33,0)),"04 Trades &amp; Tenders/"&amp;K114),IFERROR(INDEX('Google Drive Map'!$B$4:$B$33,MATCH(D114,'Google Drive Map'!$A$4:$A$33,0)),""))))</f>
        <v/>
      </c>
      <c r="Q114" s="7">
        <f>IF(P114="","",IF(IFERROR(INDEX('Google Drive Map'!$G$4:$G$33,MATCH(P114,'Google Drive Map'!$B$4:$B$33,0))&amp;"","")="","",HYPERLINK(INDEX('Google Drive Map'!$G$4:$G$33,MATCH(P114,'Google Drive Map'!$B$4:$B$33,0)),"Open")))</f>
        <v/>
      </c>
      <c r="R114" s="7">
        <f>IF(AND(A114="",B114="",C114=""),"",TRIM(IF(AND(D114&lt;&gt;"",ISNA(MATCH(D114,'Google Drive Map'!$A$4:$A$33,0))),"Folder code isn't on the folder map. ","")&amp;IF(AND(C114&lt;&gt;"",NOT(ISNUMBER(C114))),"No. must be a whole number. ","")&amp;IF(AND(D114&lt;&gt;"",B114&lt;&gt;"",C114=""),"Type the next free no. ","")&amp;IF(AND(F114&lt;&gt;"",COUNTIF(F$4:F$303,F114)&gt;1),"Duplicate Doc ID. ","")))</f>
        <v/>
      </c>
      <c r="S114" s="22" t="n"/>
      <c r="T114" s="23" t="n"/>
    </row>
    <row r="115">
      <c r="A115" s="35" t="n"/>
      <c r="B115" s="22" t="n"/>
      <c r="C115" s="22" t="n"/>
      <c r="D115" s="7">
        <f>IF(A115="","",IF(ISNUMBER(A115),TEXT(A115,"00"),TRIM(A115)))</f>
        <v/>
      </c>
      <c r="E115" s="7">
        <f t="array" ref="E115">IF(OR(D115="",B115=""),"",MAX(IF((D$4:D$303=D115)*(B$4:B$303=B115)*ISNUMBER(C$4:C$303),C$4:C$303,0))+1)</f>
        <v/>
      </c>
      <c r="F115" s="7">
        <f>IF(OR(D115="",B115="",NOT(ISNUMBER(C115))),"",D115&amp;"-"&amp;B115&amp;"-"&amp;TEXT(C115,"000"))</f>
        <v/>
      </c>
      <c r="G115" s="23" t="n"/>
      <c r="H115" s="22" t="n"/>
      <c r="I115" s="24" t="n"/>
      <c r="J115" s="22" t="n"/>
      <c r="K115" s="22" t="n"/>
      <c r="L115" s="22" t="n"/>
      <c r="M115" s="22" t="n"/>
      <c r="N115" s="22" t="n"/>
      <c r="O115" s="7">
        <f>IF(F115="","",F115&amp;"_"&amp;SUBSTITUTE(SUBSTITUTE(SUBSTITUTE(SUBSTITUTE(SUBSTITUTE(SUBSTITUTE(SUBSTITUTE(SUBSTITUTE(SUBSTITUTE(SUBSTITUTE(TRIM(G115)," ","-"),"/","-"),"\","-"),":","-"),"*","-"),"?","-"),"""","-"),"&lt;","-"),"&gt;","-"),"|","-")&amp;IF(H115="","","_Rev"&amp;H115))</f>
        <v/>
      </c>
      <c r="P115" s="7">
        <f>IF(D115="","",IF(L115="Superseded","99 Archive",IF(AND(D115="04",K115&lt;&gt;""),IFERROR(INDEX('Google Drive Map'!$B$4:$B$33,MATCH("04/"&amp;LEFT(K115,2),'Google Drive Map'!$A$4:$A$33,0)),"04 Trades &amp; Tenders/"&amp;K115),IFERROR(INDEX('Google Drive Map'!$B$4:$B$33,MATCH(D115,'Google Drive Map'!$A$4:$A$33,0)),""))))</f>
        <v/>
      </c>
      <c r="Q115" s="7">
        <f>IF(P115="","",IF(IFERROR(INDEX('Google Drive Map'!$G$4:$G$33,MATCH(P115,'Google Drive Map'!$B$4:$B$33,0))&amp;"","")="","",HYPERLINK(INDEX('Google Drive Map'!$G$4:$G$33,MATCH(P115,'Google Drive Map'!$B$4:$B$33,0)),"Open")))</f>
        <v/>
      </c>
      <c r="R115" s="7">
        <f>IF(AND(A115="",B115="",C115=""),"",TRIM(IF(AND(D115&lt;&gt;"",ISNA(MATCH(D115,'Google Drive Map'!$A$4:$A$33,0))),"Folder code isn't on the folder map. ","")&amp;IF(AND(C115&lt;&gt;"",NOT(ISNUMBER(C115))),"No. must be a whole number. ","")&amp;IF(AND(D115&lt;&gt;"",B115&lt;&gt;"",C115=""),"Type the next free no. ","")&amp;IF(AND(F115&lt;&gt;"",COUNTIF(F$4:F$303,F115)&gt;1),"Duplicate Doc ID. ","")))</f>
        <v/>
      </c>
      <c r="S115" s="22" t="n"/>
      <c r="T115" s="23" t="n"/>
    </row>
    <row r="116">
      <c r="A116" s="35" t="n"/>
      <c r="B116" s="22" t="n"/>
      <c r="C116" s="22" t="n"/>
      <c r="D116" s="7">
        <f>IF(A116="","",IF(ISNUMBER(A116),TEXT(A116,"00"),TRIM(A116)))</f>
        <v/>
      </c>
      <c r="E116" s="7">
        <f t="array" ref="E116">IF(OR(D116="",B116=""),"",MAX(IF((D$4:D$303=D116)*(B$4:B$303=B116)*ISNUMBER(C$4:C$303),C$4:C$303,0))+1)</f>
        <v/>
      </c>
      <c r="F116" s="7">
        <f>IF(OR(D116="",B116="",NOT(ISNUMBER(C116))),"",D116&amp;"-"&amp;B116&amp;"-"&amp;TEXT(C116,"000"))</f>
        <v/>
      </c>
      <c r="G116" s="23" t="n"/>
      <c r="H116" s="22" t="n"/>
      <c r="I116" s="24" t="n"/>
      <c r="J116" s="22" t="n"/>
      <c r="K116" s="22" t="n"/>
      <c r="L116" s="22" t="n"/>
      <c r="M116" s="22" t="n"/>
      <c r="N116" s="22" t="n"/>
      <c r="O116" s="7">
        <f>IF(F116="","",F116&amp;"_"&amp;SUBSTITUTE(SUBSTITUTE(SUBSTITUTE(SUBSTITUTE(SUBSTITUTE(SUBSTITUTE(SUBSTITUTE(SUBSTITUTE(SUBSTITUTE(SUBSTITUTE(TRIM(G116)," ","-"),"/","-"),"\","-"),":","-"),"*","-"),"?","-"),"""","-"),"&lt;","-"),"&gt;","-"),"|","-")&amp;IF(H116="","","_Rev"&amp;H116))</f>
        <v/>
      </c>
      <c r="P116" s="7">
        <f>IF(D116="","",IF(L116="Superseded","99 Archive",IF(AND(D116="04",K116&lt;&gt;""),IFERROR(INDEX('Google Drive Map'!$B$4:$B$33,MATCH("04/"&amp;LEFT(K116,2),'Google Drive Map'!$A$4:$A$33,0)),"04 Trades &amp; Tenders/"&amp;K116),IFERROR(INDEX('Google Drive Map'!$B$4:$B$33,MATCH(D116,'Google Drive Map'!$A$4:$A$33,0)),""))))</f>
        <v/>
      </c>
      <c r="Q116" s="7">
        <f>IF(P116="","",IF(IFERROR(INDEX('Google Drive Map'!$G$4:$G$33,MATCH(P116,'Google Drive Map'!$B$4:$B$33,0))&amp;"","")="","",HYPERLINK(INDEX('Google Drive Map'!$G$4:$G$33,MATCH(P116,'Google Drive Map'!$B$4:$B$33,0)),"Open")))</f>
        <v/>
      </c>
      <c r="R116" s="7">
        <f>IF(AND(A116="",B116="",C116=""),"",TRIM(IF(AND(D116&lt;&gt;"",ISNA(MATCH(D116,'Google Drive Map'!$A$4:$A$33,0))),"Folder code isn't on the folder map. ","")&amp;IF(AND(C116&lt;&gt;"",NOT(ISNUMBER(C116))),"No. must be a whole number. ","")&amp;IF(AND(D116&lt;&gt;"",B116&lt;&gt;"",C116=""),"Type the next free no. ","")&amp;IF(AND(F116&lt;&gt;"",COUNTIF(F$4:F$303,F116)&gt;1),"Duplicate Doc ID. ","")))</f>
        <v/>
      </c>
      <c r="S116" s="22" t="n"/>
      <c r="T116" s="23" t="n"/>
    </row>
    <row r="117">
      <c r="A117" s="35" t="n"/>
      <c r="B117" s="22" t="n"/>
      <c r="C117" s="22" t="n"/>
      <c r="D117" s="7">
        <f>IF(A117="","",IF(ISNUMBER(A117),TEXT(A117,"00"),TRIM(A117)))</f>
        <v/>
      </c>
      <c r="E117" s="7">
        <f t="array" ref="E117">IF(OR(D117="",B117=""),"",MAX(IF((D$4:D$303=D117)*(B$4:B$303=B117)*ISNUMBER(C$4:C$303),C$4:C$303,0))+1)</f>
        <v/>
      </c>
      <c r="F117" s="7">
        <f>IF(OR(D117="",B117="",NOT(ISNUMBER(C117))),"",D117&amp;"-"&amp;B117&amp;"-"&amp;TEXT(C117,"000"))</f>
        <v/>
      </c>
      <c r="G117" s="23" t="n"/>
      <c r="H117" s="22" t="n"/>
      <c r="I117" s="24" t="n"/>
      <c r="J117" s="22" t="n"/>
      <c r="K117" s="22" t="n"/>
      <c r="L117" s="22" t="n"/>
      <c r="M117" s="22" t="n"/>
      <c r="N117" s="22" t="n"/>
      <c r="O117" s="7">
        <f>IF(F117="","",F117&amp;"_"&amp;SUBSTITUTE(SUBSTITUTE(SUBSTITUTE(SUBSTITUTE(SUBSTITUTE(SUBSTITUTE(SUBSTITUTE(SUBSTITUTE(SUBSTITUTE(SUBSTITUTE(TRIM(G117)," ","-"),"/","-"),"\","-"),":","-"),"*","-"),"?","-"),"""","-"),"&lt;","-"),"&gt;","-"),"|","-")&amp;IF(H117="","","_Rev"&amp;H117))</f>
        <v/>
      </c>
      <c r="P117" s="7">
        <f>IF(D117="","",IF(L117="Superseded","99 Archive",IF(AND(D117="04",K117&lt;&gt;""),IFERROR(INDEX('Google Drive Map'!$B$4:$B$33,MATCH("04/"&amp;LEFT(K117,2),'Google Drive Map'!$A$4:$A$33,0)),"04 Trades &amp; Tenders/"&amp;K117),IFERROR(INDEX('Google Drive Map'!$B$4:$B$33,MATCH(D117,'Google Drive Map'!$A$4:$A$33,0)),""))))</f>
        <v/>
      </c>
      <c r="Q117" s="7">
        <f>IF(P117="","",IF(IFERROR(INDEX('Google Drive Map'!$G$4:$G$33,MATCH(P117,'Google Drive Map'!$B$4:$B$33,0))&amp;"","")="","",HYPERLINK(INDEX('Google Drive Map'!$G$4:$G$33,MATCH(P117,'Google Drive Map'!$B$4:$B$33,0)),"Open")))</f>
        <v/>
      </c>
      <c r="R117" s="7">
        <f>IF(AND(A117="",B117="",C117=""),"",TRIM(IF(AND(D117&lt;&gt;"",ISNA(MATCH(D117,'Google Drive Map'!$A$4:$A$33,0))),"Folder code isn't on the folder map. ","")&amp;IF(AND(C117&lt;&gt;"",NOT(ISNUMBER(C117))),"No. must be a whole number. ","")&amp;IF(AND(D117&lt;&gt;"",B117&lt;&gt;"",C117=""),"Type the next free no. ","")&amp;IF(AND(F117&lt;&gt;"",COUNTIF(F$4:F$303,F117)&gt;1),"Duplicate Doc ID. ","")))</f>
        <v/>
      </c>
      <c r="S117" s="22" t="n"/>
      <c r="T117" s="23" t="n"/>
    </row>
    <row r="118">
      <c r="A118" s="35" t="n"/>
      <c r="B118" s="22" t="n"/>
      <c r="C118" s="22" t="n"/>
      <c r="D118" s="7">
        <f>IF(A118="","",IF(ISNUMBER(A118),TEXT(A118,"00"),TRIM(A118)))</f>
        <v/>
      </c>
      <c r="E118" s="7">
        <f t="array" ref="E118">IF(OR(D118="",B118=""),"",MAX(IF((D$4:D$303=D118)*(B$4:B$303=B118)*ISNUMBER(C$4:C$303),C$4:C$303,0))+1)</f>
        <v/>
      </c>
      <c r="F118" s="7">
        <f>IF(OR(D118="",B118="",NOT(ISNUMBER(C118))),"",D118&amp;"-"&amp;B118&amp;"-"&amp;TEXT(C118,"000"))</f>
        <v/>
      </c>
      <c r="G118" s="23" t="n"/>
      <c r="H118" s="22" t="n"/>
      <c r="I118" s="24" t="n"/>
      <c r="J118" s="22" t="n"/>
      <c r="K118" s="22" t="n"/>
      <c r="L118" s="22" t="n"/>
      <c r="M118" s="22" t="n"/>
      <c r="N118" s="22" t="n"/>
      <c r="O118" s="7">
        <f>IF(F118="","",F118&amp;"_"&amp;SUBSTITUTE(SUBSTITUTE(SUBSTITUTE(SUBSTITUTE(SUBSTITUTE(SUBSTITUTE(SUBSTITUTE(SUBSTITUTE(SUBSTITUTE(SUBSTITUTE(TRIM(G118)," ","-"),"/","-"),"\","-"),":","-"),"*","-"),"?","-"),"""","-"),"&lt;","-"),"&gt;","-"),"|","-")&amp;IF(H118="","","_Rev"&amp;H118))</f>
        <v/>
      </c>
      <c r="P118" s="7">
        <f>IF(D118="","",IF(L118="Superseded","99 Archive",IF(AND(D118="04",K118&lt;&gt;""),IFERROR(INDEX('Google Drive Map'!$B$4:$B$33,MATCH("04/"&amp;LEFT(K118,2),'Google Drive Map'!$A$4:$A$33,0)),"04 Trades &amp; Tenders/"&amp;K118),IFERROR(INDEX('Google Drive Map'!$B$4:$B$33,MATCH(D118,'Google Drive Map'!$A$4:$A$33,0)),""))))</f>
        <v/>
      </c>
      <c r="Q118" s="7">
        <f>IF(P118="","",IF(IFERROR(INDEX('Google Drive Map'!$G$4:$G$33,MATCH(P118,'Google Drive Map'!$B$4:$B$33,0))&amp;"","")="","",HYPERLINK(INDEX('Google Drive Map'!$G$4:$G$33,MATCH(P118,'Google Drive Map'!$B$4:$B$33,0)),"Open")))</f>
        <v/>
      </c>
      <c r="R118" s="7">
        <f>IF(AND(A118="",B118="",C118=""),"",TRIM(IF(AND(D118&lt;&gt;"",ISNA(MATCH(D118,'Google Drive Map'!$A$4:$A$33,0))),"Folder code isn't on the folder map. ","")&amp;IF(AND(C118&lt;&gt;"",NOT(ISNUMBER(C118))),"No. must be a whole number. ","")&amp;IF(AND(D118&lt;&gt;"",B118&lt;&gt;"",C118=""),"Type the next free no. ","")&amp;IF(AND(F118&lt;&gt;"",COUNTIF(F$4:F$303,F118)&gt;1),"Duplicate Doc ID. ","")))</f>
        <v/>
      </c>
      <c r="S118" s="22" t="n"/>
      <c r="T118" s="23" t="n"/>
    </row>
    <row r="119">
      <c r="A119" s="35" t="n"/>
      <c r="B119" s="22" t="n"/>
      <c r="C119" s="22" t="n"/>
      <c r="D119" s="7">
        <f>IF(A119="","",IF(ISNUMBER(A119),TEXT(A119,"00"),TRIM(A119)))</f>
        <v/>
      </c>
      <c r="E119" s="7">
        <f t="array" ref="E119">IF(OR(D119="",B119=""),"",MAX(IF((D$4:D$303=D119)*(B$4:B$303=B119)*ISNUMBER(C$4:C$303),C$4:C$303,0))+1)</f>
        <v/>
      </c>
      <c r="F119" s="7">
        <f>IF(OR(D119="",B119="",NOT(ISNUMBER(C119))),"",D119&amp;"-"&amp;B119&amp;"-"&amp;TEXT(C119,"000"))</f>
        <v/>
      </c>
      <c r="G119" s="23" t="n"/>
      <c r="H119" s="22" t="n"/>
      <c r="I119" s="24" t="n"/>
      <c r="J119" s="22" t="n"/>
      <c r="K119" s="22" t="n"/>
      <c r="L119" s="22" t="n"/>
      <c r="M119" s="22" t="n"/>
      <c r="N119" s="22" t="n"/>
      <c r="O119" s="7">
        <f>IF(F119="","",F119&amp;"_"&amp;SUBSTITUTE(SUBSTITUTE(SUBSTITUTE(SUBSTITUTE(SUBSTITUTE(SUBSTITUTE(SUBSTITUTE(SUBSTITUTE(SUBSTITUTE(SUBSTITUTE(TRIM(G119)," ","-"),"/","-"),"\","-"),":","-"),"*","-"),"?","-"),"""","-"),"&lt;","-"),"&gt;","-"),"|","-")&amp;IF(H119="","","_Rev"&amp;H119))</f>
        <v/>
      </c>
      <c r="P119" s="7">
        <f>IF(D119="","",IF(L119="Superseded","99 Archive",IF(AND(D119="04",K119&lt;&gt;""),IFERROR(INDEX('Google Drive Map'!$B$4:$B$33,MATCH("04/"&amp;LEFT(K119,2),'Google Drive Map'!$A$4:$A$33,0)),"04 Trades &amp; Tenders/"&amp;K119),IFERROR(INDEX('Google Drive Map'!$B$4:$B$33,MATCH(D119,'Google Drive Map'!$A$4:$A$33,0)),""))))</f>
        <v/>
      </c>
      <c r="Q119" s="7">
        <f>IF(P119="","",IF(IFERROR(INDEX('Google Drive Map'!$G$4:$G$33,MATCH(P119,'Google Drive Map'!$B$4:$B$33,0))&amp;"","")="","",HYPERLINK(INDEX('Google Drive Map'!$G$4:$G$33,MATCH(P119,'Google Drive Map'!$B$4:$B$33,0)),"Open")))</f>
        <v/>
      </c>
      <c r="R119" s="7">
        <f>IF(AND(A119="",B119="",C119=""),"",TRIM(IF(AND(D119&lt;&gt;"",ISNA(MATCH(D119,'Google Drive Map'!$A$4:$A$33,0))),"Folder code isn't on the folder map. ","")&amp;IF(AND(C119&lt;&gt;"",NOT(ISNUMBER(C119))),"No. must be a whole number. ","")&amp;IF(AND(D119&lt;&gt;"",B119&lt;&gt;"",C119=""),"Type the next free no. ","")&amp;IF(AND(F119&lt;&gt;"",COUNTIF(F$4:F$303,F119)&gt;1),"Duplicate Doc ID. ","")))</f>
        <v/>
      </c>
      <c r="S119" s="22" t="n"/>
      <c r="T119" s="23" t="n"/>
    </row>
    <row r="120">
      <c r="A120" s="35" t="n"/>
      <c r="B120" s="22" t="n"/>
      <c r="C120" s="22" t="n"/>
      <c r="D120" s="7">
        <f>IF(A120="","",IF(ISNUMBER(A120),TEXT(A120,"00"),TRIM(A120)))</f>
        <v/>
      </c>
      <c r="E120" s="7">
        <f t="array" ref="E120">IF(OR(D120="",B120=""),"",MAX(IF((D$4:D$303=D120)*(B$4:B$303=B120)*ISNUMBER(C$4:C$303),C$4:C$303,0))+1)</f>
        <v/>
      </c>
      <c r="F120" s="7">
        <f>IF(OR(D120="",B120="",NOT(ISNUMBER(C120))),"",D120&amp;"-"&amp;B120&amp;"-"&amp;TEXT(C120,"000"))</f>
        <v/>
      </c>
      <c r="G120" s="23" t="n"/>
      <c r="H120" s="22" t="n"/>
      <c r="I120" s="24" t="n"/>
      <c r="J120" s="22" t="n"/>
      <c r="K120" s="22" t="n"/>
      <c r="L120" s="22" t="n"/>
      <c r="M120" s="22" t="n"/>
      <c r="N120" s="22" t="n"/>
      <c r="O120" s="7">
        <f>IF(F120="","",F120&amp;"_"&amp;SUBSTITUTE(SUBSTITUTE(SUBSTITUTE(SUBSTITUTE(SUBSTITUTE(SUBSTITUTE(SUBSTITUTE(SUBSTITUTE(SUBSTITUTE(SUBSTITUTE(TRIM(G120)," ","-"),"/","-"),"\","-"),":","-"),"*","-"),"?","-"),"""","-"),"&lt;","-"),"&gt;","-"),"|","-")&amp;IF(H120="","","_Rev"&amp;H120))</f>
        <v/>
      </c>
      <c r="P120" s="7">
        <f>IF(D120="","",IF(L120="Superseded","99 Archive",IF(AND(D120="04",K120&lt;&gt;""),IFERROR(INDEX('Google Drive Map'!$B$4:$B$33,MATCH("04/"&amp;LEFT(K120,2),'Google Drive Map'!$A$4:$A$33,0)),"04 Trades &amp; Tenders/"&amp;K120),IFERROR(INDEX('Google Drive Map'!$B$4:$B$33,MATCH(D120,'Google Drive Map'!$A$4:$A$33,0)),""))))</f>
        <v/>
      </c>
      <c r="Q120" s="7">
        <f>IF(P120="","",IF(IFERROR(INDEX('Google Drive Map'!$G$4:$G$33,MATCH(P120,'Google Drive Map'!$B$4:$B$33,0))&amp;"","")="","",HYPERLINK(INDEX('Google Drive Map'!$G$4:$G$33,MATCH(P120,'Google Drive Map'!$B$4:$B$33,0)),"Open")))</f>
        <v/>
      </c>
      <c r="R120" s="7">
        <f>IF(AND(A120="",B120="",C120=""),"",TRIM(IF(AND(D120&lt;&gt;"",ISNA(MATCH(D120,'Google Drive Map'!$A$4:$A$33,0))),"Folder code isn't on the folder map. ","")&amp;IF(AND(C120&lt;&gt;"",NOT(ISNUMBER(C120))),"No. must be a whole number. ","")&amp;IF(AND(D120&lt;&gt;"",B120&lt;&gt;"",C120=""),"Type the next free no. ","")&amp;IF(AND(F120&lt;&gt;"",COUNTIF(F$4:F$303,F120)&gt;1),"Duplicate Doc ID. ","")))</f>
        <v/>
      </c>
      <c r="S120" s="22" t="n"/>
      <c r="T120" s="23" t="n"/>
    </row>
    <row r="121">
      <c r="A121" s="35" t="n"/>
      <c r="B121" s="22" t="n"/>
      <c r="C121" s="22" t="n"/>
      <c r="D121" s="7">
        <f>IF(A121="","",IF(ISNUMBER(A121),TEXT(A121,"00"),TRIM(A121)))</f>
        <v/>
      </c>
      <c r="E121" s="7">
        <f t="array" ref="E121">IF(OR(D121="",B121=""),"",MAX(IF((D$4:D$303=D121)*(B$4:B$303=B121)*ISNUMBER(C$4:C$303),C$4:C$303,0))+1)</f>
        <v/>
      </c>
      <c r="F121" s="7">
        <f>IF(OR(D121="",B121="",NOT(ISNUMBER(C121))),"",D121&amp;"-"&amp;B121&amp;"-"&amp;TEXT(C121,"000"))</f>
        <v/>
      </c>
      <c r="G121" s="23" t="n"/>
      <c r="H121" s="22" t="n"/>
      <c r="I121" s="24" t="n"/>
      <c r="J121" s="22" t="n"/>
      <c r="K121" s="22" t="n"/>
      <c r="L121" s="22" t="n"/>
      <c r="M121" s="22" t="n"/>
      <c r="N121" s="22" t="n"/>
      <c r="O121" s="7">
        <f>IF(F121="","",F121&amp;"_"&amp;SUBSTITUTE(SUBSTITUTE(SUBSTITUTE(SUBSTITUTE(SUBSTITUTE(SUBSTITUTE(SUBSTITUTE(SUBSTITUTE(SUBSTITUTE(SUBSTITUTE(TRIM(G121)," ","-"),"/","-"),"\","-"),":","-"),"*","-"),"?","-"),"""","-"),"&lt;","-"),"&gt;","-"),"|","-")&amp;IF(H121="","","_Rev"&amp;H121))</f>
        <v/>
      </c>
      <c r="P121" s="7">
        <f>IF(D121="","",IF(L121="Superseded","99 Archive",IF(AND(D121="04",K121&lt;&gt;""),IFERROR(INDEX('Google Drive Map'!$B$4:$B$33,MATCH("04/"&amp;LEFT(K121,2),'Google Drive Map'!$A$4:$A$33,0)),"04 Trades &amp; Tenders/"&amp;K121),IFERROR(INDEX('Google Drive Map'!$B$4:$B$33,MATCH(D121,'Google Drive Map'!$A$4:$A$33,0)),""))))</f>
        <v/>
      </c>
      <c r="Q121" s="7">
        <f>IF(P121="","",IF(IFERROR(INDEX('Google Drive Map'!$G$4:$G$33,MATCH(P121,'Google Drive Map'!$B$4:$B$33,0))&amp;"","")="","",HYPERLINK(INDEX('Google Drive Map'!$G$4:$G$33,MATCH(P121,'Google Drive Map'!$B$4:$B$33,0)),"Open")))</f>
        <v/>
      </c>
      <c r="R121" s="7">
        <f>IF(AND(A121="",B121="",C121=""),"",TRIM(IF(AND(D121&lt;&gt;"",ISNA(MATCH(D121,'Google Drive Map'!$A$4:$A$33,0))),"Folder code isn't on the folder map. ","")&amp;IF(AND(C121&lt;&gt;"",NOT(ISNUMBER(C121))),"No. must be a whole number. ","")&amp;IF(AND(D121&lt;&gt;"",B121&lt;&gt;"",C121=""),"Type the next free no. ","")&amp;IF(AND(F121&lt;&gt;"",COUNTIF(F$4:F$303,F121)&gt;1),"Duplicate Doc ID. ","")))</f>
        <v/>
      </c>
      <c r="S121" s="22" t="n"/>
      <c r="T121" s="23" t="n"/>
    </row>
    <row r="122">
      <c r="A122" s="35" t="n"/>
      <c r="B122" s="22" t="n"/>
      <c r="C122" s="22" t="n"/>
      <c r="D122" s="7">
        <f>IF(A122="","",IF(ISNUMBER(A122),TEXT(A122,"00"),TRIM(A122)))</f>
        <v/>
      </c>
      <c r="E122" s="7">
        <f t="array" ref="E122">IF(OR(D122="",B122=""),"",MAX(IF((D$4:D$303=D122)*(B$4:B$303=B122)*ISNUMBER(C$4:C$303),C$4:C$303,0))+1)</f>
        <v/>
      </c>
      <c r="F122" s="7">
        <f>IF(OR(D122="",B122="",NOT(ISNUMBER(C122))),"",D122&amp;"-"&amp;B122&amp;"-"&amp;TEXT(C122,"000"))</f>
        <v/>
      </c>
      <c r="G122" s="23" t="n"/>
      <c r="H122" s="22" t="n"/>
      <c r="I122" s="24" t="n"/>
      <c r="J122" s="22" t="n"/>
      <c r="K122" s="22" t="n"/>
      <c r="L122" s="22" t="n"/>
      <c r="M122" s="22" t="n"/>
      <c r="N122" s="22" t="n"/>
      <c r="O122" s="7">
        <f>IF(F122="","",F122&amp;"_"&amp;SUBSTITUTE(SUBSTITUTE(SUBSTITUTE(SUBSTITUTE(SUBSTITUTE(SUBSTITUTE(SUBSTITUTE(SUBSTITUTE(SUBSTITUTE(SUBSTITUTE(TRIM(G122)," ","-"),"/","-"),"\","-"),":","-"),"*","-"),"?","-"),"""","-"),"&lt;","-"),"&gt;","-"),"|","-")&amp;IF(H122="","","_Rev"&amp;H122))</f>
        <v/>
      </c>
      <c r="P122" s="7">
        <f>IF(D122="","",IF(L122="Superseded","99 Archive",IF(AND(D122="04",K122&lt;&gt;""),IFERROR(INDEX('Google Drive Map'!$B$4:$B$33,MATCH("04/"&amp;LEFT(K122,2),'Google Drive Map'!$A$4:$A$33,0)),"04 Trades &amp; Tenders/"&amp;K122),IFERROR(INDEX('Google Drive Map'!$B$4:$B$33,MATCH(D122,'Google Drive Map'!$A$4:$A$33,0)),""))))</f>
        <v/>
      </c>
      <c r="Q122" s="7">
        <f>IF(P122="","",IF(IFERROR(INDEX('Google Drive Map'!$G$4:$G$33,MATCH(P122,'Google Drive Map'!$B$4:$B$33,0))&amp;"","")="","",HYPERLINK(INDEX('Google Drive Map'!$G$4:$G$33,MATCH(P122,'Google Drive Map'!$B$4:$B$33,0)),"Open")))</f>
        <v/>
      </c>
      <c r="R122" s="7">
        <f>IF(AND(A122="",B122="",C122=""),"",TRIM(IF(AND(D122&lt;&gt;"",ISNA(MATCH(D122,'Google Drive Map'!$A$4:$A$33,0))),"Folder code isn't on the folder map. ","")&amp;IF(AND(C122&lt;&gt;"",NOT(ISNUMBER(C122))),"No. must be a whole number. ","")&amp;IF(AND(D122&lt;&gt;"",B122&lt;&gt;"",C122=""),"Type the next free no. ","")&amp;IF(AND(F122&lt;&gt;"",COUNTIF(F$4:F$303,F122)&gt;1),"Duplicate Doc ID. ","")))</f>
        <v/>
      </c>
      <c r="S122" s="22" t="n"/>
      <c r="T122" s="23" t="n"/>
    </row>
    <row r="123">
      <c r="A123" s="35" t="n"/>
      <c r="B123" s="22" t="n"/>
      <c r="C123" s="22" t="n"/>
      <c r="D123" s="7">
        <f>IF(A123="","",IF(ISNUMBER(A123),TEXT(A123,"00"),TRIM(A123)))</f>
        <v/>
      </c>
      <c r="E123" s="7">
        <f t="array" ref="E123">IF(OR(D123="",B123=""),"",MAX(IF((D$4:D$303=D123)*(B$4:B$303=B123)*ISNUMBER(C$4:C$303),C$4:C$303,0))+1)</f>
        <v/>
      </c>
      <c r="F123" s="7">
        <f>IF(OR(D123="",B123="",NOT(ISNUMBER(C123))),"",D123&amp;"-"&amp;B123&amp;"-"&amp;TEXT(C123,"000"))</f>
        <v/>
      </c>
      <c r="G123" s="23" t="n"/>
      <c r="H123" s="22" t="n"/>
      <c r="I123" s="24" t="n"/>
      <c r="J123" s="22" t="n"/>
      <c r="K123" s="22" t="n"/>
      <c r="L123" s="22" t="n"/>
      <c r="M123" s="22" t="n"/>
      <c r="N123" s="22" t="n"/>
      <c r="O123" s="7">
        <f>IF(F123="","",F123&amp;"_"&amp;SUBSTITUTE(SUBSTITUTE(SUBSTITUTE(SUBSTITUTE(SUBSTITUTE(SUBSTITUTE(SUBSTITUTE(SUBSTITUTE(SUBSTITUTE(SUBSTITUTE(TRIM(G123)," ","-"),"/","-"),"\","-"),":","-"),"*","-"),"?","-"),"""","-"),"&lt;","-"),"&gt;","-"),"|","-")&amp;IF(H123="","","_Rev"&amp;H123))</f>
        <v/>
      </c>
      <c r="P123" s="7">
        <f>IF(D123="","",IF(L123="Superseded","99 Archive",IF(AND(D123="04",K123&lt;&gt;""),IFERROR(INDEX('Google Drive Map'!$B$4:$B$33,MATCH("04/"&amp;LEFT(K123,2),'Google Drive Map'!$A$4:$A$33,0)),"04 Trades &amp; Tenders/"&amp;K123),IFERROR(INDEX('Google Drive Map'!$B$4:$B$33,MATCH(D123,'Google Drive Map'!$A$4:$A$33,0)),""))))</f>
        <v/>
      </c>
      <c r="Q123" s="7">
        <f>IF(P123="","",IF(IFERROR(INDEX('Google Drive Map'!$G$4:$G$33,MATCH(P123,'Google Drive Map'!$B$4:$B$33,0))&amp;"","")="","",HYPERLINK(INDEX('Google Drive Map'!$G$4:$G$33,MATCH(P123,'Google Drive Map'!$B$4:$B$33,0)),"Open")))</f>
        <v/>
      </c>
      <c r="R123" s="7">
        <f>IF(AND(A123="",B123="",C123=""),"",TRIM(IF(AND(D123&lt;&gt;"",ISNA(MATCH(D123,'Google Drive Map'!$A$4:$A$33,0))),"Folder code isn't on the folder map. ","")&amp;IF(AND(C123&lt;&gt;"",NOT(ISNUMBER(C123))),"No. must be a whole number. ","")&amp;IF(AND(D123&lt;&gt;"",B123&lt;&gt;"",C123=""),"Type the next free no. ","")&amp;IF(AND(F123&lt;&gt;"",COUNTIF(F$4:F$303,F123)&gt;1),"Duplicate Doc ID. ","")))</f>
        <v/>
      </c>
      <c r="S123" s="22" t="n"/>
      <c r="T123" s="23" t="n"/>
    </row>
    <row r="124">
      <c r="A124" s="35" t="n"/>
      <c r="B124" s="22" t="n"/>
      <c r="C124" s="22" t="n"/>
      <c r="D124" s="7">
        <f>IF(A124="","",IF(ISNUMBER(A124),TEXT(A124,"00"),TRIM(A124)))</f>
        <v/>
      </c>
      <c r="E124" s="7">
        <f t="array" ref="E124">IF(OR(D124="",B124=""),"",MAX(IF((D$4:D$303=D124)*(B$4:B$303=B124)*ISNUMBER(C$4:C$303),C$4:C$303,0))+1)</f>
        <v/>
      </c>
      <c r="F124" s="7">
        <f>IF(OR(D124="",B124="",NOT(ISNUMBER(C124))),"",D124&amp;"-"&amp;B124&amp;"-"&amp;TEXT(C124,"000"))</f>
        <v/>
      </c>
      <c r="G124" s="23" t="n"/>
      <c r="H124" s="22" t="n"/>
      <c r="I124" s="24" t="n"/>
      <c r="J124" s="22" t="n"/>
      <c r="K124" s="22" t="n"/>
      <c r="L124" s="22" t="n"/>
      <c r="M124" s="22" t="n"/>
      <c r="N124" s="22" t="n"/>
      <c r="O124" s="7">
        <f>IF(F124="","",F124&amp;"_"&amp;SUBSTITUTE(SUBSTITUTE(SUBSTITUTE(SUBSTITUTE(SUBSTITUTE(SUBSTITUTE(SUBSTITUTE(SUBSTITUTE(SUBSTITUTE(SUBSTITUTE(TRIM(G124)," ","-"),"/","-"),"\","-"),":","-"),"*","-"),"?","-"),"""","-"),"&lt;","-"),"&gt;","-"),"|","-")&amp;IF(H124="","","_Rev"&amp;H124))</f>
        <v/>
      </c>
      <c r="P124" s="7">
        <f>IF(D124="","",IF(L124="Superseded","99 Archive",IF(AND(D124="04",K124&lt;&gt;""),IFERROR(INDEX('Google Drive Map'!$B$4:$B$33,MATCH("04/"&amp;LEFT(K124,2),'Google Drive Map'!$A$4:$A$33,0)),"04 Trades &amp; Tenders/"&amp;K124),IFERROR(INDEX('Google Drive Map'!$B$4:$B$33,MATCH(D124,'Google Drive Map'!$A$4:$A$33,0)),""))))</f>
        <v/>
      </c>
      <c r="Q124" s="7">
        <f>IF(P124="","",IF(IFERROR(INDEX('Google Drive Map'!$G$4:$G$33,MATCH(P124,'Google Drive Map'!$B$4:$B$33,0))&amp;"","")="","",HYPERLINK(INDEX('Google Drive Map'!$G$4:$G$33,MATCH(P124,'Google Drive Map'!$B$4:$B$33,0)),"Open")))</f>
        <v/>
      </c>
      <c r="R124" s="7">
        <f>IF(AND(A124="",B124="",C124=""),"",TRIM(IF(AND(D124&lt;&gt;"",ISNA(MATCH(D124,'Google Drive Map'!$A$4:$A$33,0))),"Folder code isn't on the folder map. ","")&amp;IF(AND(C124&lt;&gt;"",NOT(ISNUMBER(C124))),"No. must be a whole number. ","")&amp;IF(AND(D124&lt;&gt;"",B124&lt;&gt;"",C124=""),"Type the next free no. ","")&amp;IF(AND(F124&lt;&gt;"",COUNTIF(F$4:F$303,F124)&gt;1),"Duplicate Doc ID. ","")))</f>
        <v/>
      </c>
      <c r="S124" s="22" t="n"/>
      <c r="T124" s="23" t="n"/>
    </row>
    <row r="125">
      <c r="A125" s="35" t="n"/>
      <c r="B125" s="22" t="n"/>
      <c r="C125" s="22" t="n"/>
      <c r="D125" s="7">
        <f>IF(A125="","",IF(ISNUMBER(A125),TEXT(A125,"00"),TRIM(A125)))</f>
        <v/>
      </c>
      <c r="E125" s="7">
        <f t="array" ref="E125">IF(OR(D125="",B125=""),"",MAX(IF((D$4:D$303=D125)*(B$4:B$303=B125)*ISNUMBER(C$4:C$303),C$4:C$303,0))+1)</f>
        <v/>
      </c>
      <c r="F125" s="7">
        <f>IF(OR(D125="",B125="",NOT(ISNUMBER(C125))),"",D125&amp;"-"&amp;B125&amp;"-"&amp;TEXT(C125,"000"))</f>
        <v/>
      </c>
      <c r="G125" s="23" t="n"/>
      <c r="H125" s="22" t="n"/>
      <c r="I125" s="24" t="n"/>
      <c r="J125" s="22" t="n"/>
      <c r="K125" s="22" t="n"/>
      <c r="L125" s="22" t="n"/>
      <c r="M125" s="22" t="n"/>
      <c r="N125" s="22" t="n"/>
      <c r="O125" s="7">
        <f>IF(F125="","",F125&amp;"_"&amp;SUBSTITUTE(SUBSTITUTE(SUBSTITUTE(SUBSTITUTE(SUBSTITUTE(SUBSTITUTE(SUBSTITUTE(SUBSTITUTE(SUBSTITUTE(SUBSTITUTE(TRIM(G125)," ","-"),"/","-"),"\","-"),":","-"),"*","-"),"?","-"),"""","-"),"&lt;","-"),"&gt;","-"),"|","-")&amp;IF(H125="","","_Rev"&amp;H125))</f>
        <v/>
      </c>
      <c r="P125" s="7">
        <f>IF(D125="","",IF(L125="Superseded","99 Archive",IF(AND(D125="04",K125&lt;&gt;""),IFERROR(INDEX('Google Drive Map'!$B$4:$B$33,MATCH("04/"&amp;LEFT(K125,2),'Google Drive Map'!$A$4:$A$33,0)),"04 Trades &amp; Tenders/"&amp;K125),IFERROR(INDEX('Google Drive Map'!$B$4:$B$33,MATCH(D125,'Google Drive Map'!$A$4:$A$33,0)),""))))</f>
        <v/>
      </c>
      <c r="Q125" s="7">
        <f>IF(P125="","",IF(IFERROR(INDEX('Google Drive Map'!$G$4:$G$33,MATCH(P125,'Google Drive Map'!$B$4:$B$33,0))&amp;"","")="","",HYPERLINK(INDEX('Google Drive Map'!$G$4:$G$33,MATCH(P125,'Google Drive Map'!$B$4:$B$33,0)),"Open")))</f>
        <v/>
      </c>
      <c r="R125" s="7">
        <f>IF(AND(A125="",B125="",C125=""),"",TRIM(IF(AND(D125&lt;&gt;"",ISNA(MATCH(D125,'Google Drive Map'!$A$4:$A$33,0))),"Folder code isn't on the folder map. ","")&amp;IF(AND(C125&lt;&gt;"",NOT(ISNUMBER(C125))),"No. must be a whole number. ","")&amp;IF(AND(D125&lt;&gt;"",B125&lt;&gt;"",C125=""),"Type the next free no. ","")&amp;IF(AND(F125&lt;&gt;"",COUNTIF(F$4:F$303,F125)&gt;1),"Duplicate Doc ID. ","")))</f>
        <v/>
      </c>
      <c r="S125" s="22" t="n"/>
      <c r="T125" s="23" t="n"/>
    </row>
    <row r="126">
      <c r="A126" s="35" t="n"/>
      <c r="B126" s="22" t="n"/>
      <c r="C126" s="22" t="n"/>
      <c r="D126" s="7">
        <f>IF(A126="","",IF(ISNUMBER(A126),TEXT(A126,"00"),TRIM(A126)))</f>
        <v/>
      </c>
      <c r="E126" s="7">
        <f t="array" ref="E126">IF(OR(D126="",B126=""),"",MAX(IF((D$4:D$303=D126)*(B$4:B$303=B126)*ISNUMBER(C$4:C$303),C$4:C$303,0))+1)</f>
        <v/>
      </c>
      <c r="F126" s="7">
        <f>IF(OR(D126="",B126="",NOT(ISNUMBER(C126))),"",D126&amp;"-"&amp;B126&amp;"-"&amp;TEXT(C126,"000"))</f>
        <v/>
      </c>
      <c r="G126" s="23" t="n"/>
      <c r="H126" s="22" t="n"/>
      <c r="I126" s="24" t="n"/>
      <c r="J126" s="22" t="n"/>
      <c r="K126" s="22" t="n"/>
      <c r="L126" s="22" t="n"/>
      <c r="M126" s="22" t="n"/>
      <c r="N126" s="22" t="n"/>
      <c r="O126" s="7">
        <f>IF(F126="","",F126&amp;"_"&amp;SUBSTITUTE(SUBSTITUTE(SUBSTITUTE(SUBSTITUTE(SUBSTITUTE(SUBSTITUTE(SUBSTITUTE(SUBSTITUTE(SUBSTITUTE(SUBSTITUTE(TRIM(G126)," ","-"),"/","-"),"\","-"),":","-"),"*","-"),"?","-"),"""","-"),"&lt;","-"),"&gt;","-"),"|","-")&amp;IF(H126="","","_Rev"&amp;H126))</f>
        <v/>
      </c>
      <c r="P126" s="7">
        <f>IF(D126="","",IF(L126="Superseded","99 Archive",IF(AND(D126="04",K126&lt;&gt;""),IFERROR(INDEX('Google Drive Map'!$B$4:$B$33,MATCH("04/"&amp;LEFT(K126,2),'Google Drive Map'!$A$4:$A$33,0)),"04 Trades &amp; Tenders/"&amp;K126),IFERROR(INDEX('Google Drive Map'!$B$4:$B$33,MATCH(D126,'Google Drive Map'!$A$4:$A$33,0)),""))))</f>
        <v/>
      </c>
      <c r="Q126" s="7">
        <f>IF(P126="","",IF(IFERROR(INDEX('Google Drive Map'!$G$4:$G$33,MATCH(P126,'Google Drive Map'!$B$4:$B$33,0))&amp;"","")="","",HYPERLINK(INDEX('Google Drive Map'!$G$4:$G$33,MATCH(P126,'Google Drive Map'!$B$4:$B$33,0)),"Open")))</f>
        <v/>
      </c>
      <c r="R126" s="7">
        <f>IF(AND(A126="",B126="",C126=""),"",TRIM(IF(AND(D126&lt;&gt;"",ISNA(MATCH(D126,'Google Drive Map'!$A$4:$A$33,0))),"Folder code isn't on the folder map. ","")&amp;IF(AND(C126&lt;&gt;"",NOT(ISNUMBER(C126))),"No. must be a whole number. ","")&amp;IF(AND(D126&lt;&gt;"",B126&lt;&gt;"",C126=""),"Type the next free no. ","")&amp;IF(AND(F126&lt;&gt;"",COUNTIF(F$4:F$303,F126)&gt;1),"Duplicate Doc ID. ","")))</f>
        <v/>
      </c>
      <c r="S126" s="22" t="n"/>
      <c r="T126" s="23" t="n"/>
    </row>
    <row r="127">
      <c r="A127" s="35" t="n"/>
      <c r="B127" s="22" t="n"/>
      <c r="C127" s="22" t="n"/>
      <c r="D127" s="7">
        <f>IF(A127="","",IF(ISNUMBER(A127),TEXT(A127,"00"),TRIM(A127)))</f>
        <v/>
      </c>
      <c r="E127" s="7">
        <f t="array" ref="E127">IF(OR(D127="",B127=""),"",MAX(IF((D$4:D$303=D127)*(B$4:B$303=B127)*ISNUMBER(C$4:C$303),C$4:C$303,0))+1)</f>
        <v/>
      </c>
      <c r="F127" s="7">
        <f>IF(OR(D127="",B127="",NOT(ISNUMBER(C127))),"",D127&amp;"-"&amp;B127&amp;"-"&amp;TEXT(C127,"000"))</f>
        <v/>
      </c>
      <c r="G127" s="23" t="n"/>
      <c r="H127" s="22" t="n"/>
      <c r="I127" s="24" t="n"/>
      <c r="J127" s="22" t="n"/>
      <c r="K127" s="22" t="n"/>
      <c r="L127" s="22" t="n"/>
      <c r="M127" s="22" t="n"/>
      <c r="N127" s="22" t="n"/>
      <c r="O127" s="7">
        <f>IF(F127="","",F127&amp;"_"&amp;SUBSTITUTE(SUBSTITUTE(SUBSTITUTE(SUBSTITUTE(SUBSTITUTE(SUBSTITUTE(SUBSTITUTE(SUBSTITUTE(SUBSTITUTE(SUBSTITUTE(TRIM(G127)," ","-"),"/","-"),"\","-"),":","-"),"*","-"),"?","-"),"""","-"),"&lt;","-"),"&gt;","-"),"|","-")&amp;IF(H127="","","_Rev"&amp;H127))</f>
        <v/>
      </c>
      <c r="P127" s="7">
        <f>IF(D127="","",IF(L127="Superseded","99 Archive",IF(AND(D127="04",K127&lt;&gt;""),IFERROR(INDEX('Google Drive Map'!$B$4:$B$33,MATCH("04/"&amp;LEFT(K127,2),'Google Drive Map'!$A$4:$A$33,0)),"04 Trades &amp; Tenders/"&amp;K127),IFERROR(INDEX('Google Drive Map'!$B$4:$B$33,MATCH(D127,'Google Drive Map'!$A$4:$A$33,0)),""))))</f>
        <v/>
      </c>
      <c r="Q127" s="7">
        <f>IF(P127="","",IF(IFERROR(INDEX('Google Drive Map'!$G$4:$G$33,MATCH(P127,'Google Drive Map'!$B$4:$B$33,0))&amp;"","")="","",HYPERLINK(INDEX('Google Drive Map'!$G$4:$G$33,MATCH(P127,'Google Drive Map'!$B$4:$B$33,0)),"Open")))</f>
        <v/>
      </c>
      <c r="R127" s="7">
        <f>IF(AND(A127="",B127="",C127=""),"",TRIM(IF(AND(D127&lt;&gt;"",ISNA(MATCH(D127,'Google Drive Map'!$A$4:$A$33,0))),"Folder code isn't on the folder map. ","")&amp;IF(AND(C127&lt;&gt;"",NOT(ISNUMBER(C127))),"No. must be a whole number. ","")&amp;IF(AND(D127&lt;&gt;"",B127&lt;&gt;"",C127=""),"Type the next free no. ","")&amp;IF(AND(F127&lt;&gt;"",COUNTIF(F$4:F$303,F127)&gt;1),"Duplicate Doc ID. ","")))</f>
        <v/>
      </c>
      <c r="S127" s="22" t="n"/>
      <c r="T127" s="23" t="n"/>
    </row>
    <row r="128">
      <c r="A128" s="35" t="n"/>
      <c r="B128" s="22" t="n"/>
      <c r="C128" s="22" t="n"/>
      <c r="D128" s="7">
        <f>IF(A128="","",IF(ISNUMBER(A128),TEXT(A128,"00"),TRIM(A128)))</f>
        <v/>
      </c>
      <c r="E128" s="7">
        <f t="array" ref="E128">IF(OR(D128="",B128=""),"",MAX(IF((D$4:D$303=D128)*(B$4:B$303=B128)*ISNUMBER(C$4:C$303),C$4:C$303,0))+1)</f>
        <v/>
      </c>
      <c r="F128" s="7">
        <f>IF(OR(D128="",B128="",NOT(ISNUMBER(C128))),"",D128&amp;"-"&amp;B128&amp;"-"&amp;TEXT(C128,"000"))</f>
        <v/>
      </c>
      <c r="G128" s="23" t="n"/>
      <c r="H128" s="22" t="n"/>
      <c r="I128" s="24" t="n"/>
      <c r="J128" s="22" t="n"/>
      <c r="K128" s="22" t="n"/>
      <c r="L128" s="22" t="n"/>
      <c r="M128" s="22" t="n"/>
      <c r="N128" s="22" t="n"/>
      <c r="O128" s="7">
        <f>IF(F128="","",F128&amp;"_"&amp;SUBSTITUTE(SUBSTITUTE(SUBSTITUTE(SUBSTITUTE(SUBSTITUTE(SUBSTITUTE(SUBSTITUTE(SUBSTITUTE(SUBSTITUTE(SUBSTITUTE(TRIM(G128)," ","-"),"/","-"),"\","-"),":","-"),"*","-"),"?","-"),"""","-"),"&lt;","-"),"&gt;","-"),"|","-")&amp;IF(H128="","","_Rev"&amp;H128))</f>
        <v/>
      </c>
      <c r="P128" s="7">
        <f>IF(D128="","",IF(L128="Superseded","99 Archive",IF(AND(D128="04",K128&lt;&gt;""),IFERROR(INDEX('Google Drive Map'!$B$4:$B$33,MATCH("04/"&amp;LEFT(K128,2),'Google Drive Map'!$A$4:$A$33,0)),"04 Trades &amp; Tenders/"&amp;K128),IFERROR(INDEX('Google Drive Map'!$B$4:$B$33,MATCH(D128,'Google Drive Map'!$A$4:$A$33,0)),""))))</f>
        <v/>
      </c>
      <c r="Q128" s="7">
        <f>IF(P128="","",IF(IFERROR(INDEX('Google Drive Map'!$G$4:$G$33,MATCH(P128,'Google Drive Map'!$B$4:$B$33,0))&amp;"","")="","",HYPERLINK(INDEX('Google Drive Map'!$G$4:$G$33,MATCH(P128,'Google Drive Map'!$B$4:$B$33,0)),"Open")))</f>
        <v/>
      </c>
      <c r="R128" s="7">
        <f>IF(AND(A128="",B128="",C128=""),"",TRIM(IF(AND(D128&lt;&gt;"",ISNA(MATCH(D128,'Google Drive Map'!$A$4:$A$33,0))),"Folder code isn't on the folder map. ","")&amp;IF(AND(C128&lt;&gt;"",NOT(ISNUMBER(C128))),"No. must be a whole number. ","")&amp;IF(AND(D128&lt;&gt;"",B128&lt;&gt;"",C128=""),"Type the next free no. ","")&amp;IF(AND(F128&lt;&gt;"",COUNTIF(F$4:F$303,F128)&gt;1),"Duplicate Doc ID. ","")))</f>
        <v/>
      </c>
      <c r="S128" s="22" t="n"/>
      <c r="T128" s="23" t="n"/>
    </row>
    <row r="129">
      <c r="A129" s="35" t="n"/>
      <c r="B129" s="22" t="n"/>
      <c r="C129" s="22" t="n"/>
      <c r="D129" s="7">
        <f>IF(A129="","",IF(ISNUMBER(A129),TEXT(A129,"00"),TRIM(A129)))</f>
        <v/>
      </c>
      <c r="E129" s="7">
        <f t="array" ref="E129">IF(OR(D129="",B129=""),"",MAX(IF((D$4:D$303=D129)*(B$4:B$303=B129)*ISNUMBER(C$4:C$303),C$4:C$303,0))+1)</f>
        <v/>
      </c>
      <c r="F129" s="7">
        <f>IF(OR(D129="",B129="",NOT(ISNUMBER(C129))),"",D129&amp;"-"&amp;B129&amp;"-"&amp;TEXT(C129,"000"))</f>
        <v/>
      </c>
      <c r="G129" s="23" t="n"/>
      <c r="H129" s="22" t="n"/>
      <c r="I129" s="24" t="n"/>
      <c r="J129" s="22" t="n"/>
      <c r="K129" s="22" t="n"/>
      <c r="L129" s="22" t="n"/>
      <c r="M129" s="22" t="n"/>
      <c r="N129" s="22" t="n"/>
      <c r="O129" s="7">
        <f>IF(F129="","",F129&amp;"_"&amp;SUBSTITUTE(SUBSTITUTE(SUBSTITUTE(SUBSTITUTE(SUBSTITUTE(SUBSTITUTE(SUBSTITUTE(SUBSTITUTE(SUBSTITUTE(SUBSTITUTE(TRIM(G129)," ","-"),"/","-"),"\","-"),":","-"),"*","-"),"?","-"),"""","-"),"&lt;","-"),"&gt;","-"),"|","-")&amp;IF(H129="","","_Rev"&amp;H129))</f>
        <v/>
      </c>
      <c r="P129" s="7">
        <f>IF(D129="","",IF(L129="Superseded","99 Archive",IF(AND(D129="04",K129&lt;&gt;""),IFERROR(INDEX('Google Drive Map'!$B$4:$B$33,MATCH("04/"&amp;LEFT(K129,2),'Google Drive Map'!$A$4:$A$33,0)),"04 Trades &amp; Tenders/"&amp;K129),IFERROR(INDEX('Google Drive Map'!$B$4:$B$33,MATCH(D129,'Google Drive Map'!$A$4:$A$33,0)),""))))</f>
        <v/>
      </c>
      <c r="Q129" s="7">
        <f>IF(P129="","",IF(IFERROR(INDEX('Google Drive Map'!$G$4:$G$33,MATCH(P129,'Google Drive Map'!$B$4:$B$33,0))&amp;"","")="","",HYPERLINK(INDEX('Google Drive Map'!$G$4:$G$33,MATCH(P129,'Google Drive Map'!$B$4:$B$33,0)),"Open")))</f>
        <v/>
      </c>
      <c r="R129" s="7">
        <f>IF(AND(A129="",B129="",C129=""),"",TRIM(IF(AND(D129&lt;&gt;"",ISNA(MATCH(D129,'Google Drive Map'!$A$4:$A$33,0))),"Folder code isn't on the folder map. ","")&amp;IF(AND(C129&lt;&gt;"",NOT(ISNUMBER(C129))),"No. must be a whole number. ","")&amp;IF(AND(D129&lt;&gt;"",B129&lt;&gt;"",C129=""),"Type the next free no. ","")&amp;IF(AND(F129&lt;&gt;"",COUNTIF(F$4:F$303,F129)&gt;1),"Duplicate Doc ID. ","")))</f>
        <v/>
      </c>
      <c r="S129" s="22" t="n"/>
      <c r="T129" s="23" t="n"/>
    </row>
    <row r="130">
      <c r="A130" s="35" t="n"/>
      <c r="B130" s="22" t="n"/>
      <c r="C130" s="22" t="n"/>
      <c r="D130" s="7">
        <f>IF(A130="","",IF(ISNUMBER(A130),TEXT(A130,"00"),TRIM(A130)))</f>
        <v/>
      </c>
      <c r="E130" s="7">
        <f t="array" ref="E130">IF(OR(D130="",B130=""),"",MAX(IF((D$4:D$303=D130)*(B$4:B$303=B130)*ISNUMBER(C$4:C$303),C$4:C$303,0))+1)</f>
        <v/>
      </c>
      <c r="F130" s="7">
        <f>IF(OR(D130="",B130="",NOT(ISNUMBER(C130))),"",D130&amp;"-"&amp;B130&amp;"-"&amp;TEXT(C130,"000"))</f>
        <v/>
      </c>
      <c r="G130" s="23" t="n"/>
      <c r="H130" s="22" t="n"/>
      <c r="I130" s="24" t="n"/>
      <c r="J130" s="22" t="n"/>
      <c r="K130" s="22" t="n"/>
      <c r="L130" s="22" t="n"/>
      <c r="M130" s="22" t="n"/>
      <c r="N130" s="22" t="n"/>
      <c r="O130" s="7">
        <f>IF(F130="","",F130&amp;"_"&amp;SUBSTITUTE(SUBSTITUTE(SUBSTITUTE(SUBSTITUTE(SUBSTITUTE(SUBSTITUTE(SUBSTITUTE(SUBSTITUTE(SUBSTITUTE(SUBSTITUTE(TRIM(G130)," ","-"),"/","-"),"\","-"),":","-"),"*","-"),"?","-"),"""","-"),"&lt;","-"),"&gt;","-"),"|","-")&amp;IF(H130="","","_Rev"&amp;H130))</f>
        <v/>
      </c>
      <c r="P130" s="7">
        <f>IF(D130="","",IF(L130="Superseded","99 Archive",IF(AND(D130="04",K130&lt;&gt;""),IFERROR(INDEX('Google Drive Map'!$B$4:$B$33,MATCH("04/"&amp;LEFT(K130,2),'Google Drive Map'!$A$4:$A$33,0)),"04 Trades &amp; Tenders/"&amp;K130),IFERROR(INDEX('Google Drive Map'!$B$4:$B$33,MATCH(D130,'Google Drive Map'!$A$4:$A$33,0)),""))))</f>
        <v/>
      </c>
      <c r="Q130" s="7">
        <f>IF(P130="","",IF(IFERROR(INDEX('Google Drive Map'!$G$4:$G$33,MATCH(P130,'Google Drive Map'!$B$4:$B$33,0))&amp;"","")="","",HYPERLINK(INDEX('Google Drive Map'!$G$4:$G$33,MATCH(P130,'Google Drive Map'!$B$4:$B$33,0)),"Open")))</f>
        <v/>
      </c>
      <c r="R130" s="7">
        <f>IF(AND(A130="",B130="",C130=""),"",TRIM(IF(AND(D130&lt;&gt;"",ISNA(MATCH(D130,'Google Drive Map'!$A$4:$A$33,0))),"Folder code isn't on the folder map. ","")&amp;IF(AND(C130&lt;&gt;"",NOT(ISNUMBER(C130))),"No. must be a whole number. ","")&amp;IF(AND(D130&lt;&gt;"",B130&lt;&gt;"",C130=""),"Type the next free no. ","")&amp;IF(AND(F130&lt;&gt;"",COUNTIF(F$4:F$303,F130)&gt;1),"Duplicate Doc ID. ","")))</f>
        <v/>
      </c>
      <c r="S130" s="22" t="n"/>
      <c r="T130" s="23" t="n"/>
    </row>
    <row r="131">
      <c r="A131" s="35" t="n"/>
      <c r="B131" s="22" t="n"/>
      <c r="C131" s="22" t="n"/>
      <c r="D131" s="7">
        <f>IF(A131="","",IF(ISNUMBER(A131),TEXT(A131,"00"),TRIM(A131)))</f>
        <v/>
      </c>
      <c r="E131" s="7">
        <f t="array" ref="E131">IF(OR(D131="",B131=""),"",MAX(IF((D$4:D$303=D131)*(B$4:B$303=B131)*ISNUMBER(C$4:C$303),C$4:C$303,0))+1)</f>
        <v/>
      </c>
      <c r="F131" s="7">
        <f>IF(OR(D131="",B131="",NOT(ISNUMBER(C131))),"",D131&amp;"-"&amp;B131&amp;"-"&amp;TEXT(C131,"000"))</f>
        <v/>
      </c>
      <c r="G131" s="23" t="n"/>
      <c r="H131" s="22" t="n"/>
      <c r="I131" s="24" t="n"/>
      <c r="J131" s="22" t="n"/>
      <c r="K131" s="22" t="n"/>
      <c r="L131" s="22" t="n"/>
      <c r="M131" s="22" t="n"/>
      <c r="N131" s="22" t="n"/>
      <c r="O131" s="7">
        <f>IF(F131="","",F131&amp;"_"&amp;SUBSTITUTE(SUBSTITUTE(SUBSTITUTE(SUBSTITUTE(SUBSTITUTE(SUBSTITUTE(SUBSTITUTE(SUBSTITUTE(SUBSTITUTE(SUBSTITUTE(TRIM(G131)," ","-"),"/","-"),"\","-"),":","-"),"*","-"),"?","-"),"""","-"),"&lt;","-"),"&gt;","-"),"|","-")&amp;IF(H131="","","_Rev"&amp;H131))</f>
        <v/>
      </c>
      <c r="P131" s="7">
        <f>IF(D131="","",IF(L131="Superseded","99 Archive",IF(AND(D131="04",K131&lt;&gt;""),IFERROR(INDEX('Google Drive Map'!$B$4:$B$33,MATCH("04/"&amp;LEFT(K131,2),'Google Drive Map'!$A$4:$A$33,0)),"04 Trades &amp; Tenders/"&amp;K131),IFERROR(INDEX('Google Drive Map'!$B$4:$B$33,MATCH(D131,'Google Drive Map'!$A$4:$A$33,0)),""))))</f>
        <v/>
      </c>
      <c r="Q131" s="7">
        <f>IF(P131="","",IF(IFERROR(INDEX('Google Drive Map'!$G$4:$G$33,MATCH(P131,'Google Drive Map'!$B$4:$B$33,0))&amp;"","")="","",HYPERLINK(INDEX('Google Drive Map'!$G$4:$G$33,MATCH(P131,'Google Drive Map'!$B$4:$B$33,0)),"Open")))</f>
        <v/>
      </c>
      <c r="R131" s="7">
        <f>IF(AND(A131="",B131="",C131=""),"",TRIM(IF(AND(D131&lt;&gt;"",ISNA(MATCH(D131,'Google Drive Map'!$A$4:$A$33,0))),"Folder code isn't on the folder map. ","")&amp;IF(AND(C131&lt;&gt;"",NOT(ISNUMBER(C131))),"No. must be a whole number. ","")&amp;IF(AND(D131&lt;&gt;"",B131&lt;&gt;"",C131=""),"Type the next free no. ","")&amp;IF(AND(F131&lt;&gt;"",COUNTIF(F$4:F$303,F131)&gt;1),"Duplicate Doc ID. ","")))</f>
        <v/>
      </c>
      <c r="S131" s="22" t="n"/>
      <c r="T131" s="23" t="n"/>
    </row>
    <row r="132">
      <c r="A132" s="35" t="n"/>
      <c r="B132" s="22" t="n"/>
      <c r="C132" s="22" t="n"/>
      <c r="D132" s="7">
        <f>IF(A132="","",IF(ISNUMBER(A132),TEXT(A132,"00"),TRIM(A132)))</f>
        <v/>
      </c>
      <c r="E132" s="7">
        <f t="array" ref="E132">IF(OR(D132="",B132=""),"",MAX(IF((D$4:D$303=D132)*(B$4:B$303=B132)*ISNUMBER(C$4:C$303),C$4:C$303,0))+1)</f>
        <v/>
      </c>
      <c r="F132" s="7">
        <f>IF(OR(D132="",B132="",NOT(ISNUMBER(C132))),"",D132&amp;"-"&amp;B132&amp;"-"&amp;TEXT(C132,"000"))</f>
        <v/>
      </c>
      <c r="G132" s="23" t="n"/>
      <c r="H132" s="22" t="n"/>
      <c r="I132" s="24" t="n"/>
      <c r="J132" s="22" t="n"/>
      <c r="K132" s="22" t="n"/>
      <c r="L132" s="22" t="n"/>
      <c r="M132" s="22" t="n"/>
      <c r="N132" s="22" t="n"/>
      <c r="O132" s="7">
        <f>IF(F132="","",F132&amp;"_"&amp;SUBSTITUTE(SUBSTITUTE(SUBSTITUTE(SUBSTITUTE(SUBSTITUTE(SUBSTITUTE(SUBSTITUTE(SUBSTITUTE(SUBSTITUTE(SUBSTITUTE(TRIM(G132)," ","-"),"/","-"),"\","-"),":","-"),"*","-"),"?","-"),"""","-"),"&lt;","-"),"&gt;","-"),"|","-")&amp;IF(H132="","","_Rev"&amp;H132))</f>
        <v/>
      </c>
      <c r="P132" s="7">
        <f>IF(D132="","",IF(L132="Superseded","99 Archive",IF(AND(D132="04",K132&lt;&gt;""),IFERROR(INDEX('Google Drive Map'!$B$4:$B$33,MATCH("04/"&amp;LEFT(K132,2),'Google Drive Map'!$A$4:$A$33,0)),"04 Trades &amp; Tenders/"&amp;K132),IFERROR(INDEX('Google Drive Map'!$B$4:$B$33,MATCH(D132,'Google Drive Map'!$A$4:$A$33,0)),""))))</f>
        <v/>
      </c>
      <c r="Q132" s="7">
        <f>IF(P132="","",IF(IFERROR(INDEX('Google Drive Map'!$G$4:$G$33,MATCH(P132,'Google Drive Map'!$B$4:$B$33,0))&amp;"","")="","",HYPERLINK(INDEX('Google Drive Map'!$G$4:$G$33,MATCH(P132,'Google Drive Map'!$B$4:$B$33,0)),"Open")))</f>
        <v/>
      </c>
      <c r="R132" s="7">
        <f>IF(AND(A132="",B132="",C132=""),"",TRIM(IF(AND(D132&lt;&gt;"",ISNA(MATCH(D132,'Google Drive Map'!$A$4:$A$33,0))),"Folder code isn't on the folder map. ","")&amp;IF(AND(C132&lt;&gt;"",NOT(ISNUMBER(C132))),"No. must be a whole number. ","")&amp;IF(AND(D132&lt;&gt;"",B132&lt;&gt;"",C132=""),"Type the next free no. ","")&amp;IF(AND(F132&lt;&gt;"",COUNTIF(F$4:F$303,F132)&gt;1),"Duplicate Doc ID. ","")))</f>
        <v/>
      </c>
      <c r="S132" s="22" t="n"/>
      <c r="T132" s="23" t="n"/>
    </row>
    <row r="133">
      <c r="A133" s="35" t="n"/>
      <c r="B133" s="22" t="n"/>
      <c r="C133" s="22" t="n"/>
      <c r="D133" s="7">
        <f>IF(A133="","",IF(ISNUMBER(A133),TEXT(A133,"00"),TRIM(A133)))</f>
        <v/>
      </c>
      <c r="E133" s="7">
        <f t="array" ref="E133">IF(OR(D133="",B133=""),"",MAX(IF((D$4:D$303=D133)*(B$4:B$303=B133)*ISNUMBER(C$4:C$303),C$4:C$303,0))+1)</f>
        <v/>
      </c>
      <c r="F133" s="7">
        <f>IF(OR(D133="",B133="",NOT(ISNUMBER(C133))),"",D133&amp;"-"&amp;B133&amp;"-"&amp;TEXT(C133,"000"))</f>
        <v/>
      </c>
      <c r="G133" s="23" t="n"/>
      <c r="H133" s="22" t="n"/>
      <c r="I133" s="24" t="n"/>
      <c r="J133" s="22" t="n"/>
      <c r="K133" s="22" t="n"/>
      <c r="L133" s="22" t="n"/>
      <c r="M133" s="22" t="n"/>
      <c r="N133" s="22" t="n"/>
      <c r="O133" s="7">
        <f>IF(F133="","",F133&amp;"_"&amp;SUBSTITUTE(SUBSTITUTE(SUBSTITUTE(SUBSTITUTE(SUBSTITUTE(SUBSTITUTE(SUBSTITUTE(SUBSTITUTE(SUBSTITUTE(SUBSTITUTE(TRIM(G133)," ","-"),"/","-"),"\","-"),":","-"),"*","-"),"?","-"),"""","-"),"&lt;","-"),"&gt;","-"),"|","-")&amp;IF(H133="","","_Rev"&amp;H133))</f>
        <v/>
      </c>
      <c r="P133" s="7">
        <f>IF(D133="","",IF(L133="Superseded","99 Archive",IF(AND(D133="04",K133&lt;&gt;""),IFERROR(INDEX('Google Drive Map'!$B$4:$B$33,MATCH("04/"&amp;LEFT(K133,2),'Google Drive Map'!$A$4:$A$33,0)),"04 Trades &amp; Tenders/"&amp;K133),IFERROR(INDEX('Google Drive Map'!$B$4:$B$33,MATCH(D133,'Google Drive Map'!$A$4:$A$33,0)),""))))</f>
        <v/>
      </c>
      <c r="Q133" s="7">
        <f>IF(P133="","",IF(IFERROR(INDEX('Google Drive Map'!$G$4:$G$33,MATCH(P133,'Google Drive Map'!$B$4:$B$33,0))&amp;"","")="","",HYPERLINK(INDEX('Google Drive Map'!$G$4:$G$33,MATCH(P133,'Google Drive Map'!$B$4:$B$33,0)),"Open")))</f>
        <v/>
      </c>
      <c r="R133" s="7">
        <f>IF(AND(A133="",B133="",C133=""),"",TRIM(IF(AND(D133&lt;&gt;"",ISNA(MATCH(D133,'Google Drive Map'!$A$4:$A$33,0))),"Folder code isn't on the folder map. ","")&amp;IF(AND(C133&lt;&gt;"",NOT(ISNUMBER(C133))),"No. must be a whole number. ","")&amp;IF(AND(D133&lt;&gt;"",B133&lt;&gt;"",C133=""),"Type the next free no. ","")&amp;IF(AND(F133&lt;&gt;"",COUNTIF(F$4:F$303,F133)&gt;1),"Duplicate Doc ID. ","")))</f>
        <v/>
      </c>
      <c r="S133" s="22" t="n"/>
      <c r="T133" s="23" t="n"/>
    </row>
    <row r="134">
      <c r="A134" s="35" t="n"/>
      <c r="B134" s="22" t="n"/>
      <c r="C134" s="22" t="n"/>
      <c r="D134" s="7">
        <f>IF(A134="","",IF(ISNUMBER(A134),TEXT(A134,"00"),TRIM(A134)))</f>
        <v/>
      </c>
      <c r="E134" s="7">
        <f t="array" ref="E134">IF(OR(D134="",B134=""),"",MAX(IF((D$4:D$303=D134)*(B$4:B$303=B134)*ISNUMBER(C$4:C$303),C$4:C$303,0))+1)</f>
        <v/>
      </c>
      <c r="F134" s="7">
        <f>IF(OR(D134="",B134="",NOT(ISNUMBER(C134))),"",D134&amp;"-"&amp;B134&amp;"-"&amp;TEXT(C134,"000"))</f>
        <v/>
      </c>
      <c r="G134" s="23" t="n"/>
      <c r="H134" s="22" t="n"/>
      <c r="I134" s="24" t="n"/>
      <c r="J134" s="22" t="n"/>
      <c r="K134" s="22" t="n"/>
      <c r="L134" s="22" t="n"/>
      <c r="M134" s="22" t="n"/>
      <c r="N134" s="22" t="n"/>
      <c r="O134" s="7">
        <f>IF(F134="","",F134&amp;"_"&amp;SUBSTITUTE(SUBSTITUTE(SUBSTITUTE(SUBSTITUTE(SUBSTITUTE(SUBSTITUTE(SUBSTITUTE(SUBSTITUTE(SUBSTITUTE(SUBSTITUTE(TRIM(G134)," ","-"),"/","-"),"\","-"),":","-"),"*","-"),"?","-"),"""","-"),"&lt;","-"),"&gt;","-"),"|","-")&amp;IF(H134="","","_Rev"&amp;H134))</f>
        <v/>
      </c>
      <c r="P134" s="7">
        <f>IF(D134="","",IF(L134="Superseded","99 Archive",IF(AND(D134="04",K134&lt;&gt;""),IFERROR(INDEX('Google Drive Map'!$B$4:$B$33,MATCH("04/"&amp;LEFT(K134,2),'Google Drive Map'!$A$4:$A$33,0)),"04 Trades &amp; Tenders/"&amp;K134),IFERROR(INDEX('Google Drive Map'!$B$4:$B$33,MATCH(D134,'Google Drive Map'!$A$4:$A$33,0)),""))))</f>
        <v/>
      </c>
      <c r="Q134" s="7">
        <f>IF(P134="","",IF(IFERROR(INDEX('Google Drive Map'!$G$4:$G$33,MATCH(P134,'Google Drive Map'!$B$4:$B$33,0))&amp;"","")="","",HYPERLINK(INDEX('Google Drive Map'!$G$4:$G$33,MATCH(P134,'Google Drive Map'!$B$4:$B$33,0)),"Open")))</f>
        <v/>
      </c>
      <c r="R134" s="7">
        <f>IF(AND(A134="",B134="",C134=""),"",TRIM(IF(AND(D134&lt;&gt;"",ISNA(MATCH(D134,'Google Drive Map'!$A$4:$A$33,0))),"Folder code isn't on the folder map. ","")&amp;IF(AND(C134&lt;&gt;"",NOT(ISNUMBER(C134))),"No. must be a whole number. ","")&amp;IF(AND(D134&lt;&gt;"",B134&lt;&gt;"",C134=""),"Type the next free no. ","")&amp;IF(AND(F134&lt;&gt;"",COUNTIF(F$4:F$303,F134)&gt;1),"Duplicate Doc ID. ","")))</f>
        <v/>
      </c>
      <c r="S134" s="22" t="n"/>
      <c r="T134" s="23" t="n"/>
    </row>
    <row r="135">
      <c r="A135" s="35" t="n"/>
      <c r="B135" s="22" t="n"/>
      <c r="C135" s="22" t="n"/>
      <c r="D135" s="7">
        <f>IF(A135="","",IF(ISNUMBER(A135),TEXT(A135,"00"),TRIM(A135)))</f>
        <v/>
      </c>
      <c r="E135" s="7">
        <f t="array" ref="E135">IF(OR(D135="",B135=""),"",MAX(IF((D$4:D$303=D135)*(B$4:B$303=B135)*ISNUMBER(C$4:C$303),C$4:C$303,0))+1)</f>
        <v/>
      </c>
      <c r="F135" s="7">
        <f>IF(OR(D135="",B135="",NOT(ISNUMBER(C135))),"",D135&amp;"-"&amp;B135&amp;"-"&amp;TEXT(C135,"000"))</f>
        <v/>
      </c>
      <c r="G135" s="23" t="n"/>
      <c r="H135" s="22" t="n"/>
      <c r="I135" s="24" t="n"/>
      <c r="J135" s="22" t="n"/>
      <c r="K135" s="22" t="n"/>
      <c r="L135" s="22" t="n"/>
      <c r="M135" s="22" t="n"/>
      <c r="N135" s="22" t="n"/>
      <c r="O135" s="7">
        <f>IF(F135="","",F135&amp;"_"&amp;SUBSTITUTE(SUBSTITUTE(SUBSTITUTE(SUBSTITUTE(SUBSTITUTE(SUBSTITUTE(SUBSTITUTE(SUBSTITUTE(SUBSTITUTE(SUBSTITUTE(TRIM(G135)," ","-"),"/","-"),"\","-"),":","-"),"*","-"),"?","-"),"""","-"),"&lt;","-"),"&gt;","-"),"|","-")&amp;IF(H135="","","_Rev"&amp;H135))</f>
        <v/>
      </c>
      <c r="P135" s="7">
        <f>IF(D135="","",IF(L135="Superseded","99 Archive",IF(AND(D135="04",K135&lt;&gt;""),IFERROR(INDEX('Google Drive Map'!$B$4:$B$33,MATCH("04/"&amp;LEFT(K135,2),'Google Drive Map'!$A$4:$A$33,0)),"04 Trades &amp; Tenders/"&amp;K135),IFERROR(INDEX('Google Drive Map'!$B$4:$B$33,MATCH(D135,'Google Drive Map'!$A$4:$A$33,0)),""))))</f>
        <v/>
      </c>
      <c r="Q135" s="7">
        <f>IF(P135="","",IF(IFERROR(INDEX('Google Drive Map'!$G$4:$G$33,MATCH(P135,'Google Drive Map'!$B$4:$B$33,0))&amp;"","")="","",HYPERLINK(INDEX('Google Drive Map'!$G$4:$G$33,MATCH(P135,'Google Drive Map'!$B$4:$B$33,0)),"Open")))</f>
        <v/>
      </c>
      <c r="R135" s="7">
        <f>IF(AND(A135="",B135="",C135=""),"",TRIM(IF(AND(D135&lt;&gt;"",ISNA(MATCH(D135,'Google Drive Map'!$A$4:$A$33,0))),"Folder code isn't on the folder map. ","")&amp;IF(AND(C135&lt;&gt;"",NOT(ISNUMBER(C135))),"No. must be a whole number. ","")&amp;IF(AND(D135&lt;&gt;"",B135&lt;&gt;"",C135=""),"Type the next free no. ","")&amp;IF(AND(F135&lt;&gt;"",COUNTIF(F$4:F$303,F135)&gt;1),"Duplicate Doc ID. ","")))</f>
        <v/>
      </c>
      <c r="S135" s="22" t="n"/>
      <c r="T135" s="23" t="n"/>
    </row>
    <row r="136">
      <c r="A136" s="35" t="n"/>
      <c r="B136" s="22" t="n"/>
      <c r="C136" s="22" t="n"/>
      <c r="D136" s="7">
        <f>IF(A136="","",IF(ISNUMBER(A136),TEXT(A136,"00"),TRIM(A136)))</f>
        <v/>
      </c>
      <c r="E136" s="7">
        <f t="array" ref="E136">IF(OR(D136="",B136=""),"",MAX(IF((D$4:D$303=D136)*(B$4:B$303=B136)*ISNUMBER(C$4:C$303),C$4:C$303,0))+1)</f>
        <v/>
      </c>
      <c r="F136" s="7">
        <f>IF(OR(D136="",B136="",NOT(ISNUMBER(C136))),"",D136&amp;"-"&amp;B136&amp;"-"&amp;TEXT(C136,"000"))</f>
        <v/>
      </c>
      <c r="G136" s="23" t="n"/>
      <c r="H136" s="22" t="n"/>
      <c r="I136" s="24" t="n"/>
      <c r="J136" s="22" t="n"/>
      <c r="K136" s="22" t="n"/>
      <c r="L136" s="22" t="n"/>
      <c r="M136" s="22" t="n"/>
      <c r="N136" s="22" t="n"/>
      <c r="O136" s="7">
        <f>IF(F136="","",F136&amp;"_"&amp;SUBSTITUTE(SUBSTITUTE(SUBSTITUTE(SUBSTITUTE(SUBSTITUTE(SUBSTITUTE(SUBSTITUTE(SUBSTITUTE(SUBSTITUTE(SUBSTITUTE(TRIM(G136)," ","-"),"/","-"),"\","-"),":","-"),"*","-"),"?","-"),"""","-"),"&lt;","-"),"&gt;","-"),"|","-")&amp;IF(H136="","","_Rev"&amp;H136))</f>
        <v/>
      </c>
      <c r="P136" s="7">
        <f>IF(D136="","",IF(L136="Superseded","99 Archive",IF(AND(D136="04",K136&lt;&gt;""),IFERROR(INDEX('Google Drive Map'!$B$4:$B$33,MATCH("04/"&amp;LEFT(K136,2),'Google Drive Map'!$A$4:$A$33,0)),"04 Trades &amp; Tenders/"&amp;K136),IFERROR(INDEX('Google Drive Map'!$B$4:$B$33,MATCH(D136,'Google Drive Map'!$A$4:$A$33,0)),""))))</f>
        <v/>
      </c>
      <c r="Q136" s="7">
        <f>IF(P136="","",IF(IFERROR(INDEX('Google Drive Map'!$G$4:$G$33,MATCH(P136,'Google Drive Map'!$B$4:$B$33,0))&amp;"","")="","",HYPERLINK(INDEX('Google Drive Map'!$G$4:$G$33,MATCH(P136,'Google Drive Map'!$B$4:$B$33,0)),"Open")))</f>
        <v/>
      </c>
      <c r="R136" s="7">
        <f>IF(AND(A136="",B136="",C136=""),"",TRIM(IF(AND(D136&lt;&gt;"",ISNA(MATCH(D136,'Google Drive Map'!$A$4:$A$33,0))),"Folder code isn't on the folder map. ","")&amp;IF(AND(C136&lt;&gt;"",NOT(ISNUMBER(C136))),"No. must be a whole number. ","")&amp;IF(AND(D136&lt;&gt;"",B136&lt;&gt;"",C136=""),"Type the next free no. ","")&amp;IF(AND(F136&lt;&gt;"",COUNTIF(F$4:F$303,F136)&gt;1),"Duplicate Doc ID. ","")))</f>
        <v/>
      </c>
      <c r="S136" s="22" t="n"/>
      <c r="T136" s="23" t="n"/>
    </row>
    <row r="137">
      <c r="A137" s="35" t="n"/>
      <c r="B137" s="22" t="n"/>
      <c r="C137" s="22" t="n"/>
      <c r="D137" s="7">
        <f>IF(A137="","",IF(ISNUMBER(A137),TEXT(A137,"00"),TRIM(A137)))</f>
        <v/>
      </c>
      <c r="E137" s="7">
        <f t="array" ref="E137">IF(OR(D137="",B137=""),"",MAX(IF((D$4:D$303=D137)*(B$4:B$303=B137)*ISNUMBER(C$4:C$303),C$4:C$303,0))+1)</f>
        <v/>
      </c>
      <c r="F137" s="7">
        <f>IF(OR(D137="",B137="",NOT(ISNUMBER(C137))),"",D137&amp;"-"&amp;B137&amp;"-"&amp;TEXT(C137,"000"))</f>
        <v/>
      </c>
      <c r="G137" s="23" t="n"/>
      <c r="H137" s="22" t="n"/>
      <c r="I137" s="24" t="n"/>
      <c r="J137" s="22" t="n"/>
      <c r="K137" s="22" t="n"/>
      <c r="L137" s="22" t="n"/>
      <c r="M137" s="22" t="n"/>
      <c r="N137" s="22" t="n"/>
      <c r="O137" s="7">
        <f>IF(F137="","",F137&amp;"_"&amp;SUBSTITUTE(SUBSTITUTE(SUBSTITUTE(SUBSTITUTE(SUBSTITUTE(SUBSTITUTE(SUBSTITUTE(SUBSTITUTE(SUBSTITUTE(SUBSTITUTE(TRIM(G137)," ","-"),"/","-"),"\","-"),":","-"),"*","-"),"?","-"),"""","-"),"&lt;","-"),"&gt;","-"),"|","-")&amp;IF(H137="","","_Rev"&amp;H137))</f>
        <v/>
      </c>
      <c r="P137" s="7">
        <f>IF(D137="","",IF(L137="Superseded","99 Archive",IF(AND(D137="04",K137&lt;&gt;""),IFERROR(INDEX('Google Drive Map'!$B$4:$B$33,MATCH("04/"&amp;LEFT(K137,2),'Google Drive Map'!$A$4:$A$33,0)),"04 Trades &amp; Tenders/"&amp;K137),IFERROR(INDEX('Google Drive Map'!$B$4:$B$33,MATCH(D137,'Google Drive Map'!$A$4:$A$33,0)),""))))</f>
        <v/>
      </c>
      <c r="Q137" s="7">
        <f>IF(P137="","",IF(IFERROR(INDEX('Google Drive Map'!$G$4:$G$33,MATCH(P137,'Google Drive Map'!$B$4:$B$33,0))&amp;"","")="","",HYPERLINK(INDEX('Google Drive Map'!$G$4:$G$33,MATCH(P137,'Google Drive Map'!$B$4:$B$33,0)),"Open")))</f>
        <v/>
      </c>
      <c r="R137" s="7">
        <f>IF(AND(A137="",B137="",C137=""),"",TRIM(IF(AND(D137&lt;&gt;"",ISNA(MATCH(D137,'Google Drive Map'!$A$4:$A$33,0))),"Folder code isn't on the folder map. ","")&amp;IF(AND(C137&lt;&gt;"",NOT(ISNUMBER(C137))),"No. must be a whole number. ","")&amp;IF(AND(D137&lt;&gt;"",B137&lt;&gt;"",C137=""),"Type the next free no. ","")&amp;IF(AND(F137&lt;&gt;"",COUNTIF(F$4:F$303,F137)&gt;1),"Duplicate Doc ID. ","")))</f>
        <v/>
      </c>
      <c r="S137" s="22" t="n"/>
      <c r="T137" s="23" t="n"/>
    </row>
    <row r="138">
      <c r="A138" s="35" t="n"/>
      <c r="B138" s="22" t="n"/>
      <c r="C138" s="22" t="n"/>
      <c r="D138" s="7">
        <f>IF(A138="","",IF(ISNUMBER(A138),TEXT(A138,"00"),TRIM(A138)))</f>
        <v/>
      </c>
      <c r="E138" s="7">
        <f t="array" ref="E138">IF(OR(D138="",B138=""),"",MAX(IF((D$4:D$303=D138)*(B$4:B$303=B138)*ISNUMBER(C$4:C$303),C$4:C$303,0))+1)</f>
        <v/>
      </c>
      <c r="F138" s="7">
        <f>IF(OR(D138="",B138="",NOT(ISNUMBER(C138))),"",D138&amp;"-"&amp;B138&amp;"-"&amp;TEXT(C138,"000"))</f>
        <v/>
      </c>
      <c r="G138" s="23" t="n"/>
      <c r="H138" s="22" t="n"/>
      <c r="I138" s="24" t="n"/>
      <c r="J138" s="22" t="n"/>
      <c r="K138" s="22" t="n"/>
      <c r="L138" s="22" t="n"/>
      <c r="M138" s="22" t="n"/>
      <c r="N138" s="22" t="n"/>
      <c r="O138" s="7">
        <f>IF(F138="","",F138&amp;"_"&amp;SUBSTITUTE(SUBSTITUTE(SUBSTITUTE(SUBSTITUTE(SUBSTITUTE(SUBSTITUTE(SUBSTITUTE(SUBSTITUTE(SUBSTITUTE(SUBSTITUTE(TRIM(G138)," ","-"),"/","-"),"\","-"),":","-"),"*","-"),"?","-"),"""","-"),"&lt;","-"),"&gt;","-"),"|","-")&amp;IF(H138="","","_Rev"&amp;H138))</f>
        <v/>
      </c>
      <c r="P138" s="7">
        <f>IF(D138="","",IF(L138="Superseded","99 Archive",IF(AND(D138="04",K138&lt;&gt;""),IFERROR(INDEX('Google Drive Map'!$B$4:$B$33,MATCH("04/"&amp;LEFT(K138,2),'Google Drive Map'!$A$4:$A$33,0)),"04 Trades &amp; Tenders/"&amp;K138),IFERROR(INDEX('Google Drive Map'!$B$4:$B$33,MATCH(D138,'Google Drive Map'!$A$4:$A$33,0)),""))))</f>
        <v/>
      </c>
      <c r="Q138" s="7">
        <f>IF(P138="","",IF(IFERROR(INDEX('Google Drive Map'!$G$4:$G$33,MATCH(P138,'Google Drive Map'!$B$4:$B$33,0))&amp;"","")="","",HYPERLINK(INDEX('Google Drive Map'!$G$4:$G$33,MATCH(P138,'Google Drive Map'!$B$4:$B$33,0)),"Open")))</f>
        <v/>
      </c>
      <c r="R138" s="7">
        <f>IF(AND(A138="",B138="",C138=""),"",TRIM(IF(AND(D138&lt;&gt;"",ISNA(MATCH(D138,'Google Drive Map'!$A$4:$A$33,0))),"Folder code isn't on the folder map. ","")&amp;IF(AND(C138&lt;&gt;"",NOT(ISNUMBER(C138))),"No. must be a whole number. ","")&amp;IF(AND(D138&lt;&gt;"",B138&lt;&gt;"",C138=""),"Type the next free no. ","")&amp;IF(AND(F138&lt;&gt;"",COUNTIF(F$4:F$303,F138)&gt;1),"Duplicate Doc ID. ","")))</f>
        <v/>
      </c>
      <c r="S138" s="22" t="n"/>
      <c r="T138" s="23" t="n"/>
    </row>
    <row r="139">
      <c r="A139" s="35" t="n"/>
      <c r="B139" s="22" t="n"/>
      <c r="C139" s="22" t="n"/>
      <c r="D139" s="7">
        <f>IF(A139="","",IF(ISNUMBER(A139),TEXT(A139,"00"),TRIM(A139)))</f>
        <v/>
      </c>
      <c r="E139" s="7">
        <f t="array" ref="E139">IF(OR(D139="",B139=""),"",MAX(IF((D$4:D$303=D139)*(B$4:B$303=B139)*ISNUMBER(C$4:C$303),C$4:C$303,0))+1)</f>
        <v/>
      </c>
      <c r="F139" s="7">
        <f>IF(OR(D139="",B139="",NOT(ISNUMBER(C139))),"",D139&amp;"-"&amp;B139&amp;"-"&amp;TEXT(C139,"000"))</f>
        <v/>
      </c>
      <c r="G139" s="23" t="n"/>
      <c r="H139" s="22" t="n"/>
      <c r="I139" s="24" t="n"/>
      <c r="J139" s="22" t="n"/>
      <c r="K139" s="22" t="n"/>
      <c r="L139" s="22" t="n"/>
      <c r="M139" s="22" t="n"/>
      <c r="N139" s="22" t="n"/>
      <c r="O139" s="7">
        <f>IF(F139="","",F139&amp;"_"&amp;SUBSTITUTE(SUBSTITUTE(SUBSTITUTE(SUBSTITUTE(SUBSTITUTE(SUBSTITUTE(SUBSTITUTE(SUBSTITUTE(SUBSTITUTE(SUBSTITUTE(TRIM(G139)," ","-"),"/","-"),"\","-"),":","-"),"*","-"),"?","-"),"""","-"),"&lt;","-"),"&gt;","-"),"|","-")&amp;IF(H139="","","_Rev"&amp;H139))</f>
        <v/>
      </c>
      <c r="P139" s="7">
        <f>IF(D139="","",IF(L139="Superseded","99 Archive",IF(AND(D139="04",K139&lt;&gt;""),IFERROR(INDEX('Google Drive Map'!$B$4:$B$33,MATCH("04/"&amp;LEFT(K139,2),'Google Drive Map'!$A$4:$A$33,0)),"04 Trades &amp; Tenders/"&amp;K139),IFERROR(INDEX('Google Drive Map'!$B$4:$B$33,MATCH(D139,'Google Drive Map'!$A$4:$A$33,0)),""))))</f>
        <v/>
      </c>
      <c r="Q139" s="7">
        <f>IF(P139="","",IF(IFERROR(INDEX('Google Drive Map'!$G$4:$G$33,MATCH(P139,'Google Drive Map'!$B$4:$B$33,0))&amp;"","")="","",HYPERLINK(INDEX('Google Drive Map'!$G$4:$G$33,MATCH(P139,'Google Drive Map'!$B$4:$B$33,0)),"Open")))</f>
        <v/>
      </c>
      <c r="R139" s="7">
        <f>IF(AND(A139="",B139="",C139=""),"",TRIM(IF(AND(D139&lt;&gt;"",ISNA(MATCH(D139,'Google Drive Map'!$A$4:$A$33,0))),"Folder code isn't on the folder map. ","")&amp;IF(AND(C139&lt;&gt;"",NOT(ISNUMBER(C139))),"No. must be a whole number. ","")&amp;IF(AND(D139&lt;&gt;"",B139&lt;&gt;"",C139=""),"Type the next free no. ","")&amp;IF(AND(F139&lt;&gt;"",COUNTIF(F$4:F$303,F139)&gt;1),"Duplicate Doc ID. ","")))</f>
        <v/>
      </c>
      <c r="S139" s="22" t="n"/>
      <c r="T139" s="23" t="n"/>
    </row>
    <row r="140">
      <c r="A140" s="35" t="n"/>
      <c r="B140" s="22" t="n"/>
      <c r="C140" s="22" t="n"/>
      <c r="D140" s="7">
        <f>IF(A140="","",IF(ISNUMBER(A140),TEXT(A140,"00"),TRIM(A140)))</f>
        <v/>
      </c>
      <c r="E140" s="7">
        <f t="array" ref="E140">IF(OR(D140="",B140=""),"",MAX(IF((D$4:D$303=D140)*(B$4:B$303=B140)*ISNUMBER(C$4:C$303),C$4:C$303,0))+1)</f>
        <v/>
      </c>
      <c r="F140" s="7">
        <f>IF(OR(D140="",B140="",NOT(ISNUMBER(C140))),"",D140&amp;"-"&amp;B140&amp;"-"&amp;TEXT(C140,"000"))</f>
        <v/>
      </c>
      <c r="G140" s="23" t="n"/>
      <c r="H140" s="22" t="n"/>
      <c r="I140" s="24" t="n"/>
      <c r="J140" s="22" t="n"/>
      <c r="K140" s="22" t="n"/>
      <c r="L140" s="22" t="n"/>
      <c r="M140" s="22" t="n"/>
      <c r="N140" s="22" t="n"/>
      <c r="O140" s="7">
        <f>IF(F140="","",F140&amp;"_"&amp;SUBSTITUTE(SUBSTITUTE(SUBSTITUTE(SUBSTITUTE(SUBSTITUTE(SUBSTITUTE(SUBSTITUTE(SUBSTITUTE(SUBSTITUTE(SUBSTITUTE(TRIM(G140)," ","-"),"/","-"),"\","-"),":","-"),"*","-"),"?","-"),"""","-"),"&lt;","-"),"&gt;","-"),"|","-")&amp;IF(H140="","","_Rev"&amp;H140))</f>
        <v/>
      </c>
      <c r="P140" s="7">
        <f>IF(D140="","",IF(L140="Superseded","99 Archive",IF(AND(D140="04",K140&lt;&gt;""),IFERROR(INDEX('Google Drive Map'!$B$4:$B$33,MATCH("04/"&amp;LEFT(K140,2),'Google Drive Map'!$A$4:$A$33,0)),"04 Trades &amp; Tenders/"&amp;K140),IFERROR(INDEX('Google Drive Map'!$B$4:$B$33,MATCH(D140,'Google Drive Map'!$A$4:$A$33,0)),""))))</f>
        <v/>
      </c>
      <c r="Q140" s="7">
        <f>IF(P140="","",IF(IFERROR(INDEX('Google Drive Map'!$G$4:$G$33,MATCH(P140,'Google Drive Map'!$B$4:$B$33,0))&amp;"","")="","",HYPERLINK(INDEX('Google Drive Map'!$G$4:$G$33,MATCH(P140,'Google Drive Map'!$B$4:$B$33,0)),"Open")))</f>
        <v/>
      </c>
      <c r="R140" s="7">
        <f>IF(AND(A140="",B140="",C140=""),"",TRIM(IF(AND(D140&lt;&gt;"",ISNA(MATCH(D140,'Google Drive Map'!$A$4:$A$33,0))),"Folder code isn't on the folder map. ","")&amp;IF(AND(C140&lt;&gt;"",NOT(ISNUMBER(C140))),"No. must be a whole number. ","")&amp;IF(AND(D140&lt;&gt;"",B140&lt;&gt;"",C140=""),"Type the next free no. ","")&amp;IF(AND(F140&lt;&gt;"",COUNTIF(F$4:F$303,F140)&gt;1),"Duplicate Doc ID. ","")))</f>
        <v/>
      </c>
      <c r="S140" s="22" t="n"/>
      <c r="T140" s="23" t="n"/>
    </row>
    <row r="141">
      <c r="A141" s="35" t="n"/>
      <c r="B141" s="22" t="n"/>
      <c r="C141" s="22" t="n"/>
      <c r="D141" s="7">
        <f>IF(A141="","",IF(ISNUMBER(A141),TEXT(A141,"00"),TRIM(A141)))</f>
        <v/>
      </c>
      <c r="E141" s="7">
        <f t="array" ref="E141">IF(OR(D141="",B141=""),"",MAX(IF((D$4:D$303=D141)*(B$4:B$303=B141)*ISNUMBER(C$4:C$303),C$4:C$303,0))+1)</f>
        <v/>
      </c>
      <c r="F141" s="7">
        <f>IF(OR(D141="",B141="",NOT(ISNUMBER(C141))),"",D141&amp;"-"&amp;B141&amp;"-"&amp;TEXT(C141,"000"))</f>
        <v/>
      </c>
      <c r="G141" s="23" t="n"/>
      <c r="H141" s="22" t="n"/>
      <c r="I141" s="24" t="n"/>
      <c r="J141" s="22" t="n"/>
      <c r="K141" s="22" t="n"/>
      <c r="L141" s="22" t="n"/>
      <c r="M141" s="22" t="n"/>
      <c r="N141" s="22" t="n"/>
      <c r="O141" s="7">
        <f>IF(F141="","",F141&amp;"_"&amp;SUBSTITUTE(SUBSTITUTE(SUBSTITUTE(SUBSTITUTE(SUBSTITUTE(SUBSTITUTE(SUBSTITUTE(SUBSTITUTE(SUBSTITUTE(SUBSTITUTE(TRIM(G141)," ","-"),"/","-"),"\","-"),":","-"),"*","-"),"?","-"),"""","-"),"&lt;","-"),"&gt;","-"),"|","-")&amp;IF(H141="","","_Rev"&amp;H141))</f>
        <v/>
      </c>
      <c r="P141" s="7">
        <f>IF(D141="","",IF(L141="Superseded","99 Archive",IF(AND(D141="04",K141&lt;&gt;""),IFERROR(INDEX('Google Drive Map'!$B$4:$B$33,MATCH("04/"&amp;LEFT(K141,2),'Google Drive Map'!$A$4:$A$33,0)),"04 Trades &amp; Tenders/"&amp;K141),IFERROR(INDEX('Google Drive Map'!$B$4:$B$33,MATCH(D141,'Google Drive Map'!$A$4:$A$33,0)),""))))</f>
        <v/>
      </c>
      <c r="Q141" s="7">
        <f>IF(P141="","",IF(IFERROR(INDEX('Google Drive Map'!$G$4:$G$33,MATCH(P141,'Google Drive Map'!$B$4:$B$33,0))&amp;"","")="","",HYPERLINK(INDEX('Google Drive Map'!$G$4:$G$33,MATCH(P141,'Google Drive Map'!$B$4:$B$33,0)),"Open")))</f>
        <v/>
      </c>
      <c r="R141" s="7">
        <f>IF(AND(A141="",B141="",C141=""),"",TRIM(IF(AND(D141&lt;&gt;"",ISNA(MATCH(D141,'Google Drive Map'!$A$4:$A$33,0))),"Folder code isn't on the folder map. ","")&amp;IF(AND(C141&lt;&gt;"",NOT(ISNUMBER(C141))),"No. must be a whole number. ","")&amp;IF(AND(D141&lt;&gt;"",B141&lt;&gt;"",C141=""),"Type the next free no. ","")&amp;IF(AND(F141&lt;&gt;"",COUNTIF(F$4:F$303,F141)&gt;1),"Duplicate Doc ID. ","")))</f>
        <v/>
      </c>
      <c r="S141" s="22" t="n"/>
      <c r="T141" s="23" t="n"/>
    </row>
    <row r="142">
      <c r="A142" s="35" t="n"/>
      <c r="B142" s="22" t="n"/>
      <c r="C142" s="22" t="n"/>
      <c r="D142" s="7">
        <f>IF(A142="","",IF(ISNUMBER(A142),TEXT(A142,"00"),TRIM(A142)))</f>
        <v/>
      </c>
      <c r="E142" s="7">
        <f t="array" ref="E142">IF(OR(D142="",B142=""),"",MAX(IF((D$4:D$303=D142)*(B$4:B$303=B142)*ISNUMBER(C$4:C$303),C$4:C$303,0))+1)</f>
        <v/>
      </c>
      <c r="F142" s="7">
        <f>IF(OR(D142="",B142="",NOT(ISNUMBER(C142))),"",D142&amp;"-"&amp;B142&amp;"-"&amp;TEXT(C142,"000"))</f>
        <v/>
      </c>
      <c r="G142" s="23" t="n"/>
      <c r="H142" s="22" t="n"/>
      <c r="I142" s="24" t="n"/>
      <c r="J142" s="22" t="n"/>
      <c r="K142" s="22" t="n"/>
      <c r="L142" s="22" t="n"/>
      <c r="M142" s="22" t="n"/>
      <c r="N142" s="22" t="n"/>
      <c r="O142" s="7">
        <f>IF(F142="","",F142&amp;"_"&amp;SUBSTITUTE(SUBSTITUTE(SUBSTITUTE(SUBSTITUTE(SUBSTITUTE(SUBSTITUTE(SUBSTITUTE(SUBSTITUTE(SUBSTITUTE(SUBSTITUTE(TRIM(G142)," ","-"),"/","-"),"\","-"),":","-"),"*","-"),"?","-"),"""","-"),"&lt;","-"),"&gt;","-"),"|","-")&amp;IF(H142="","","_Rev"&amp;H142))</f>
        <v/>
      </c>
      <c r="P142" s="7">
        <f>IF(D142="","",IF(L142="Superseded","99 Archive",IF(AND(D142="04",K142&lt;&gt;""),IFERROR(INDEX('Google Drive Map'!$B$4:$B$33,MATCH("04/"&amp;LEFT(K142,2),'Google Drive Map'!$A$4:$A$33,0)),"04 Trades &amp; Tenders/"&amp;K142),IFERROR(INDEX('Google Drive Map'!$B$4:$B$33,MATCH(D142,'Google Drive Map'!$A$4:$A$33,0)),""))))</f>
        <v/>
      </c>
      <c r="Q142" s="7">
        <f>IF(P142="","",IF(IFERROR(INDEX('Google Drive Map'!$G$4:$G$33,MATCH(P142,'Google Drive Map'!$B$4:$B$33,0))&amp;"","")="","",HYPERLINK(INDEX('Google Drive Map'!$G$4:$G$33,MATCH(P142,'Google Drive Map'!$B$4:$B$33,0)),"Open")))</f>
        <v/>
      </c>
      <c r="R142" s="7">
        <f>IF(AND(A142="",B142="",C142=""),"",TRIM(IF(AND(D142&lt;&gt;"",ISNA(MATCH(D142,'Google Drive Map'!$A$4:$A$33,0))),"Folder code isn't on the folder map. ","")&amp;IF(AND(C142&lt;&gt;"",NOT(ISNUMBER(C142))),"No. must be a whole number. ","")&amp;IF(AND(D142&lt;&gt;"",B142&lt;&gt;"",C142=""),"Type the next free no. ","")&amp;IF(AND(F142&lt;&gt;"",COUNTIF(F$4:F$303,F142)&gt;1),"Duplicate Doc ID. ","")))</f>
        <v/>
      </c>
      <c r="S142" s="22" t="n"/>
      <c r="T142" s="23" t="n"/>
    </row>
    <row r="143">
      <c r="A143" s="35" t="n"/>
      <c r="B143" s="22" t="n"/>
      <c r="C143" s="22" t="n"/>
      <c r="D143" s="7">
        <f>IF(A143="","",IF(ISNUMBER(A143),TEXT(A143,"00"),TRIM(A143)))</f>
        <v/>
      </c>
      <c r="E143" s="7">
        <f t="array" ref="E143">IF(OR(D143="",B143=""),"",MAX(IF((D$4:D$303=D143)*(B$4:B$303=B143)*ISNUMBER(C$4:C$303),C$4:C$303,0))+1)</f>
        <v/>
      </c>
      <c r="F143" s="7">
        <f>IF(OR(D143="",B143="",NOT(ISNUMBER(C143))),"",D143&amp;"-"&amp;B143&amp;"-"&amp;TEXT(C143,"000"))</f>
        <v/>
      </c>
      <c r="G143" s="23" t="n"/>
      <c r="H143" s="22" t="n"/>
      <c r="I143" s="24" t="n"/>
      <c r="J143" s="22" t="n"/>
      <c r="K143" s="22" t="n"/>
      <c r="L143" s="22" t="n"/>
      <c r="M143" s="22" t="n"/>
      <c r="N143" s="22" t="n"/>
      <c r="O143" s="7">
        <f>IF(F143="","",F143&amp;"_"&amp;SUBSTITUTE(SUBSTITUTE(SUBSTITUTE(SUBSTITUTE(SUBSTITUTE(SUBSTITUTE(SUBSTITUTE(SUBSTITUTE(SUBSTITUTE(SUBSTITUTE(TRIM(G143)," ","-"),"/","-"),"\","-"),":","-"),"*","-"),"?","-"),"""","-"),"&lt;","-"),"&gt;","-"),"|","-")&amp;IF(H143="","","_Rev"&amp;H143))</f>
        <v/>
      </c>
      <c r="P143" s="7">
        <f>IF(D143="","",IF(L143="Superseded","99 Archive",IF(AND(D143="04",K143&lt;&gt;""),IFERROR(INDEX('Google Drive Map'!$B$4:$B$33,MATCH("04/"&amp;LEFT(K143,2),'Google Drive Map'!$A$4:$A$33,0)),"04 Trades &amp; Tenders/"&amp;K143),IFERROR(INDEX('Google Drive Map'!$B$4:$B$33,MATCH(D143,'Google Drive Map'!$A$4:$A$33,0)),""))))</f>
        <v/>
      </c>
      <c r="Q143" s="7">
        <f>IF(P143="","",IF(IFERROR(INDEX('Google Drive Map'!$G$4:$G$33,MATCH(P143,'Google Drive Map'!$B$4:$B$33,0))&amp;"","")="","",HYPERLINK(INDEX('Google Drive Map'!$G$4:$G$33,MATCH(P143,'Google Drive Map'!$B$4:$B$33,0)),"Open")))</f>
        <v/>
      </c>
      <c r="R143" s="7">
        <f>IF(AND(A143="",B143="",C143=""),"",TRIM(IF(AND(D143&lt;&gt;"",ISNA(MATCH(D143,'Google Drive Map'!$A$4:$A$33,0))),"Folder code isn't on the folder map. ","")&amp;IF(AND(C143&lt;&gt;"",NOT(ISNUMBER(C143))),"No. must be a whole number. ","")&amp;IF(AND(D143&lt;&gt;"",B143&lt;&gt;"",C143=""),"Type the next free no. ","")&amp;IF(AND(F143&lt;&gt;"",COUNTIF(F$4:F$303,F143)&gt;1),"Duplicate Doc ID. ","")))</f>
        <v/>
      </c>
      <c r="S143" s="22" t="n"/>
      <c r="T143" s="23" t="n"/>
    </row>
    <row r="144">
      <c r="A144" s="35" t="n"/>
      <c r="B144" s="22" t="n"/>
      <c r="C144" s="22" t="n"/>
      <c r="D144" s="7">
        <f>IF(A144="","",IF(ISNUMBER(A144),TEXT(A144,"00"),TRIM(A144)))</f>
        <v/>
      </c>
      <c r="E144" s="7">
        <f t="array" ref="E144">IF(OR(D144="",B144=""),"",MAX(IF((D$4:D$303=D144)*(B$4:B$303=B144)*ISNUMBER(C$4:C$303),C$4:C$303,0))+1)</f>
        <v/>
      </c>
      <c r="F144" s="7">
        <f>IF(OR(D144="",B144="",NOT(ISNUMBER(C144))),"",D144&amp;"-"&amp;B144&amp;"-"&amp;TEXT(C144,"000"))</f>
        <v/>
      </c>
      <c r="G144" s="23" t="n"/>
      <c r="H144" s="22" t="n"/>
      <c r="I144" s="24" t="n"/>
      <c r="J144" s="22" t="n"/>
      <c r="K144" s="22" t="n"/>
      <c r="L144" s="22" t="n"/>
      <c r="M144" s="22" t="n"/>
      <c r="N144" s="22" t="n"/>
      <c r="O144" s="7">
        <f>IF(F144="","",F144&amp;"_"&amp;SUBSTITUTE(SUBSTITUTE(SUBSTITUTE(SUBSTITUTE(SUBSTITUTE(SUBSTITUTE(SUBSTITUTE(SUBSTITUTE(SUBSTITUTE(SUBSTITUTE(TRIM(G144)," ","-"),"/","-"),"\","-"),":","-"),"*","-"),"?","-"),"""","-"),"&lt;","-"),"&gt;","-"),"|","-")&amp;IF(H144="","","_Rev"&amp;H144))</f>
        <v/>
      </c>
      <c r="P144" s="7">
        <f>IF(D144="","",IF(L144="Superseded","99 Archive",IF(AND(D144="04",K144&lt;&gt;""),IFERROR(INDEX('Google Drive Map'!$B$4:$B$33,MATCH("04/"&amp;LEFT(K144,2),'Google Drive Map'!$A$4:$A$33,0)),"04 Trades &amp; Tenders/"&amp;K144),IFERROR(INDEX('Google Drive Map'!$B$4:$B$33,MATCH(D144,'Google Drive Map'!$A$4:$A$33,0)),""))))</f>
        <v/>
      </c>
      <c r="Q144" s="7">
        <f>IF(P144="","",IF(IFERROR(INDEX('Google Drive Map'!$G$4:$G$33,MATCH(P144,'Google Drive Map'!$B$4:$B$33,0))&amp;"","")="","",HYPERLINK(INDEX('Google Drive Map'!$G$4:$G$33,MATCH(P144,'Google Drive Map'!$B$4:$B$33,0)),"Open")))</f>
        <v/>
      </c>
      <c r="R144" s="7">
        <f>IF(AND(A144="",B144="",C144=""),"",TRIM(IF(AND(D144&lt;&gt;"",ISNA(MATCH(D144,'Google Drive Map'!$A$4:$A$33,0))),"Folder code isn't on the folder map. ","")&amp;IF(AND(C144&lt;&gt;"",NOT(ISNUMBER(C144))),"No. must be a whole number. ","")&amp;IF(AND(D144&lt;&gt;"",B144&lt;&gt;"",C144=""),"Type the next free no. ","")&amp;IF(AND(F144&lt;&gt;"",COUNTIF(F$4:F$303,F144)&gt;1),"Duplicate Doc ID. ","")))</f>
        <v/>
      </c>
      <c r="S144" s="22" t="n"/>
      <c r="T144" s="23" t="n"/>
    </row>
    <row r="145">
      <c r="A145" s="35" t="n"/>
      <c r="B145" s="22" t="n"/>
      <c r="C145" s="22" t="n"/>
      <c r="D145" s="7">
        <f>IF(A145="","",IF(ISNUMBER(A145),TEXT(A145,"00"),TRIM(A145)))</f>
        <v/>
      </c>
      <c r="E145" s="7">
        <f t="array" ref="E145">IF(OR(D145="",B145=""),"",MAX(IF((D$4:D$303=D145)*(B$4:B$303=B145)*ISNUMBER(C$4:C$303),C$4:C$303,0))+1)</f>
        <v/>
      </c>
      <c r="F145" s="7">
        <f>IF(OR(D145="",B145="",NOT(ISNUMBER(C145))),"",D145&amp;"-"&amp;B145&amp;"-"&amp;TEXT(C145,"000"))</f>
        <v/>
      </c>
      <c r="G145" s="23" t="n"/>
      <c r="H145" s="22" t="n"/>
      <c r="I145" s="24" t="n"/>
      <c r="J145" s="22" t="n"/>
      <c r="K145" s="22" t="n"/>
      <c r="L145" s="22" t="n"/>
      <c r="M145" s="22" t="n"/>
      <c r="N145" s="22" t="n"/>
      <c r="O145" s="7">
        <f>IF(F145="","",F145&amp;"_"&amp;SUBSTITUTE(SUBSTITUTE(SUBSTITUTE(SUBSTITUTE(SUBSTITUTE(SUBSTITUTE(SUBSTITUTE(SUBSTITUTE(SUBSTITUTE(SUBSTITUTE(TRIM(G145)," ","-"),"/","-"),"\","-"),":","-"),"*","-"),"?","-"),"""","-"),"&lt;","-"),"&gt;","-"),"|","-")&amp;IF(H145="","","_Rev"&amp;H145))</f>
        <v/>
      </c>
      <c r="P145" s="7">
        <f>IF(D145="","",IF(L145="Superseded","99 Archive",IF(AND(D145="04",K145&lt;&gt;""),IFERROR(INDEX('Google Drive Map'!$B$4:$B$33,MATCH("04/"&amp;LEFT(K145,2),'Google Drive Map'!$A$4:$A$33,0)),"04 Trades &amp; Tenders/"&amp;K145),IFERROR(INDEX('Google Drive Map'!$B$4:$B$33,MATCH(D145,'Google Drive Map'!$A$4:$A$33,0)),""))))</f>
        <v/>
      </c>
      <c r="Q145" s="7">
        <f>IF(P145="","",IF(IFERROR(INDEX('Google Drive Map'!$G$4:$G$33,MATCH(P145,'Google Drive Map'!$B$4:$B$33,0))&amp;"","")="","",HYPERLINK(INDEX('Google Drive Map'!$G$4:$G$33,MATCH(P145,'Google Drive Map'!$B$4:$B$33,0)),"Open")))</f>
        <v/>
      </c>
      <c r="R145" s="7">
        <f>IF(AND(A145="",B145="",C145=""),"",TRIM(IF(AND(D145&lt;&gt;"",ISNA(MATCH(D145,'Google Drive Map'!$A$4:$A$33,0))),"Folder code isn't on the folder map. ","")&amp;IF(AND(C145&lt;&gt;"",NOT(ISNUMBER(C145))),"No. must be a whole number. ","")&amp;IF(AND(D145&lt;&gt;"",B145&lt;&gt;"",C145=""),"Type the next free no. ","")&amp;IF(AND(F145&lt;&gt;"",COUNTIF(F$4:F$303,F145)&gt;1),"Duplicate Doc ID. ","")))</f>
        <v/>
      </c>
      <c r="S145" s="22" t="n"/>
      <c r="T145" s="23" t="n"/>
    </row>
    <row r="146">
      <c r="A146" s="35" t="n"/>
      <c r="B146" s="22" t="n"/>
      <c r="C146" s="22" t="n"/>
      <c r="D146" s="7">
        <f>IF(A146="","",IF(ISNUMBER(A146),TEXT(A146,"00"),TRIM(A146)))</f>
        <v/>
      </c>
      <c r="E146" s="7">
        <f t="array" ref="E146">IF(OR(D146="",B146=""),"",MAX(IF((D$4:D$303=D146)*(B$4:B$303=B146)*ISNUMBER(C$4:C$303),C$4:C$303,0))+1)</f>
        <v/>
      </c>
      <c r="F146" s="7">
        <f>IF(OR(D146="",B146="",NOT(ISNUMBER(C146))),"",D146&amp;"-"&amp;B146&amp;"-"&amp;TEXT(C146,"000"))</f>
        <v/>
      </c>
      <c r="G146" s="23" t="n"/>
      <c r="H146" s="22" t="n"/>
      <c r="I146" s="24" t="n"/>
      <c r="J146" s="22" t="n"/>
      <c r="K146" s="22" t="n"/>
      <c r="L146" s="22" t="n"/>
      <c r="M146" s="22" t="n"/>
      <c r="N146" s="22" t="n"/>
      <c r="O146" s="7">
        <f>IF(F146="","",F146&amp;"_"&amp;SUBSTITUTE(SUBSTITUTE(SUBSTITUTE(SUBSTITUTE(SUBSTITUTE(SUBSTITUTE(SUBSTITUTE(SUBSTITUTE(SUBSTITUTE(SUBSTITUTE(TRIM(G146)," ","-"),"/","-"),"\","-"),":","-"),"*","-"),"?","-"),"""","-"),"&lt;","-"),"&gt;","-"),"|","-")&amp;IF(H146="","","_Rev"&amp;H146))</f>
        <v/>
      </c>
      <c r="P146" s="7">
        <f>IF(D146="","",IF(L146="Superseded","99 Archive",IF(AND(D146="04",K146&lt;&gt;""),IFERROR(INDEX('Google Drive Map'!$B$4:$B$33,MATCH("04/"&amp;LEFT(K146,2),'Google Drive Map'!$A$4:$A$33,0)),"04 Trades &amp; Tenders/"&amp;K146),IFERROR(INDEX('Google Drive Map'!$B$4:$B$33,MATCH(D146,'Google Drive Map'!$A$4:$A$33,0)),""))))</f>
        <v/>
      </c>
      <c r="Q146" s="7">
        <f>IF(P146="","",IF(IFERROR(INDEX('Google Drive Map'!$G$4:$G$33,MATCH(P146,'Google Drive Map'!$B$4:$B$33,0))&amp;"","")="","",HYPERLINK(INDEX('Google Drive Map'!$G$4:$G$33,MATCH(P146,'Google Drive Map'!$B$4:$B$33,0)),"Open")))</f>
        <v/>
      </c>
      <c r="R146" s="7">
        <f>IF(AND(A146="",B146="",C146=""),"",TRIM(IF(AND(D146&lt;&gt;"",ISNA(MATCH(D146,'Google Drive Map'!$A$4:$A$33,0))),"Folder code isn't on the folder map. ","")&amp;IF(AND(C146&lt;&gt;"",NOT(ISNUMBER(C146))),"No. must be a whole number. ","")&amp;IF(AND(D146&lt;&gt;"",B146&lt;&gt;"",C146=""),"Type the next free no. ","")&amp;IF(AND(F146&lt;&gt;"",COUNTIF(F$4:F$303,F146)&gt;1),"Duplicate Doc ID. ","")))</f>
        <v/>
      </c>
      <c r="S146" s="22" t="n"/>
      <c r="T146" s="23" t="n"/>
    </row>
    <row r="147">
      <c r="A147" s="35" t="n"/>
      <c r="B147" s="22" t="n"/>
      <c r="C147" s="22" t="n"/>
      <c r="D147" s="7">
        <f>IF(A147="","",IF(ISNUMBER(A147),TEXT(A147,"00"),TRIM(A147)))</f>
        <v/>
      </c>
      <c r="E147" s="7">
        <f t="array" ref="E147">IF(OR(D147="",B147=""),"",MAX(IF((D$4:D$303=D147)*(B$4:B$303=B147)*ISNUMBER(C$4:C$303),C$4:C$303,0))+1)</f>
        <v/>
      </c>
      <c r="F147" s="7">
        <f>IF(OR(D147="",B147="",NOT(ISNUMBER(C147))),"",D147&amp;"-"&amp;B147&amp;"-"&amp;TEXT(C147,"000"))</f>
        <v/>
      </c>
      <c r="G147" s="23" t="n"/>
      <c r="H147" s="22" t="n"/>
      <c r="I147" s="24" t="n"/>
      <c r="J147" s="22" t="n"/>
      <c r="K147" s="22" t="n"/>
      <c r="L147" s="22" t="n"/>
      <c r="M147" s="22" t="n"/>
      <c r="N147" s="22" t="n"/>
      <c r="O147" s="7">
        <f>IF(F147="","",F147&amp;"_"&amp;SUBSTITUTE(SUBSTITUTE(SUBSTITUTE(SUBSTITUTE(SUBSTITUTE(SUBSTITUTE(SUBSTITUTE(SUBSTITUTE(SUBSTITUTE(SUBSTITUTE(TRIM(G147)," ","-"),"/","-"),"\","-"),":","-"),"*","-"),"?","-"),"""","-"),"&lt;","-"),"&gt;","-"),"|","-")&amp;IF(H147="","","_Rev"&amp;H147))</f>
        <v/>
      </c>
      <c r="P147" s="7">
        <f>IF(D147="","",IF(L147="Superseded","99 Archive",IF(AND(D147="04",K147&lt;&gt;""),IFERROR(INDEX('Google Drive Map'!$B$4:$B$33,MATCH("04/"&amp;LEFT(K147,2),'Google Drive Map'!$A$4:$A$33,0)),"04 Trades &amp; Tenders/"&amp;K147),IFERROR(INDEX('Google Drive Map'!$B$4:$B$33,MATCH(D147,'Google Drive Map'!$A$4:$A$33,0)),""))))</f>
        <v/>
      </c>
      <c r="Q147" s="7">
        <f>IF(P147="","",IF(IFERROR(INDEX('Google Drive Map'!$G$4:$G$33,MATCH(P147,'Google Drive Map'!$B$4:$B$33,0))&amp;"","")="","",HYPERLINK(INDEX('Google Drive Map'!$G$4:$G$33,MATCH(P147,'Google Drive Map'!$B$4:$B$33,0)),"Open")))</f>
        <v/>
      </c>
      <c r="R147" s="7">
        <f>IF(AND(A147="",B147="",C147=""),"",TRIM(IF(AND(D147&lt;&gt;"",ISNA(MATCH(D147,'Google Drive Map'!$A$4:$A$33,0))),"Folder code isn't on the folder map. ","")&amp;IF(AND(C147&lt;&gt;"",NOT(ISNUMBER(C147))),"No. must be a whole number. ","")&amp;IF(AND(D147&lt;&gt;"",B147&lt;&gt;"",C147=""),"Type the next free no. ","")&amp;IF(AND(F147&lt;&gt;"",COUNTIF(F$4:F$303,F147)&gt;1),"Duplicate Doc ID. ","")))</f>
        <v/>
      </c>
      <c r="S147" s="22" t="n"/>
      <c r="T147" s="23" t="n"/>
    </row>
    <row r="148">
      <c r="A148" s="35" t="n"/>
      <c r="B148" s="22" t="n"/>
      <c r="C148" s="22" t="n"/>
      <c r="D148" s="7">
        <f>IF(A148="","",IF(ISNUMBER(A148),TEXT(A148,"00"),TRIM(A148)))</f>
        <v/>
      </c>
      <c r="E148" s="7">
        <f t="array" ref="E148">IF(OR(D148="",B148=""),"",MAX(IF((D$4:D$303=D148)*(B$4:B$303=B148)*ISNUMBER(C$4:C$303),C$4:C$303,0))+1)</f>
        <v/>
      </c>
      <c r="F148" s="7">
        <f>IF(OR(D148="",B148="",NOT(ISNUMBER(C148))),"",D148&amp;"-"&amp;B148&amp;"-"&amp;TEXT(C148,"000"))</f>
        <v/>
      </c>
      <c r="G148" s="23" t="n"/>
      <c r="H148" s="22" t="n"/>
      <c r="I148" s="24" t="n"/>
      <c r="J148" s="22" t="n"/>
      <c r="K148" s="22" t="n"/>
      <c r="L148" s="22" t="n"/>
      <c r="M148" s="22" t="n"/>
      <c r="N148" s="22" t="n"/>
      <c r="O148" s="7">
        <f>IF(F148="","",F148&amp;"_"&amp;SUBSTITUTE(SUBSTITUTE(SUBSTITUTE(SUBSTITUTE(SUBSTITUTE(SUBSTITUTE(SUBSTITUTE(SUBSTITUTE(SUBSTITUTE(SUBSTITUTE(TRIM(G148)," ","-"),"/","-"),"\","-"),":","-"),"*","-"),"?","-"),"""","-"),"&lt;","-"),"&gt;","-"),"|","-")&amp;IF(H148="","","_Rev"&amp;H148))</f>
        <v/>
      </c>
      <c r="P148" s="7">
        <f>IF(D148="","",IF(L148="Superseded","99 Archive",IF(AND(D148="04",K148&lt;&gt;""),IFERROR(INDEX('Google Drive Map'!$B$4:$B$33,MATCH("04/"&amp;LEFT(K148,2),'Google Drive Map'!$A$4:$A$33,0)),"04 Trades &amp; Tenders/"&amp;K148),IFERROR(INDEX('Google Drive Map'!$B$4:$B$33,MATCH(D148,'Google Drive Map'!$A$4:$A$33,0)),""))))</f>
        <v/>
      </c>
      <c r="Q148" s="7">
        <f>IF(P148="","",IF(IFERROR(INDEX('Google Drive Map'!$G$4:$G$33,MATCH(P148,'Google Drive Map'!$B$4:$B$33,0))&amp;"","")="","",HYPERLINK(INDEX('Google Drive Map'!$G$4:$G$33,MATCH(P148,'Google Drive Map'!$B$4:$B$33,0)),"Open")))</f>
        <v/>
      </c>
      <c r="R148" s="7">
        <f>IF(AND(A148="",B148="",C148=""),"",TRIM(IF(AND(D148&lt;&gt;"",ISNA(MATCH(D148,'Google Drive Map'!$A$4:$A$33,0))),"Folder code isn't on the folder map. ","")&amp;IF(AND(C148&lt;&gt;"",NOT(ISNUMBER(C148))),"No. must be a whole number. ","")&amp;IF(AND(D148&lt;&gt;"",B148&lt;&gt;"",C148=""),"Type the next free no. ","")&amp;IF(AND(F148&lt;&gt;"",COUNTIF(F$4:F$303,F148)&gt;1),"Duplicate Doc ID. ","")))</f>
        <v/>
      </c>
      <c r="S148" s="22" t="n"/>
      <c r="T148" s="23" t="n"/>
    </row>
    <row r="149">
      <c r="A149" s="35" t="n"/>
      <c r="B149" s="22" t="n"/>
      <c r="C149" s="22" t="n"/>
      <c r="D149" s="7">
        <f>IF(A149="","",IF(ISNUMBER(A149),TEXT(A149,"00"),TRIM(A149)))</f>
        <v/>
      </c>
      <c r="E149" s="7">
        <f t="array" ref="E149">IF(OR(D149="",B149=""),"",MAX(IF((D$4:D$303=D149)*(B$4:B$303=B149)*ISNUMBER(C$4:C$303),C$4:C$303,0))+1)</f>
        <v/>
      </c>
      <c r="F149" s="7">
        <f>IF(OR(D149="",B149="",NOT(ISNUMBER(C149))),"",D149&amp;"-"&amp;B149&amp;"-"&amp;TEXT(C149,"000"))</f>
        <v/>
      </c>
      <c r="G149" s="23" t="n"/>
      <c r="H149" s="22" t="n"/>
      <c r="I149" s="24" t="n"/>
      <c r="J149" s="22" t="n"/>
      <c r="K149" s="22" t="n"/>
      <c r="L149" s="22" t="n"/>
      <c r="M149" s="22" t="n"/>
      <c r="N149" s="22" t="n"/>
      <c r="O149" s="7">
        <f>IF(F149="","",F149&amp;"_"&amp;SUBSTITUTE(SUBSTITUTE(SUBSTITUTE(SUBSTITUTE(SUBSTITUTE(SUBSTITUTE(SUBSTITUTE(SUBSTITUTE(SUBSTITUTE(SUBSTITUTE(TRIM(G149)," ","-"),"/","-"),"\","-"),":","-"),"*","-"),"?","-"),"""","-"),"&lt;","-"),"&gt;","-"),"|","-")&amp;IF(H149="","","_Rev"&amp;H149))</f>
        <v/>
      </c>
      <c r="P149" s="7">
        <f>IF(D149="","",IF(L149="Superseded","99 Archive",IF(AND(D149="04",K149&lt;&gt;""),IFERROR(INDEX('Google Drive Map'!$B$4:$B$33,MATCH("04/"&amp;LEFT(K149,2),'Google Drive Map'!$A$4:$A$33,0)),"04 Trades &amp; Tenders/"&amp;K149),IFERROR(INDEX('Google Drive Map'!$B$4:$B$33,MATCH(D149,'Google Drive Map'!$A$4:$A$33,0)),""))))</f>
        <v/>
      </c>
      <c r="Q149" s="7">
        <f>IF(P149="","",IF(IFERROR(INDEX('Google Drive Map'!$G$4:$G$33,MATCH(P149,'Google Drive Map'!$B$4:$B$33,0))&amp;"","")="","",HYPERLINK(INDEX('Google Drive Map'!$G$4:$G$33,MATCH(P149,'Google Drive Map'!$B$4:$B$33,0)),"Open")))</f>
        <v/>
      </c>
      <c r="R149" s="7">
        <f>IF(AND(A149="",B149="",C149=""),"",TRIM(IF(AND(D149&lt;&gt;"",ISNA(MATCH(D149,'Google Drive Map'!$A$4:$A$33,0))),"Folder code isn't on the folder map. ","")&amp;IF(AND(C149&lt;&gt;"",NOT(ISNUMBER(C149))),"No. must be a whole number. ","")&amp;IF(AND(D149&lt;&gt;"",B149&lt;&gt;"",C149=""),"Type the next free no. ","")&amp;IF(AND(F149&lt;&gt;"",COUNTIF(F$4:F$303,F149)&gt;1),"Duplicate Doc ID. ","")))</f>
        <v/>
      </c>
      <c r="S149" s="22" t="n"/>
      <c r="T149" s="23" t="n"/>
    </row>
    <row r="150">
      <c r="A150" s="35" t="n"/>
      <c r="B150" s="22" t="n"/>
      <c r="C150" s="22" t="n"/>
      <c r="D150" s="7">
        <f>IF(A150="","",IF(ISNUMBER(A150),TEXT(A150,"00"),TRIM(A150)))</f>
        <v/>
      </c>
      <c r="E150" s="7">
        <f t="array" ref="E150">IF(OR(D150="",B150=""),"",MAX(IF((D$4:D$303=D150)*(B$4:B$303=B150)*ISNUMBER(C$4:C$303),C$4:C$303,0))+1)</f>
        <v/>
      </c>
      <c r="F150" s="7">
        <f>IF(OR(D150="",B150="",NOT(ISNUMBER(C150))),"",D150&amp;"-"&amp;B150&amp;"-"&amp;TEXT(C150,"000"))</f>
        <v/>
      </c>
      <c r="G150" s="23" t="n"/>
      <c r="H150" s="22" t="n"/>
      <c r="I150" s="24" t="n"/>
      <c r="J150" s="22" t="n"/>
      <c r="K150" s="22" t="n"/>
      <c r="L150" s="22" t="n"/>
      <c r="M150" s="22" t="n"/>
      <c r="N150" s="22" t="n"/>
      <c r="O150" s="7">
        <f>IF(F150="","",F150&amp;"_"&amp;SUBSTITUTE(SUBSTITUTE(SUBSTITUTE(SUBSTITUTE(SUBSTITUTE(SUBSTITUTE(SUBSTITUTE(SUBSTITUTE(SUBSTITUTE(SUBSTITUTE(TRIM(G150)," ","-"),"/","-"),"\","-"),":","-"),"*","-"),"?","-"),"""","-"),"&lt;","-"),"&gt;","-"),"|","-")&amp;IF(H150="","","_Rev"&amp;H150))</f>
        <v/>
      </c>
      <c r="P150" s="7">
        <f>IF(D150="","",IF(L150="Superseded","99 Archive",IF(AND(D150="04",K150&lt;&gt;""),IFERROR(INDEX('Google Drive Map'!$B$4:$B$33,MATCH("04/"&amp;LEFT(K150,2),'Google Drive Map'!$A$4:$A$33,0)),"04 Trades &amp; Tenders/"&amp;K150),IFERROR(INDEX('Google Drive Map'!$B$4:$B$33,MATCH(D150,'Google Drive Map'!$A$4:$A$33,0)),""))))</f>
        <v/>
      </c>
      <c r="Q150" s="7">
        <f>IF(P150="","",IF(IFERROR(INDEX('Google Drive Map'!$G$4:$G$33,MATCH(P150,'Google Drive Map'!$B$4:$B$33,0))&amp;"","")="","",HYPERLINK(INDEX('Google Drive Map'!$G$4:$G$33,MATCH(P150,'Google Drive Map'!$B$4:$B$33,0)),"Open")))</f>
        <v/>
      </c>
      <c r="R150" s="7">
        <f>IF(AND(A150="",B150="",C150=""),"",TRIM(IF(AND(D150&lt;&gt;"",ISNA(MATCH(D150,'Google Drive Map'!$A$4:$A$33,0))),"Folder code isn't on the folder map. ","")&amp;IF(AND(C150&lt;&gt;"",NOT(ISNUMBER(C150))),"No. must be a whole number. ","")&amp;IF(AND(D150&lt;&gt;"",B150&lt;&gt;"",C150=""),"Type the next free no. ","")&amp;IF(AND(F150&lt;&gt;"",COUNTIF(F$4:F$303,F150)&gt;1),"Duplicate Doc ID. ","")))</f>
        <v/>
      </c>
      <c r="S150" s="22" t="n"/>
      <c r="T150" s="23" t="n"/>
    </row>
    <row r="151">
      <c r="A151" s="35" t="n"/>
      <c r="B151" s="22" t="n"/>
      <c r="C151" s="22" t="n"/>
      <c r="D151" s="7">
        <f>IF(A151="","",IF(ISNUMBER(A151),TEXT(A151,"00"),TRIM(A151)))</f>
        <v/>
      </c>
      <c r="E151" s="7">
        <f t="array" ref="E151">IF(OR(D151="",B151=""),"",MAX(IF((D$4:D$303=D151)*(B$4:B$303=B151)*ISNUMBER(C$4:C$303),C$4:C$303,0))+1)</f>
        <v/>
      </c>
      <c r="F151" s="7">
        <f>IF(OR(D151="",B151="",NOT(ISNUMBER(C151))),"",D151&amp;"-"&amp;B151&amp;"-"&amp;TEXT(C151,"000"))</f>
        <v/>
      </c>
      <c r="G151" s="23" t="n"/>
      <c r="H151" s="22" t="n"/>
      <c r="I151" s="24" t="n"/>
      <c r="J151" s="22" t="n"/>
      <c r="K151" s="22" t="n"/>
      <c r="L151" s="22" t="n"/>
      <c r="M151" s="22" t="n"/>
      <c r="N151" s="22" t="n"/>
      <c r="O151" s="7">
        <f>IF(F151="","",F151&amp;"_"&amp;SUBSTITUTE(SUBSTITUTE(SUBSTITUTE(SUBSTITUTE(SUBSTITUTE(SUBSTITUTE(SUBSTITUTE(SUBSTITUTE(SUBSTITUTE(SUBSTITUTE(TRIM(G151)," ","-"),"/","-"),"\","-"),":","-"),"*","-"),"?","-"),"""","-"),"&lt;","-"),"&gt;","-"),"|","-")&amp;IF(H151="","","_Rev"&amp;H151))</f>
        <v/>
      </c>
      <c r="P151" s="7">
        <f>IF(D151="","",IF(L151="Superseded","99 Archive",IF(AND(D151="04",K151&lt;&gt;""),IFERROR(INDEX('Google Drive Map'!$B$4:$B$33,MATCH("04/"&amp;LEFT(K151,2),'Google Drive Map'!$A$4:$A$33,0)),"04 Trades &amp; Tenders/"&amp;K151),IFERROR(INDEX('Google Drive Map'!$B$4:$B$33,MATCH(D151,'Google Drive Map'!$A$4:$A$33,0)),""))))</f>
        <v/>
      </c>
      <c r="Q151" s="7">
        <f>IF(P151="","",IF(IFERROR(INDEX('Google Drive Map'!$G$4:$G$33,MATCH(P151,'Google Drive Map'!$B$4:$B$33,0))&amp;"","")="","",HYPERLINK(INDEX('Google Drive Map'!$G$4:$G$33,MATCH(P151,'Google Drive Map'!$B$4:$B$33,0)),"Open")))</f>
        <v/>
      </c>
      <c r="R151" s="7">
        <f>IF(AND(A151="",B151="",C151=""),"",TRIM(IF(AND(D151&lt;&gt;"",ISNA(MATCH(D151,'Google Drive Map'!$A$4:$A$33,0))),"Folder code isn't on the folder map. ","")&amp;IF(AND(C151&lt;&gt;"",NOT(ISNUMBER(C151))),"No. must be a whole number. ","")&amp;IF(AND(D151&lt;&gt;"",B151&lt;&gt;"",C151=""),"Type the next free no. ","")&amp;IF(AND(F151&lt;&gt;"",COUNTIF(F$4:F$303,F151)&gt;1),"Duplicate Doc ID. ","")))</f>
        <v/>
      </c>
      <c r="S151" s="22" t="n"/>
      <c r="T151" s="23" t="n"/>
    </row>
    <row r="152">
      <c r="A152" s="35" t="n"/>
      <c r="B152" s="22" t="n"/>
      <c r="C152" s="22" t="n"/>
      <c r="D152" s="7">
        <f>IF(A152="","",IF(ISNUMBER(A152),TEXT(A152,"00"),TRIM(A152)))</f>
        <v/>
      </c>
      <c r="E152" s="7">
        <f t="array" ref="E152">IF(OR(D152="",B152=""),"",MAX(IF((D$4:D$303=D152)*(B$4:B$303=B152)*ISNUMBER(C$4:C$303),C$4:C$303,0))+1)</f>
        <v/>
      </c>
      <c r="F152" s="7">
        <f>IF(OR(D152="",B152="",NOT(ISNUMBER(C152))),"",D152&amp;"-"&amp;B152&amp;"-"&amp;TEXT(C152,"000"))</f>
        <v/>
      </c>
      <c r="G152" s="23" t="n"/>
      <c r="H152" s="22" t="n"/>
      <c r="I152" s="24" t="n"/>
      <c r="J152" s="22" t="n"/>
      <c r="K152" s="22" t="n"/>
      <c r="L152" s="22" t="n"/>
      <c r="M152" s="22" t="n"/>
      <c r="N152" s="22" t="n"/>
      <c r="O152" s="7">
        <f>IF(F152="","",F152&amp;"_"&amp;SUBSTITUTE(SUBSTITUTE(SUBSTITUTE(SUBSTITUTE(SUBSTITUTE(SUBSTITUTE(SUBSTITUTE(SUBSTITUTE(SUBSTITUTE(SUBSTITUTE(TRIM(G152)," ","-"),"/","-"),"\","-"),":","-"),"*","-"),"?","-"),"""","-"),"&lt;","-"),"&gt;","-"),"|","-")&amp;IF(H152="","","_Rev"&amp;H152))</f>
        <v/>
      </c>
      <c r="P152" s="7">
        <f>IF(D152="","",IF(L152="Superseded","99 Archive",IF(AND(D152="04",K152&lt;&gt;""),IFERROR(INDEX('Google Drive Map'!$B$4:$B$33,MATCH("04/"&amp;LEFT(K152,2),'Google Drive Map'!$A$4:$A$33,0)),"04 Trades &amp; Tenders/"&amp;K152),IFERROR(INDEX('Google Drive Map'!$B$4:$B$33,MATCH(D152,'Google Drive Map'!$A$4:$A$33,0)),""))))</f>
        <v/>
      </c>
      <c r="Q152" s="7">
        <f>IF(P152="","",IF(IFERROR(INDEX('Google Drive Map'!$G$4:$G$33,MATCH(P152,'Google Drive Map'!$B$4:$B$33,0))&amp;"","")="","",HYPERLINK(INDEX('Google Drive Map'!$G$4:$G$33,MATCH(P152,'Google Drive Map'!$B$4:$B$33,0)),"Open")))</f>
        <v/>
      </c>
      <c r="R152" s="7">
        <f>IF(AND(A152="",B152="",C152=""),"",TRIM(IF(AND(D152&lt;&gt;"",ISNA(MATCH(D152,'Google Drive Map'!$A$4:$A$33,0))),"Folder code isn't on the folder map. ","")&amp;IF(AND(C152&lt;&gt;"",NOT(ISNUMBER(C152))),"No. must be a whole number. ","")&amp;IF(AND(D152&lt;&gt;"",B152&lt;&gt;"",C152=""),"Type the next free no. ","")&amp;IF(AND(F152&lt;&gt;"",COUNTIF(F$4:F$303,F152)&gt;1),"Duplicate Doc ID. ","")))</f>
        <v/>
      </c>
      <c r="S152" s="22" t="n"/>
      <c r="T152" s="23" t="n"/>
    </row>
    <row r="153">
      <c r="A153" s="35" t="n"/>
      <c r="B153" s="22" t="n"/>
      <c r="C153" s="22" t="n"/>
      <c r="D153" s="7">
        <f>IF(A153="","",IF(ISNUMBER(A153),TEXT(A153,"00"),TRIM(A153)))</f>
        <v/>
      </c>
      <c r="E153" s="7">
        <f t="array" ref="E153">IF(OR(D153="",B153=""),"",MAX(IF((D$4:D$303=D153)*(B$4:B$303=B153)*ISNUMBER(C$4:C$303),C$4:C$303,0))+1)</f>
        <v/>
      </c>
      <c r="F153" s="7">
        <f>IF(OR(D153="",B153="",NOT(ISNUMBER(C153))),"",D153&amp;"-"&amp;B153&amp;"-"&amp;TEXT(C153,"000"))</f>
        <v/>
      </c>
      <c r="G153" s="23" t="n"/>
      <c r="H153" s="22" t="n"/>
      <c r="I153" s="24" t="n"/>
      <c r="J153" s="22" t="n"/>
      <c r="K153" s="22" t="n"/>
      <c r="L153" s="22" t="n"/>
      <c r="M153" s="22" t="n"/>
      <c r="N153" s="22" t="n"/>
      <c r="O153" s="7">
        <f>IF(F153="","",F153&amp;"_"&amp;SUBSTITUTE(SUBSTITUTE(SUBSTITUTE(SUBSTITUTE(SUBSTITUTE(SUBSTITUTE(SUBSTITUTE(SUBSTITUTE(SUBSTITUTE(SUBSTITUTE(TRIM(G153)," ","-"),"/","-"),"\","-"),":","-"),"*","-"),"?","-"),"""","-"),"&lt;","-"),"&gt;","-"),"|","-")&amp;IF(H153="","","_Rev"&amp;H153))</f>
        <v/>
      </c>
      <c r="P153" s="7">
        <f>IF(D153="","",IF(L153="Superseded","99 Archive",IF(AND(D153="04",K153&lt;&gt;""),IFERROR(INDEX('Google Drive Map'!$B$4:$B$33,MATCH("04/"&amp;LEFT(K153,2),'Google Drive Map'!$A$4:$A$33,0)),"04 Trades &amp; Tenders/"&amp;K153),IFERROR(INDEX('Google Drive Map'!$B$4:$B$33,MATCH(D153,'Google Drive Map'!$A$4:$A$33,0)),""))))</f>
        <v/>
      </c>
      <c r="Q153" s="7">
        <f>IF(P153="","",IF(IFERROR(INDEX('Google Drive Map'!$G$4:$G$33,MATCH(P153,'Google Drive Map'!$B$4:$B$33,0))&amp;"","")="","",HYPERLINK(INDEX('Google Drive Map'!$G$4:$G$33,MATCH(P153,'Google Drive Map'!$B$4:$B$33,0)),"Open")))</f>
        <v/>
      </c>
      <c r="R153" s="7">
        <f>IF(AND(A153="",B153="",C153=""),"",TRIM(IF(AND(D153&lt;&gt;"",ISNA(MATCH(D153,'Google Drive Map'!$A$4:$A$33,0))),"Folder code isn't on the folder map. ","")&amp;IF(AND(C153&lt;&gt;"",NOT(ISNUMBER(C153))),"No. must be a whole number. ","")&amp;IF(AND(D153&lt;&gt;"",B153&lt;&gt;"",C153=""),"Type the next free no. ","")&amp;IF(AND(F153&lt;&gt;"",COUNTIF(F$4:F$303,F153)&gt;1),"Duplicate Doc ID. ","")))</f>
        <v/>
      </c>
      <c r="S153" s="22" t="n"/>
      <c r="T153" s="23" t="n"/>
    </row>
    <row r="154">
      <c r="A154" s="35" t="n"/>
      <c r="B154" s="22" t="n"/>
      <c r="C154" s="22" t="n"/>
      <c r="D154" s="7">
        <f>IF(A154="","",IF(ISNUMBER(A154),TEXT(A154,"00"),TRIM(A154)))</f>
        <v/>
      </c>
      <c r="E154" s="7">
        <f t="array" ref="E154">IF(OR(D154="",B154=""),"",MAX(IF((D$4:D$303=D154)*(B$4:B$303=B154)*ISNUMBER(C$4:C$303),C$4:C$303,0))+1)</f>
        <v/>
      </c>
      <c r="F154" s="7">
        <f>IF(OR(D154="",B154="",NOT(ISNUMBER(C154))),"",D154&amp;"-"&amp;B154&amp;"-"&amp;TEXT(C154,"000"))</f>
        <v/>
      </c>
      <c r="G154" s="23" t="n"/>
      <c r="H154" s="22" t="n"/>
      <c r="I154" s="24" t="n"/>
      <c r="J154" s="22" t="n"/>
      <c r="K154" s="22" t="n"/>
      <c r="L154" s="22" t="n"/>
      <c r="M154" s="22" t="n"/>
      <c r="N154" s="22" t="n"/>
      <c r="O154" s="7">
        <f>IF(F154="","",F154&amp;"_"&amp;SUBSTITUTE(SUBSTITUTE(SUBSTITUTE(SUBSTITUTE(SUBSTITUTE(SUBSTITUTE(SUBSTITUTE(SUBSTITUTE(SUBSTITUTE(SUBSTITUTE(TRIM(G154)," ","-"),"/","-"),"\","-"),":","-"),"*","-"),"?","-"),"""","-"),"&lt;","-"),"&gt;","-"),"|","-")&amp;IF(H154="","","_Rev"&amp;H154))</f>
        <v/>
      </c>
      <c r="P154" s="7">
        <f>IF(D154="","",IF(L154="Superseded","99 Archive",IF(AND(D154="04",K154&lt;&gt;""),IFERROR(INDEX('Google Drive Map'!$B$4:$B$33,MATCH("04/"&amp;LEFT(K154,2),'Google Drive Map'!$A$4:$A$33,0)),"04 Trades &amp; Tenders/"&amp;K154),IFERROR(INDEX('Google Drive Map'!$B$4:$B$33,MATCH(D154,'Google Drive Map'!$A$4:$A$33,0)),""))))</f>
        <v/>
      </c>
      <c r="Q154" s="7">
        <f>IF(P154="","",IF(IFERROR(INDEX('Google Drive Map'!$G$4:$G$33,MATCH(P154,'Google Drive Map'!$B$4:$B$33,0))&amp;"","")="","",HYPERLINK(INDEX('Google Drive Map'!$G$4:$G$33,MATCH(P154,'Google Drive Map'!$B$4:$B$33,0)),"Open")))</f>
        <v/>
      </c>
      <c r="R154" s="7">
        <f>IF(AND(A154="",B154="",C154=""),"",TRIM(IF(AND(D154&lt;&gt;"",ISNA(MATCH(D154,'Google Drive Map'!$A$4:$A$33,0))),"Folder code isn't on the folder map. ","")&amp;IF(AND(C154&lt;&gt;"",NOT(ISNUMBER(C154))),"No. must be a whole number. ","")&amp;IF(AND(D154&lt;&gt;"",B154&lt;&gt;"",C154=""),"Type the next free no. ","")&amp;IF(AND(F154&lt;&gt;"",COUNTIF(F$4:F$303,F154)&gt;1),"Duplicate Doc ID. ","")))</f>
        <v/>
      </c>
      <c r="S154" s="22" t="n"/>
      <c r="T154" s="23" t="n"/>
    </row>
    <row r="155">
      <c r="A155" s="35" t="n"/>
      <c r="B155" s="22" t="n"/>
      <c r="C155" s="22" t="n"/>
      <c r="D155" s="7">
        <f>IF(A155="","",IF(ISNUMBER(A155),TEXT(A155,"00"),TRIM(A155)))</f>
        <v/>
      </c>
      <c r="E155" s="7">
        <f t="array" ref="E155">IF(OR(D155="",B155=""),"",MAX(IF((D$4:D$303=D155)*(B$4:B$303=B155)*ISNUMBER(C$4:C$303),C$4:C$303,0))+1)</f>
        <v/>
      </c>
      <c r="F155" s="7">
        <f>IF(OR(D155="",B155="",NOT(ISNUMBER(C155))),"",D155&amp;"-"&amp;B155&amp;"-"&amp;TEXT(C155,"000"))</f>
        <v/>
      </c>
      <c r="G155" s="23" t="n"/>
      <c r="H155" s="22" t="n"/>
      <c r="I155" s="24" t="n"/>
      <c r="J155" s="22" t="n"/>
      <c r="K155" s="22" t="n"/>
      <c r="L155" s="22" t="n"/>
      <c r="M155" s="22" t="n"/>
      <c r="N155" s="22" t="n"/>
      <c r="O155" s="7">
        <f>IF(F155="","",F155&amp;"_"&amp;SUBSTITUTE(SUBSTITUTE(SUBSTITUTE(SUBSTITUTE(SUBSTITUTE(SUBSTITUTE(SUBSTITUTE(SUBSTITUTE(SUBSTITUTE(SUBSTITUTE(TRIM(G155)," ","-"),"/","-"),"\","-"),":","-"),"*","-"),"?","-"),"""","-"),"&lt;","-"),"&gt;","-"),"|","-")&amp;IF(H155="","","_Rev"&amp;H155))</f>
        <v/>
      </c>
      <c r="P155" s="7">
        <f>IF(D155="","",IF(L155="Superseded","99 Archive",IF(AND(D155="04",K155&lt;&gt;""),IFERROR(INDEX('Google Drive Map'!$B$4:$B$33,MATCH("04/"&amp;LEFT(K155,2),'Google Drive Map'!$A$4:$A$33,0)),"04 Trades &amp; Tenders/"&amp;K155),IFERROR(INDEX('Google Drive Map'!$B$4:$B$33,MATCH(D155,'Google Drive Map'!$A$4:$A$33,0)),""))))</f>
        <v/>
      </c>
      <c r="Q155" s="7">
        <f>IF(P155="","",IF(IFERROR(INDEX('Google Drive Map'!$G$4:$G$33,MATCH(P155,'Google Drive Map'!$B$4:$B$33,0))&amp;"","")="","",HYPERLINK(INDEX('Google Drive Map'!$G$4:$G$33,MATCH(P155,'Google Drive Map'!$B$4:$B$33,0)),"Open")))</f>
        <v/>
      </c>
      <c r="R155" s="7">
        <f>IF(AND(A155="",B155="",C155=""),"",TRIM(IF(AND(D155&lt;&gt;"",ISNA(MATCH(D155,'Google Drive Map'!$A$4:$A$33,0))),"Folder code isn't on the folder map. ","")&amp;IF(AND(C155&lt;&gt;"",NOT(ISNUMBER(C155))),"No. must be a whole number. ","")&amp;IF(AND(D155&lt;&gt;"",B155&lt;&gt;"",C155=""),"Type the next free no. ","")&amp;IF(AND(F155&lt;&gt;"",COUNTIF(F$4:F$303,F155)&gt;1),"Duplicate Doc ID. ","")))</f>
        <v/>
      </c>
      <c r="S155" s="22" t="n"/>
      <c r="T155" s="23" t="n"/>
    </row>
    <row r="156">
      <c r="A156" s="35" t="n"/>
      <c r="B156" s="22" t="n"/>
      <c r="C156" s="22" t="n"/>
      <c r="D156" s="7">
        <f>IF(A156="","",IF(ISNUMBER(A156),TEXT(A156,"00"),TRIM(A156)))</f>
        <v/>
      </c>
      <c r="E156" s="7">
        <f t="array" ref="E156">IF(OR(D156="",B156=""),"",MAX(IF((D$4:D$303=D156)*(B$4:B$303=B156)*ISNUMBER(C$4:C$303),C$4:C$303,0))+1)</f>
        <v/>
      </c>
      <c r="F156" s="7">
        <f>IF(OR(D156="",B156="",NOT(ISNUMBER(C156))),"",D156&amp;"-"&amp;B156&amp;"-"&amp;TEXT(C156,"000"))</f>
        <v/>
      </c>
      <c r="G156" s="23" t="n"/>
      <c r="H156" s="22" t="n"/>
      <c r="I156" s="24" t="n"/>
      <c r="J156" s="22" t="n"/>
      <c r="K156" s="22" t="n"/>
      <c r="L156" s="22" t="n"/>
      <c r="M156" s="22" t="n"/>
      <c r="N156" s="22" t="n"/>
      <c r="O156" s="7">
        <f>IF(F156="","",F156&amp;"_"&amp;SUBSTITUTE(SUBSTITUTE(SUBSTITUTE(SUBSTITUTE(SUBSTITUTE(SUBSTITUTE(SUBSTITUTE(SUBSTITUTE(SUBSTITUTE(SUBSTITUTE(TRIM(G156)," ","-"),"/","-"),"\","-"),":","-"),"*","-"),"?","-"),"""","-"),"&lt;","-"),"&gt;","-"),"|","-")&amp;IF(H156="","","_Rev"&amp;H156))</f>
        <v/>
      </c>
      <c r="P156" s="7">
        <f>IF(D156="","",IF(L156="Superseded","99 Archive",IF(AND(D156="04",K156&lt;&gt;""),IFERROR(INDEX('Google Drive Map'!$B$4:$B$33,MATCH("04/"&amp;LEFT(K156,2),'Google Drive Map'!$A$4:$A$33,0)),"04 Trades &amp; Tenders/"&amp;K156),IFERROR(INDEX('Google Drive Map'!$B$4:$B$33,MATCH(D156,'Google Drive Map'!$A$4:$A$33,0)),""))))</f>
        <v/>
      </c>
      <c r="Q156" s="7">
        <f>IF(P156="","",IF(IFERROR(INDEX('Google Drive Map'!$G$4:$G$33,MATCH(P156,'Google Drive Map'!$B$4:$B$33,0))&amp;"","")="","",HYPERLINK(INDEX('Google Drive Map'!$G$4:$G$33,MATCH(P156,'Google Drive Map'!$B$4:$B$33,0)),"Open")))</f>
        <v/>
      </c>
      <c r="R156" s="7">
        <f>IF(AND(A156="",B156="",C156=""),"",TRIM(IF(AND(D156&lt;&gt;"",ISNA(MATCH(D156,'Google Drive Map'!$A$4:$A$33,0))),"Folder code isn't on the folder map. ","")&amp;IF(AND(C156&lt;&gt;"",NOT(ISNUMBER(C156))),"No. must be a whole number. ","")&amp;IF(AND(D156&lt;&gt;"",B156&lt;&gt;"",C156=""),"Type the next free no. ","")&amp;IF(AND(F156&lt;&gt;"",COUNTIF(F$4:F$303,F156)&gt;1),"Duplicate Doc ID. ","")))</f>
        <v/>
      </c>
      <c r="S156" s="22" t="n"/>
      <c r="T156" s="23" t="n"/>
    </row>
    <row r="157">
      <c r="A157" s="35" t="n"/>
      <c r="B157" s="22" t="n"/>
      <c r="C157" s="22" t="n"/>
      <c r="D157" s="7">
        <f>IF(A157="","",IF(ISNUMBER(A157),TEXT(A157,"00"),TRIM(A157)))</f>
        <v/>
      </c>
      <c r="E157" s="7">
        <f t="array" ref="E157">IF(OR(D157="",B157=""),"",MAX(IF((D$4:D$303=D157)*(B$4:B$303=B157)*ISNUMBER(C$4:C$303),C$4:C$303,0))+1)</f>
        <v/>
      </c>
      <c r="F157" s="7">
        <f>IF(OR(D157="",B157="",NOT(ISNUMBER(C157))),"",D157&amp;"-"&amp;B157&amp;"-"&amp;TEXT(C157,"000"))</f>
        <v/>
      </c>
      <c r="G157" s="23" t="n"/>
      <c r="H157" s="22" t="n"/>
      <c r="I157" s="24" t="n"/>
      <c r="J157" s="22" t="n"/>
      <c r="K157" s="22" t="n"/>
      <c r="L157" s="22" t="n"/>
      <c r="M157" s="22" t="n"/>
      <c r="N157" s="22" t="n"/>
      <c r="O157" s="7">
        <f>IF(F157="","",F157&amp;"_"&amp;SUBSTITUTE(SUBSTITUTE(SUBSTITUTE(SUBSTITUTE(SUBSTITUTE(SUBSTITUTE(SUBSTITUTE(SUBSTITUTE(SUBSTITUTE(SUBSTITUTE(TRIM(G157)," ","-"),"/","-"),"\","-"),":","-"),"*","-"),"?","-"),"""","-"),"&lt;","-"),"&gt;","-"),"|","-")&amp;IF(H157="","","_Rev"&amp;H157))</f>
        <v/>
      </c>
      <c r="P157" s="7">
        <f>IF(D157="","",IF(L157="Superseded","99 Archive",IF(AND(D157="04",K157&lt;&gt;""),IFERROR(INDEX('Google Drive Map'!$B$4:$B$33,MATCH("04/"&amp;LEFT(K157,2),'Google Drive Map'!$A$4:$A$33,0)),"04 Trades &amp; Tenders/"&amp;K157),IFERROR(INDEX('Google Drive Map'!$B$4:$B$33,MATCH(D157,'Google Drive Map'!$A$4:$A$33,0)),""))))</f>
        <v/>
      </c>
      <c r="Q157" s="7">
        <f>IF(P157="","",IF(IFERROR(INDEX('Google Drive Map'!$G$4:$G$33,MATCH(P157,'Google Drive Map'!$B$4:$B$33,0))&amp;"","")="","",HYPERLINK(INDEX('Google Drive Map'!$G$4:$G$33,MATCH(P157,'Google Drive Map'!$B$4:$B$33,0)),"Open")))</f>
        <v/>
      </c>
      <c r="R157" s="7">
        <f>IF(AND(A157="",B157="",C157=""),"",TRIM(IF(AND(D157&lt;&gt;"",ISNA(MATCH(D157,'Google Drive Map'!$A$4:$A$33,0))),"Folder code isn't on the folder map. ","")&amp;IF(AND(C157&lt;&gt;"",NOT(ISNUMBER(C157))),"No. must be a whole number. ","")&amp;IF(AND(D157&lt;&gt;"",B157&lt;&gt;"",C157=""),"Type the next free no. ","")&amp;IF(AND(F157&lt;&gt;"",COUNTIF(F$4:F$303,F157)&gt;1),"Duplicate Doc ID. ","")))</f>
        <v/>
      </c>
      <c r="S157" s="22" t="n"/>
      <c r="T157" s="23" t="n"/>
    </row>
    <row r="158">
      <c r="A158" s="35" t="n"/>
      <c r="B158" s="22" t="n"/>
      <c r="C158" s="22" t="n"/>
      <c r="D158" s="7">
        <f>IF(A158="","",IF(ISNUMBER(A158),TEXT(A158,"00"),TRIM(A158)))</f>
        <v/>
      </c>
      <c r="E158" s="7">
        <f t="array" ref="E158">IF(OR(D158="",B158=""),"",MAX(IF((D$4:D$303=D158)*(B$4:B$303=B158)*ISNUMBER(C$4:C$303),C$4:C$303,0))+1)</f>
        <v/>
      </c>
      <c r="F158" s="7">
        <f>IF(OR(D158="",B158="",NOT(ISNUMBER(C158))),"",D158&amp;"-"&amp;B158&amp;"-"&amp;TEXT(C158,"000"))</f>
        <v/>
      </c>
      <c r="G158" s="23" t="n"/>
      <c r="H158" s="22" t="n"/>
      <c r="I158" s="24" t="n"/>
      <c r="J158" s="22" t="n"/>
      <c r="K158" s="22" t="n"/>
      <c r="L158" s="22" t="n"/>
      <c r="M158" s="22" t="n"/>
      <c r="N158" s="22" t="n"/>
      <c r="O158" s="7">
        <f>IF(F158="","",F158&amp;"_"&amp;SUBSTITUTE(SUBSTITUTE(SUBSTITUTE(SUBSTITUTE(SUBSTITUTE(SUBSTITUTE(SUBSTITUTE(SUBSTITUTE(SUBSTITUTE(SUBSTITUTE(TRIM(G158)," ","-"),"/","-"),"\","-"),":","-"),"*","-"),"?","-"),"""","-"),"&lt;","-"),"&gt;","-"),"|","-")&amp;IF(H158="","","_Rev"&amp;H158))</f>
        <v/>
      </c>
      <c r="P158" s="7">
        <f>IF(D158="","",IF(L158="Superseded","99 Archive",IF(AND(D158="04",K158&lt;&gt;""),IFERROR(INDEX('Google Drive Map'!$B$4:$B$33,MATCH("04/"&amp;LEFT(K158,2),'Google Drive Map'!$A$4:$A$33,0)),"04 Trades &amp; Tenders/"&amp;K158),IFERROR(INDEX('Google Drive Map'!$B$4:$B$33,MATCH(D158,'Google Drive Map'!$A$4:$A$33,0)),""))))</f>
        <v/>
      </c>
      <c r="Q158" s="7">
        <f>IF(P158="","",IF(IFERROR(INDEX('Google Drive Map'!$G$4:$G$33,MATCH(P158,'Google Drive Map'!$B$4:$B$33,0))&amp;"","")="","",HYPERLINK(INDEX('Google Drive Map'!$G$4:$G$33,MATCH(P158,'Google Drive Map'!$B$4:$B$33,0)),"Open")))</f>
        <v/>
      </c>
      <c r="R158" s="7">
        <f>IF(AND(A158="",B158="",C158=""),"",TRIM(IF(AND(D158&lt;&gt;"",ISNA(MATCH(D158,'Google Drive Map'!$A$4:$A$33,0))),"Folder code isn't on the folder map. ","")&amp;IF(AND(C158&lt;&gt;"",NOT(ISNUMBER(C158))),"No. must be a whole number. ","")&amp;IF(AND(D158&lt;&gt;"",B158&lt;&gt;"",C158=""),"Type the next free no. ","")&amp;IF(AND(F158&lt;&gt;"",COUNTIF(F$4:F$303,F158)&gt;1),"Duplicate Doc ID. ","")))</f>
        <v/>
      </c>
      <c r="S158" s="22" t="n"/>
      <c r="T158" s="23" t="n"/>
    </row>
    <row r="159">
      <c r="A159" s="35" t="n"/>
      <c r="B159" s="22" t="n"/>
      <c r="C159" s="22" t="n"/>
      <c r="D159" s="7">
        <f>IF(A159="","",IF(ISNUMBER(A159),TEXT(A159,"00"),TRIM(A159)))</f>
        <v/>
      </c>
      <c r="E159" s="7">
        <f t="array" ref="E159">IF(OR(D159="",B159=""),"",MAX(IF((D$4:D$303=D159)*(B$4:B$303=B159)*ISNUMBER(C$4:C$303),C$4:C$303,0))+1)</f>
        <v/>
      </c>
      <c r="F159" s="7">
        <f>IF(OR(D159="",B159="",NOT(ISNUMBER(C159))),"",D159&amp;"-"&amp;B159&amp;"-"&amp;TEXT(C159,"000"))</f>
        <v/>
      </c>
      <c r="G159" s="23" t="n"/>
      <c r="H159" s="22" t="n"/>
      <c r="I159" s="24" t="n"/>
      <c r="J159" s="22" t="n"/>
      <c r="K159" s="22" t="n"/>
      <c r="L159" s="22" t="n"/>
      <c r="M159" s="22" t="n"/>
      <c r="N159" s="22" t="n"/>
      <c r="O159" s="7">
        <f>IF(F159="","",F159&amp;"_"&amp;SUBSTITUTE(SUBSTITUTE(SUBSTITUTE(SUBSTITUTE(SUBSTITUTE(SUBSTITUTE(SUBSTITUTE(SUBSTITUTE(SUBSTITUTE(SUBSTITUTE(TRIM(G159)," ","-"),"/","-"),"\","-"),":","-"),"*","-"),"?","-"),"""","-"),"&lt;","-"),"&gt;","-"),"|","-")&amp;IF(H159="","","_Rev"&amp;H159))</f>
        <v/>
      </c>
      <c r="P159" s="7">
        <f>IF(D159="","",IF(L159="Superseded","99 Archive",IF(AND(D159="04",K159&lt;&gt;""),IFERROR(INDEX('Google Drive Map'!$B$4:$B$33,MATCH("04/"&amp;LEFT(K159,2),'Google Drive Map'!$A$4:$A$33,0)),"04 Trades &amp; Tenders/"&amp;K159),IFERROR(INDEX('Google Drive Map'!$B$4:$B$33,MATCH(D159,'Google Drive Map'!$A$4:$A$33,0)),""))))</f>
        <v/>
      </c>
      <c r="Q159" s="7">
        <f>IF(P159="","",IF(IFERROR(INDEX('Google Drive Map'!$G$4:$G$33,MATCH(P159,'Google Drive Map'!$B$4:$B$33,0))&amp;"","")="","",HYPERLINK(INDEX('Google Drive Map'!$G$4:$G$33,MATCH(P159,'Google Drive Map'!$B$4:$B$33,0)),"Open")))</f>
        <v/>
      </c>
      <c r="R159" s="7">
        <f>IF(AND(A159="",B159="",C159=""),"",TRIM(IF(AND(D159&lt;&gt;"",ISNA(MATCH(D159,'Google Drive Map'!$A$4:$A$33,0))),"Folder code isn't on the folder map. ","")&amp;IF(AND(C159&lt;&gt;"",NOT(ISNUMBER(C159))),"No. must be a whole number. ","")&amp;IF(AND(D159&lt;&gt;"",B159&lt;&gt;"",C159=""),"Type the next free no. ","")&amp;IF(AND(F159&lt;&gt;"",COUNTIF(F$4:F$303,F159)&gt;1),"Duplicate Doc ID. ","")))</f>
        <v/>
      </c>
      <c r="S159" s="22" t="n"/>
      <c r="T159" s="23" t="n"/>
    </row>
    <row r="160">
      <c r="A160" s="35" t="n"/>
      <c r="B160" s="22" t="n"/>
      <c r="C160" s="22" t="n"/>
      <c r="D160" s="7">
        <f>IF(A160="","",IF(ISNUMBER(A160),TEXT(A160,"00"),TRIM(A160)))</f>
        <v/>
      </c>
      <c r="E160" s="7">
        <f t="array" ref="E160">IF(OR(D160="",B160=""),"",MAX(IF((D$4:D$303=D160)*(B$4:B$303=B160)*ISNUMBER(C$4:C$303),C$4:C$303,0))+1)</f>
        <v/>
      </c>
      <c r="F160" s="7">
        <f>IF(OR(D160="",B160="",NOT(ISNUMBER(C160))),"",D160&amp;"-"&amp;B160&amp;"-"&amp;TEXT(C160,"000"))</f>
        <v/>
      </c>
      <c r="G160" s="23" t="n"/>
      <c r="H160" s="22" t="n"/>
      <c r="I160" s="24" t="n"/>
      <c r="J160" s="22" t="n"/>
      <c r="K160" s="22" t="n"/>
      <c r="L160" s="22" t="n"/>
      <c r="M160" s="22" t="n"/>
      <c r="N160" s="22" t="n"/>
      <c r="O160" s="7">
        <f>IF(F160="","",F160&amp;"_"&amp;SUBSTITUTE(SUBSTITUTE(SUBSTITUTE(SUBSTITUTE(SUBSTITUTE(SUBSTITUTE(SUBSTITUTE(SUBSTITUTE(SUBSTITUTE(SUBSTITUTE(TRIM(G160)," ","-"),"/","-"),"\","-"),":","-"),"*","-"),"?","-"),"""","-"),"&lt;","-"),"&gt;","-"),"|","-")&amp;IF(H160="","","_Rev"&amp;H160))</f>
        <v/>
      </c>
      <c r="P160" s="7">
        <f>IF(D160="","",IF(L160="Superseded","99 Archive",IF(AND(D160="04",K160&lt;&gt;""),IFERROR(INDEX('Google Drive Map'!$B$4:$B$33,MATCH("04/"&amp;LEFT(K160,2),'Google Drive Map'!$A$4:$A$33,0)),"04 Trades &amp; Tenders/"&amp;K160),IFERROR(INDEX('Google Drive Map'!$B$4:$B$33,MATCH(D160,'Google Drive Map'!$A$4:$A$33,0)),""))))</f>
        <v/>
      </c>
      <c r="Q160" s="7">
        <f>IF(P160="","",IF(IFERROR(INDEX('Google Drive Map'!$G$4:$G$33,MATCH(P160,'Google Drive Map'!$B$4:$B$33,0))&amp;"","")="","",HYPERLINK(INDEX('Google Drive Map'!$G$4:$G$33,MATCH(P160,'Google Drive Map'!$B$4:$B$33,0)),"Open")))</f>
        <v/>
      </c>
      <c r="R160" s="7">
        <f>IF(AND(A160="",B160="",C160=""),"",TRIM(IF(AND(D160&lt;&gt;"",ISNA(MATCH(D160,'Google Drive Map'!$A$4:$A$33,0))),"Folder code isn't on the folder map. ","")&amp;IF(AND(C160&lt;&gt;"",NOT(ISNUMBER(C160))),"No. must be a whole number. ","")&amp;IF(AND(D160&lt;&gt;"",B160&lt;&gt;"",C160=""),"Type the next free no. ","")&amp;IF(AND(F160&lt;&gt;"",COUNTIF(F$4:F$303,F160)&gt;1),"Duplicate Doc ID. ","")))</f>
        <v/>
      </c>
      <c r="S160" s="22" t="n"/>
      <c r="T160" s="23" t="n"/>
    </row>
    <row r="161">
      <c r="A161" s="35" t="n"/>
      <c r="B161" s="22" t="n"/>
      <c r="C161" s="22" t="n"/>
      <c r="D161" s="7">
        <f>IF(A161="","",IF(ISNUMBER(A161),TEXT(A161,"00"),TRIM(A161)))</f>
        <v/>
      </c>
      <c r="E161" s="7">
        <f t="array" ref="E161">IF(OR(D161="",B161=""),"",MAX(IF((D$4:D$303=D161)*(B$4:B$303=B161)*ISNUMBER(C$4:C$303),C$4:C$303,0))+1)</f>
        <v/>
      </c>
      <c r="F161" s="7">
        <f>IF(OR(D161="",B161="",NOT(ISNUMBER(C161))),"",D161&amp;"-"&amp;B161&amp;"-"&amp;TEXT(C161,"000"))</f>
        <v/>
      </c>
      <c r="G161" s="23" t="n"/>
      <c r="H161" s="22" t="n"/>
      <c r="I161" s="24" t="n"/>
      <c r="J161" s="22" t="n"/>
      <c r="K161" s="22" t="n"/>
      <c r="L161" s="22" t="n"/>
      <c r="M161" s="22" t="n"/>
      <c r="N161" s="22" t="n"/>
      <c r="O161" s="7">
        <f>IF(F161="","",F161&amp;"_"&amp;SUBSTITUTE(SUBSTITUTE(SUBSTITUTE(SUBSTITUTE(SUBSTITUTE(SUBSTITUTE(SUBSTITUTE(SUBSTITUTE(SUBSTITUTE(SUBSTITUTE(TRIM(G161)," ","-"),"/","-"),"\","-"),":","-"),"*","-"),"?","-"),"""","-"),"&lt;","-"),"&gt;","-"),"|","-")&amp;IF(H161="","","_Rev"&amp;H161))</f>
        <v/>
      </c>
      <c r="P161" s="7">
        <f>IF(D161="","",IF(L161="Superseded","99 Archive",IF(AND(D161="04",K161&lt;&gt;""),IFERROR(INDEX('Google Drive Map'!$B$4:$B$33,MATCH("04/"&amp;LEFT(K161,2),'Google Drive Map'!$A$4:$A$33,0)),"04 Trades &amp; Tenders/"&amp;K161),IFERROR(INDEX('Google Drive Map'!$B$4:$B$33,MATCH(D161,'Google Drive Map'!$A$4:$A$33,0)),""))))</f>
        <v/>
      </c>
      <c r="Q161" s="7">
        <f>IF(P161="","",IF(IFERROR(INDEX('Google Drive Map'!$G$4:$G$33,MATCH(P161,'Google Drive Map'!$B$4:$B$33,0))&amp;"","")="","",HYPERLINK(INDEX('Google Drive Map'!$G$4:$G$33,MATCH(P161,'Google Drive Map'!$B$4:$B$33,0)),"Open")))</f>
        <v/>
      </c>
      <c r="R161" s="7">
        <f>IF(AND(A161="",B161="",C161=""),"",TRIM(IF(AND(D161&lt;&gt;"",ISNA(MATCH(D161,'Google Drive Map'!$A$4:$A$33,0))),"Folder code isn't on the folder map. ","")&amp;IF(AND(C161&lt;&gt;"",NOT(ISNUMBER(C161))),"No. must be a whole number. ","")&amp;IF(AND(D161&lt;&gt;"",B161&lt;&gt;"",C161=""),"Type the next free no. ","")&amp;IF(AND(F161&lt;&gt;"",COUNTIF(F$4:F$303,F161)&gt;1),"Duplicate Doc ID. ","")))</f>
        <v/>
      </c>
      <c r="S161" s="22" t="n"/>
      <c r="T161" s="23" t="n"/>
    </row>
    <row r="162">
      <c r="A162" s="35" t="n"/>
      <c r="B162" s="22" t="n"/>
      <c r="C162" s="22" t="n"/>
      <c r="D162" s="7">
        <f>IF(A162="","",IF(ISNUMBER(A162),TEXT(A162,"00"),TRIM(A162)))</f>
        <v/>
      </c>
      <c r="E162" s="7">
        <f t="array" ref="E162">IF(OR(D162="",B162=""),"",MAX(IF((D$4:D$303=D162)*(B$4:B$303=B162)*ISNUMBER(C$4:C$303),C$4:C$303,0))+1)</f>
        <v/>
      </c>
      <c r="F162" s="7">
        <f>IF(OR(D162="",B162="",NOT(ISNUMBER(C162))),"",D162&amp;"-"&amp;B162&amp;"-"&amp;TEXT(C162,"000"))</f>
        <v/>
      </c>
      <c r="G162" s="23" t="n"/>
      <c r="H162" s="22" t="n"/>
      <c r="I162" s="24" t="n"/>
      <c r="J162" s="22" t="n"/>
      <c r="K162" s="22" t="n"/>
      <c r="L162" s="22" t="n"/>
      <c r="M162" s="22" t="n"/>
      <c r="N162" s="22" t="n"/>
      <c r="O162" s="7">
        <f>IF(F162="","",F162&amp;"_"&amp;SUBSTITUTE(SUBSTITUTE(SUBSTITUTE(SUBSTITUTE(SUBSTITUTE(SUBSTITUTE(SUBSTITUTE(SUBSTITUTE(SUBSTITUTE(SUBSTITUTE(TRIM(G162)," ","-"),"/","-"),"\","-"),":","-"),"*","-"),"?","-"),"""","-"),"&lt;","-"),"&gt;","-"),"|","-")&amp;IF(H162="","","_Rev"&amp;H162))</f>
        <v/>
      </c>
      <c r="P162" s="7">
        <f>IF(D162="","",IF(L162="Superseded","99 Archive",IF(AND(D162="04",K162&lt;&gt;""),IFERROR(INDEX('Google Drive Map'!$B$4:$B$33,MATCH("04/"&amp;LEFT(K162,2),'Google Drive Map'!$A$4:$A$33,0)),"04 Trades &amp; Tenders/"&amp;K162),IFERROR(INDEX('Google Drive Map'!$B$4:$B$33,MATCH(D162,'Google Drive Map'!$A$4:$A$33,0)),""))))</f>
        <v/>
      </c>
      <c r="Q162" s="7">
        <f>IF(P162="","",IF(IFERROR(INDEX('Google Drive Map'!$G$4:$G$33,MATCH(P162,'Google Drive Map'!$B$4:$B$33,0))&amp;"","")="","",HYPERLINK(INDEX('Google Drive Map'!$G$4:$G$33,MATCH(P162,'Google Drive Map'!$B$4:$B$33,0)),"Open")))</f>
        <v/>
      </c>
      <c r="R162" s="7">
        <f>IF(AND(A162="",B162="",C162=""),"",TRIM(IF(AND(D162&lt;&gt;"",ISNA(MATCH(D162,'Google Drive Map'!$A$4:$A$33,0))),"Folder code isn't on the folder map. ","")&amp;IF(AND(C162&lt;&gt;"",NOT(ISNUMBER(C162))),"No. must be a whole number. ","")&amp;IF(AND(D162&lt;&gt;"",B162&lt;&gt;"",C162=""),"Type the next free no. ","")&amp;IF(AND(F162&lt;&gt;"",COUNTIF(F$4:F$303,F162)&gt;1),"Duplicate Doc ID. ","")))</f>
        <v/>
      </c>
      <c r="S162" s="22" t="n"/>
      <c r="T162" s="23" t="n"/>
    </row>
    <row r="163">
      <c r="A163" s="35" t="n"/>
      <c r="B163" s="22" t="n"/>
      <c r="C163" s="22" t="n"/>
      <c r="D163" s="7">
        <f>IF(A163="","",IF(ISNUMBER(A163),TEXT(A163,"00"),TRIM(A163)))</f>
        <v/>
      </c>
      <c r="E163" s="7">
        <f t="array" ref="E163">IF(OR(D163="",B163=""),"",MAX(IF((D$4:D$303=D163)*(B$4:B$303=B163)*ISNUMBER(C$4:C$303),C$4:C$303,0))+1)</f>
        <v/>
      </c>
      <c r="F163" s="7">
        <f>IF(OR(D163="",B163="",NOT(ISNUMBER(C163))),"",D163&amp;"-"&amp;B163&amp;"-"&amp;TEXT(C163,"000"))</f>
        <v/>
      </c>
      <c r="G163" s="23" t="n"/>
      <c r="H163" s="22" t="n"/>
      <c r="I163" s="24" t="n"/>
      <c r="J163" s="22" t="n"/>
      <c r="K163" s="22" t="n"/>
      <c r="L163" s="22" t="n"/>
      <c r="M163" s="22" t="n"/>
      <c r="N163" s="22" t="n"/>
      <c r="O163" s="7">
        <f>IF(F163="","",F163&amp;"_"&amp;SUBSTITUTE(SUBSTITUTE(SUBSTITUTE(SUBSTITUTE(SUBSTITUTE(SUBSTITUTE(SUBSTITUTE(SUBSTITUTE(SUBSTITUTE(SUBSTITUTE(TRIM(G163)," ","-"),"/","-"),"\","-"),":","-"),"*","-"),"?","-"),"""","-"),"&lt;","-"),"&gt;","-"),"|","-")&amp;IF(H163="","","_Rev"&amp;H163))</f>
        <v/>
      </c>
      <c r="P163" s="7">
        <f>IF(D163="","",IF(L163="Superseded","99 Archive",IF(AND(D163="04",K163&lt;&gt;""),IFERROR(INDEX('Google Drive Map'!$B$4:$B$33,MATCH("04/"&amp;LEFT(K163,2),'Google Drive Map'!$A$4:$A$33,0)),"04 Trades &amp; Tenders/"&amp;K163),IFERROR(INDEX('Google Drive Map'!$B$4:$B$33,MATCH(D163,'Google Drive Map'!$A$4:$A$33,0)),""))))</f>
        <v/>
      </c>
      <c r="Q163" s="7">
        <f>IF(P163="","",IF(IFERROR(INDEX('Google Drive Map'!$G$4:$G$33,MATCH(P163,'Google Drive Map'!$B$4:$B$33,0))&amp;"","")="","",HYPERLINK(INDEX('Google Drive Map'!$G$4:$G$33,MATCH(P163,'Google Drive Map'!$B$4:$B$33,0)),"Open")))</f>
        <v/>
      </c>
      <c r="R163" s="7">
        <f>IF(AND(A163="",B163="",C163=""),"",TRIM(IF(AND(D163&lt;&gt;"",ISNA(MATCH(D163,'Google Drive Map'!$A$4:$A$33,0))),"Folder code isn't on the folder map. ","")&amp;IF(AND(C163&lt;&gt;"",NOT(ISNUMBER(C163))),"No. must be a whole number. ","")&amp;IF(AND(D163&lt;&gt;"",B163&lt;&gt;"",C163=""),"Type the next free no. ","")&amp;IF(AND(F163&lt;&gt;"",COUNTIF(F$4:F$303,F163)&gt;1),"Duplicate Doc ID. ","")))</f>
        <v/>
      </c>
      <c r="S163" s="22" t="n"/>
      <c r="T163" s="23" t="n"/>
    </row>
    <row r="164">
      <c r="A164" s="35" t="n"/>
      <c r="B164" s="22" t="n"/>
      <c r="C164" s="22" t="n"/>
      <c r="D164" s="7">
        <f>IF(A164="","",IF(ISNUMBER(A164),TEXT(A164,"00"),TRIM(A164)))</f>
        <v/>
      </c>
      <c r="E164" s="7">
        <f t="array" ref="E164">IF(OR(D164="",B164=""),"",MAX(IF((D$4:D$303=D164)*(B$4:B$303=B164)*ISNUMBER(C$4:C$303),C$4:C$303,0))+1)</f>
        <v/>
      </c>
      <c r="F164" s="7">
        <f>IF(OR(D164="",B164="",NOT(ISNUMBER(C164))),"",D164&amp;"-"&amp;B164&amp;"-"&amp;TEXT(C164,"000"))</f>
        <v/>
      </c>
      <c r="G164" s="23" t="n"/>
      <c r="H164" s="22" t="n"/>
      <c r="I164" s="24" t="n"/>
      <c r="J164" s="22" t="n"/>
      <c r="K164" s="22" t="n"/>
      <c r="L164" s="22" t="n"/>
      <c r="M164" s="22" t="n"/>
      <c r="N164" s="22" t="n"/>
      <c r="O164" s="7">
        <f>IF(F164="","",F164&amp;"_"&amp;SUBSTITUTE(SUBSTITUTE(SUBSTITUTE(SUBSTITUTE(SUBSTITUTE(SUBSTITUTE(SUBSTITUTE(SUBSTITUTE(SUBSTITUTE(SUBSTITUTE(TRIM(G164)," ","-"),"/","-"),"\","-"),":","-"),"*","-"),"?","-"),"""","-"),"&lt;","-"),"&gt;","-"),"|","-")&amp;IF(H164="","","_Rev"&amp;H164))</f>
        <v/>
      </c>
      <c r="P164" s="7">
        <f>IF(D164="","",IF(L164="Superseded","99 Archive",IF(AND(D164="04",K164&lt;&gt;""),IFERROR(INDEX('Google Drive Map'!$B$4:$B$33,MATCH("04/"&amp;LEFT(K164,2),'Google Drive Map'!$A$4:$A$33,0)),"04 Trades &amp; Tenders/"&amp;K164),IFERROR(INDEX('Google Drive Map'!$B$4:$B$33,MATCH(D164,'Google Drive Map'!$A$4:$A$33,0)),""))))</f>
        <v/>
      </c>
      <c r="Q164" s="7">
        <f>IF(P164="","",IF(IFERROR(INDEX('Google Drive Map'!$G$4:$G$33,MATCH(P164,'Google Drive Map'!$B$4:$B$33,0))&amp;"","")="","",HYPERLINK(INDEX('Google Drive Map'!$G$4:$G$33,MATCH(P164,'Google Drive Map'!$B$4:$B$33,0)),"Open")))</f>
        <v/>
      </c>
      <c r="R164" s="7">
        <f>IF(AND(A164="",B164="",C164=""),"",TRIM(IF(AND(D164&lt;&gt;"",ISNA(MATCH(D164,'Google Drive Map'!$A$4:$A$33,0))),"Folder code isn't on the folder map. ","")&amp;IF(AND(C164&lt;&gt;"",NOT(ISNUMBER(C164))),"No. must be a whole number. ","")&amp;IF(AND(D164&lt;&gt;"",B164&lt;&gt;"",C164=""),"Type the next free no. ","")&amp;IF(AND(F164&lt;&gt;"",COUNTIF(F$4:F$303,F164)&gt;1),"Duplicate Doc ID. ","")))</f>
        <v/>
      </c>
      <c r="S164" s="22" t="n"/>
      <c r="T164" s="23" t="n"/>
    </row>
    <row r="165">
      <c r="A165" s="35" t="n"/>
      <c r="B165" s="22" t="n"/>
      <c r="C165" s="22" t="n"/>
      <c r="D165" s="7">
        <f>IF(A165="","",IF(ISNUMBER(A165),TEXT(A165,"00"),TRIM(A165)))</f>
        <v/>
      </c>
      <c r="E165" s="7">
        <f t="array" ref="E165">IF(OR(D165="",B165=""),"",MAX(IF((D$4:D$303=D165)*(B$4:B$303=B165)*ISNUMBER(C$4:C$303),C$4:C$303,0))+1)</f>
        <v/>
      </c>
      <c r="F165" s="7">
        <f>IF(OR(D165="",B165="",NOT(ISNUMBER(C165))),"",D165&amp;"-"&amp;B165&amp;"-"&amp;TEXT(C165,"000"))</f>
        <v/>
      </c>
      <c r="G165" s="23" t="n"/>
      <c r="H165" s="22" t="n"/>
      <c r="I165" s="24" t="n"/>
      <c r="J165" s="22" t="n"/>
      <c r="K165" s="22" t="n"/>
      <c r="L165" s="22" t="n"/>
      <c r="M165" s="22" t="n"/>
      <c r="N165" s="22" t="n"/>
      <c r="O165" s="7">
        <f>IF(F165="","",F165&amp;"_"&amp;SUBSTITUTE(SUBSTITUTE(SUBSTITUTE(SUBSTITUTE(SUBSTITUTE(SUBSTITUTE(SUBSTITUTE(SUBSTITUTE(SUBSTITUTE(SUBSTITUTE(TRIM(G165)," ","-"),"/","-"),"\","-"),":","-"),"*","-"),"?","-"),"""","-"),"&lt;","-"),"&gt;","-"),"|","-")&amp;IF(H165="","","_Rev"&amp;H165))</f>
        <v/>
      </c>
      <c r="P165" s="7">
        <f>IF(D165="","",IF(L165="Superseded","99 Archive",IF(AND(D165="04",K165&lt;&gt;""),IFERROR(INDEX('Google Drive Map'!$B$4:$B$33,MATCH("04/"&amp;LEFT(K165,2),'Google Drive Map'!$A$4:$A$33,0)),"04 Trades &amp; Tenders/"&amp;K165),IFERROR(INDEX('Google Drive Map'!$B$4:$B$33,MATCH(D165,'Google Drive Map'!$A$4:$A$33,0)),""))))</f>
        <v/>
      </c>
      <c r="Q165" s="7">
        <f>IF(P165="","",IF(IFERROR(INDEX('Google Drive Map'!$G$4:$G$33,MATCH(P165,'Google Drive Map'!$B$4:$B$33,0))&amp;"","")="","",HYPERLINK(INDEX('Google Drive Map'!$G$4:$G$33,MATCH(P165,'Google Drive Map'!$B$4:$B$33,0)),"Open")))</f>
        <v/>
      </c>
      <c r="R165" s="7">
        <f>IF(AND(A165="",B165="",C165=""),"",TRIM(IF(AND(D165&lt;&gt;"",ISNA(MATCH(D165,'Google Drive Map'!$A$4:$A$33,0))),"Folder code isn't on the folder map. ","")&amp;IF(AND(C165&lt;&gt;"",NOT(ISNUMBER(C165))),"No. must be a whole number. ","")&amp;IF(AND(D165&lt;&gt;"",B165&lt;&gt;"",C165=""),"Type the next free no. ","")&amp;IF(AND(F165&lt;&gt;"",COUNTIF(F$4:F$303,F165)&gt;1),"Duplicate Doc ID. ","")))</f>
        <v/>
      </c>
      <c r="S165" s="22" t="n"/>
      <c r="T165" s="23" t="n"/>
    </row>
    <row r="166">
      <c r="A166" s="35" t="n"/>
      <c r="B166" s="22" t="n"/>
      <c r="C166" s="22" t="n"/>
      <c r="D166" s="7">
        <f>IF(A166="","",IF(ISNUMBER(A166),TEXT(A166,"00"),TRIM(A166)))</f>
        <v/>
      </c>
      <c r="E166" s="7">
        <f t="array" ref="E166">IF(OR(D166="",B166=""),"",MAX(IF((D$4:D$303=D166)*(B$4:B$303=B166)*ISNUMBER(C$4:C$303),C$4:C$303,0))+1)</f>
        <v/>
      </c>
      <c r="F166" s="7">
        <f>IF(OR(D166="",B166="",NOT(ISNUMBER(C166))),"",D166&amp;"-"&amp;B166&amp;"-"&amp;TEXT(C166,"000"))</f>
        <v/>
      </c>
      <c r="G166" s="23" t="n"/>
      <c r="H166" s="22" t="n"/>
      <c r="I166" s="24" t="n"/>
      <c r="J166" s="22" t="n"/>
      <c r="K166" s="22" t="n"/>
      <c r="L166" s="22" t="n"/>
      <c r="M166" s="22" t="n"/>
      <c r="N166" s="22" t="n"/>
      <c r="O166" s="7">
        <f>IF(F166="","",F166&amp;"_"&amp;SUBSTITUTE(SUBSTITUTE(SUBSTITUTE(SUBSTITUTE(SUBSTITUTE(SUBSTITUTE(SUBSTITUTE(SUBSTITUTE(SUBSTITUTE(SUBSTITUTE(TRIM(G166)," ","-"),"/","-"),"\","-"),":","-"),"*","-"),"?","-"),"""","-"),"&lt;","-"),"&gt;","-"),"|","-")&amp;IF(H166="","","_Rev"&amp;H166))</f>
        <v/>
      </c>
      <c r="P166" s="7">
        <f>IF(D166="","",IF(L166="Superseded","99 Archive",IF(AND(D166="04",K166&lt;&gt;""),IFERROR(INDEX('Google Drive Map'!$B$4:$B$33,MATCH("04/"&amp;LEFT(K166,2),'Google Drive Map'!$A$4:$A$33,0)),"04 Trades &amp; Tenders/"&amp;K166),IFERROR(INDEX('Google Drive Map'!$B$4:$B$33,MATCH(D166,'Google Drive Map'!$A$4:$A$33,0)),""))))</f>
        <v/>
      </c>
      <c r="Q166" s="7">
        <f>IF(P166="","",IF(IFERROR(INDEX('Google Drive Map'!$G$4:$G$33,MATCH(P166,'Google Drive Map'!$B$4:$B$33,0))&amp;"","")="","",HYPERLINK(INDEX('Google Drive Map'!$G$4:$G$33,MATCH(P166,'Google Drive Map'!$B$4:$B$33,0)),"Open")))</f>
        <v/>
      </c>
      <c r="R166" s="7">
        <f>IF(AND(A166="",B166="",C166=""),"",TRIM(IF(AND(D166&lt;&gt;"",ISNA(MATCH(D166,'Google Drive Map'!$A$4:$A$33,0))),"Folder code isn't on the folder map. ","")&amp;IF(AND(C166&lt;&gt;"",NOT(ISNUMBER(C166))),"No. must be a whole number. ","")&amp;IF(AND(D166&lt;&gt;"",B166&lt;&gt;"",C166=""),"Type the next free no. ","")&amp;IF(AND(F166&lt;&gt;"",COUNTIF(F$4:F$303,F166)&gt;1),"Duplicate Doc ID. ","")))</f>
        <v/>
      </c>
      <c r="S166" s="22" t="n"/>
      <c r="T166" s="23" t="n"/>
    </row>
    <row r="167">
      <c r="A167" s="35" t="n"/>
      <c r="B167" s="22" t="n"/>
      <c r="C167" s="22" t="n"/>
      <c r="D167" s="7">
        <f>IF(A167="","",IF(ISNUMBER(A167),TEXT(A167,"00"),TRIM(A167)))</f>
        <v/>
      </c>
      <c r="E167" s="7">
        <f t="array" ref="E167">IF(OR(D167="",B167=""),"",MAX(IF((D$4:D$303=D167)*(B$4:B$303=B167)*ISNUMBER(C$4:C$303),C$4:C$303,0))+1)</f>
        <v/>
      </c>
      <c r="F167" s="7">
        <f>IF(OR(D167="",B167="",NOT(ISNUMBER(C167))),"",D167&amp;"-"&amp;B167&amp;"-"&amp;TEXT(C167,"000"))</f>
        <v/>
      </c>
      <c r="G167" s="23" t="n"/>
      <c r="H167" s="22" t="n"/>
      <c r="I167" s="24" t="n"/>
      <c r="J167" s="22" t="n"/>
      <c r="K167" s="22" t="n"/>
      <c r="L167" s="22" t="n"/>
      <c r="M167" s="22" t="n"/>
      <c r="N167" s="22" t="n"/>
      <c r="O167" s="7">
        <f>IF(F167="","",F167&amp;"_"&amp;SUBSTITUTE(SUBSTITUTE(SUBSTITUTE(SUBSTITUTE(SUBSTITUTE(SUBSTITUTE(SUBSTITUTE(SUBSTITUTE(SUBSTITUTE(SUBSTITUTE(TRIM(G167)," ","-"),"/","-"),"\","-"),":","-"),"*","-"),"?","-"),"""","-"),"&lt;","-"),"&gt;","-"),"|","-")&amp;IF(H167="","","_Rev"&amp;H167))</f>
        <v/>
      </c>
      <c r="P167" s="7">
        <f>IF(D167="","",IF(L167="Superseded","99 Archive",IF(AND(D167="04",K167&lt;&gt;""),IFERROR(INDEX('Google Drive Map'!$B$4:$B$33,MATCH("04/"&amp;LEFT(K167,2),'Google Drive Map'!$A$4:$A$33,0)),"04 Trades &amp; Tenders/"&amp;K167),IFERROR(INDEX('Google Drive Map'!$B$4:$B$33,MATCH(D167,'Google Drive Map'!$A$4:$A$33,0)),""))))</f>
        <v/>
      </c>
      <c r="Q167" s="7">
        <f>IF(P167="","",IF(IFERROR(INDEX('Google Drive Map'!$G$4:$G$33,MATCH(P167,'Google Drive Map'!$B$4:$B$33,0))&amp;"","")="","",HYPERLINK(INDEX('Google Drive Map'!$G$4:$G$33,MATCH(P167,'Google Drive Map'!$B$4:$B$33,0)),"Open")))</f>
        <v/>
      </c>
      <c r="R167" s="7">
        <f>IF(AND(A167="",B167="",C167=""),"",TRIM(IF(AND(D167&lt;&gt;"",ISNA(MATCH(D167,'Google Drive Map'!$A$4:$A$33,0))),"Folder code isn't on the folder map. ","")&amp;IF(AND(C167&lt;&gt;"",NOT(ISNUMBER(C167))),"No. must be a whole number. ","")&amp;IF(AND(D167&lt;&gt;"",B167&lt;&gt;"",C167=""),"Type the next free no. ","")&amp;IF(AND(F167&lt;&gt;"",COUNTIF(F$4:F$303,F167)&gt;1),"Duplicate Doc ID. ","")))</f>
        <v/>
      </c>
      <c r="S167" s="22" t="n"/>
      <c r="T167" s="23" t="n"/>
    </row>
    <row r="168">
      <c r="A168" s="35" t="n"/>
      <c r="B168" s="22" t="n"/>
      <c r="C168" s="22" t="n"/>
      <c r="D168" s="7">
        <f>IF(A168="","",IF(ISNUMBER(A168),TEXT(A168,"00"),TRIM(A168)))</f>
        <v/>
      </c>
      <c r="E168" s="7">
        <f t="array" ref="E168">IF(OR(D168="",B168=""),"",MAX(IF((D$4:D$303=D168)*(B$4:B$303=B168)*ISNUMBER(C$4:C$303),C$4:C$303,0))+1)</f>
        <v/>
      </c>
      <c r="F168" s="7">
        <f>IF(OR(D168="",B168="",NOT(ISNUMBER(C168))),"",D168&amp;"-"&amp;B168&amp;"-"&amp;TEXT(C168,"000"))</f>
        <v/>
      </c>
      <c r="G168" s="23" t="n"/>
      <c r="H168" s="22" t="n"/>
      <c r="I168" s="24" t="n"/>
      <c r="J168" s="22" t="n"/>
      <c r="K168" s="22" t="n"/>
      <c r="L168" s="22" t="n"/>
      <c r="M168" s="22" t="n"/>
      <c r="N168" s="22" t="n"/>
      <c r="O168" s="7">
        <f>IF(F168="","",F168&amp;"_"&amp;SUBSTITUTE(SUBSTITUTE(SUBSTITUTE(SUBSTITUTE(SUBSTITUTE(SUBSTITUTE(SUBSTITUTE(SUBSTITUTE(SUBSTITUTE(SUBSTITUTE(TRIM(G168)," ","-"),"/","-"),"\","-"),":","-"),"*","-"),"?","-"),"""","-"),"&lt;","-"),"&gt;","-"),"|","-")&amp;IF(H168="","","_Rev"&amp;H168))</f>
        <v/>
      </c>
      <c r="P168" s="7">
        <f>IF(D168="","",IF(L168="Superseded","99 Archive",IF(AND(D168="04",K168&lt;&gt;""),IFERROR(INDEX('Google Drive Map'!$B$4:$B$33,MATCH("04/"&amp;LEFT(K168,2),'Google Drive Map'!$A$4:$A$33,0)),"04 Trades &amp; Tenders/"&amp;K168),IFERROR(INDEX('Google Drive Map'!$B$4:$B$33,MATCH(D168,'Google Drive Map'!$A$4:$A$33,0)),""))))</f>
        <v/>
      </c>
      <c r="Q168" s="7">
        <f>IF(P168="","",IF(IFERROR(INDEX('Google Drive Map'!$G$4:$G$33,MATCH(P168,'Google Drive Map'!$B$4:$B$33,0))&amp;"","")="","",HYPERLINK(INDEX('Google Drive Map'!$G$4:$G$33,MATCH(P168,'Google Drive Map'!$B$4:$B$33,0)),"Open")))</f>
        <v/>
      </c>
      <c r="R168" s="7">
        <f>IF(AND(A168="",B168="",C168=""),"",TRIM(IF(AND(D168&lt;&gt;"",ISNA(MATCH(D168,'Google Drive Map'!$A$4:$A$33,0))),"Folder code isn't on the folder map. ","")&amp;IF(AND(C168&lt;&gt;"",NOT(ISNUMBER(C168))),"No. must be a whole number. ","")&amp;IF(AND(D168&lt;&gt;"",B168&lt;&gt;"",C168=""),"Type the next free no. ","")&amp;IF(AND(F168&lt;&gt;"",COUNTIF(F$4:F$303,F168)&gt;1),"Duplicate Doc ID. ","")))</f>
        <v/>
      </c>
      <c r="S168" s="22" t="n"/>
      <c r="T168" s="23" t="n"/>
    </row>
    <row r="169">
      <c r="A169" s="35" t="n"/>
      <c r="B169" s="22" t="n"/>
      <c r="C169" s="22" t="n"/>
      <c r="D169" s="7">
        <f>IF(A169="","",IF(ISNUMBER(A169),TEXT(A169,"00"),TRIM(A169)))</f>
        <v/>
      </c>
      <c r="E169" s="7">
        <f t="array" ref="E169">IF(OR(D169="",B169=""),"",MAX(IF((D$4:D$303=D169)*(B$4:B$303=B169)*ISNUMBER(C$4:C$303),C$4:C$303,0))+1)</f>
        <v/>
      </c>
      <c r="F169" s="7">
        <f>IF(OR(D169="",B169="",NOT(ISNUMBER(C169))),"",D169&amp;"-"&amp;B169&amp;"-"&amp;TEXT(C169,"000"))</f>
        <v/>
      </c>
      <c r="G169" s="23" t="n"/>
      <c r="H169" s="22" t="n"/>
      <c r="I169" s="24" t="n"/>
      <c r="J169" s="22" t="n"/>
      <c r="K169" s="22" t="n"/>
      <c r="L169" s="22" t="n"/>
      <c r="M169" s="22" t="n"/>
      <c r="N169" s="22" t="n"/>
      <c r="O169" s="7">
        <f>IF(F169="","",F169&amp;"_"&amp;SUBSTITUTE(SUBSTITUTE(SUBSTITUTE(SUBSTITUTE(SUBSTITUTE(SUBSTITUTE(SUBSTITUTE(SUBSTITUTE(SUBSTITUTE(SUBSTITUTE(TRIM(G169)," ","-"),"/","-"),"\","-"),":","-"),"*","-"),"?","-"),"""","-"),"&lt;","-"),"&gt;","-"),"|","-")&amp;IF(H169="","","_Rev"&amp;H169))</f>
        <v/>
      </c>
      <c r="P169" s="7">
        <f>IF(D169="","",IF(L169="Superseded","99 Archive",IF(AND(D169="04",K169&lt;&gt;""),IFERROR(INDEX('Google Drive Map'!$B$4:$B$33,MATCH("04/"&amp;LEFT(K169,2),'Google Drive Map'!$A$4:$A$33,0)),"04 Trades &amp; Tenders/"&amp;K169),IFERROR(INDEX('Google Drive Map'!$B$4:$B$33,MATCH(D169,'Google Drive Map'!$A$4:$A$33,0)),""))))</f>
        <v/>
      </c>
      <c r="Q169" s="7">
        <f>IF(P169="","",IF(IFERROR(INDEX('Google Drive Map'!$G$4:$G$33,MATCH(P169,'Google Drive Map'!$B$4:$B$33,0))&amp;"","")="","",HYPERLINK(INDEX('Google Drive Map'!$G$4:$G$33,MATCH(P169,'Google Drive Map'!$B$4:$B$33,0)),"Open")))</f>
        <v/>
      </c>
      <c r="R169" s="7">
        <f>IF(AND(A169="",B169="",C169=""),"",TRIM(IF(AND(D169&lt;&gt;"",ISNA(MATCH(D169,'Google Drive Map'!$A$4:$A$33,0))),"Folder code isn't on the folder map. ","")&amp;IF(AND(C169&lt;&gt;"",NOT(ISNUMBER(C169))),"No. must be a whole number. ","")&amp;IF(AND(D169&lt;&gt;"",B169&lt;&gt;"",C169=""),"Type the next free no. ","")&amp;IF(AND(F169&lt;&gt;"",COUNTIF(F$4:F$303,F169)&gt;1),"Duplicate Doc ID. ","")))</f>
        <v/>
      </c>
      <c r="S169" s="22" t="n"/>
      <c r="T169" s="23" t="n"/>
    </row>
    <row r="170">
      <c r="A170" s="35" t="n"/>
      <c r="B170" s="22" t="n"/>
      <c r="C170" s="22" t="n"/>
      <c r="D170" s="7">
        <f>IF(A170="","",IF(ISNUMBER(A170),TEXT(A170,"00"),TRIM(A170)))</f>
        <v/>
      </c>
      <c r="E170" s="7">
        <f t="array" ref="E170">IF(OR(D170="",B170=""),"",MAX(IF((D$4:D$303=D170)*(B$4:B$303=B170)*ISNUMBER(C$4:C$303),C$4:C$303,0))+1)</f>
        <v/>
      </c>
      <c r="F170" s="7">
        <f>IF(OR(D170="",B170="",NOT(ISNUMBER(C170))),"",D170&amp;"-"&amp;B170&amp;"-"&amp;TEXT(C170,"000"))</f>
        <v/>
      </c>
      <c r="G170" s="23" t="n"/>
      <c r="H170" s="22" t="n"/>
      <c r="I170" s="24" t="n"/>
      <c r="J170" s="22" t="n"/>
      <c r="K170" s="22" t="n"/>
      <c r="L170" s="22" t="n"/>
      <c r="M170" s="22" t="n"/>
      <c r="N170" s="22" t="n"/>
      <c r="O170" s="7">
        <f>IF(F170="","",F170&amp;"_"&amp;SUBSTITUTE(SUBSTITUTE(SUBSTITUTE(SUBSTITUTE(SUBSTITUTE(SUBSTITUTE(SUBSTITUTE(SUBSTITUTE(SUBSTITUTE(SUBSTITUTE(TRIM(G170)," ","-"),"/","-"),"\","-"),":","-"),"*","-"),"?","-"),"""","-"),"&lt;","-"),"&gt;","-"),"|","-")&amp;IF(H170="","","_Rev"&amp;H170))</f>
        <v/>
      </c>
      <c r="P170" s="7">
        <f>IF(D170="","",IF(L170="Superseded","99 Archive",IF(AND(D170="04",K170&lt;&gt;""),IFERROR(INDEX('Google Drive Map'!$B$4:$B$33,MATCH("04/"&amp;LEFT(K170,2),'Google Drive Map'!$A$4:$A$33,0)),"04 Trades &amp; Tenders/"&amp;K170),IFERROR(INDEX('Google Drive Map'!$B$4:$B$33,MATCH(D170,'Google Drive Map'!$A$4:$A$33,0)),""))))</f>
        <v/>
      </c>
      <c r="Q170" s="7">
        <f>IF(P170="","",IF(IFERROR(INDEX('Google Drive Map'!$G$4:$G$33,MATCH(P170,'Google Drive Map'!$B$4:$B$33,0))&amp;"","")="","",HYPERLINK(INDEX('Google Drive Map'!$G$4:$G$33,MATCH(P170,'Google Drive Map'!$B$4:$B$33,0)),"Open")))</f>
        <v/>
      </c>
      <c r="R170" s="7">
        <f>IF(AND(A170="",B170="",C170=""),"",TRIM(IF(AND(D170&lt;&gt;"",ISNA(MATCH(D170,'Google Drive Map'!$A$4:$A$33,0))),"Folder code isn't on the folder map. ","")&amp;IF(AND(C170&lt;&gt;"",NOT(ISNUMBER(C170))),"No. must be a whole number. ","")&amp;IF(AND(D170&lt;&gt;"",B170&lt;&gt;"",C170=""),"Type the next free no. ","")&amp;IF(AND(F170&lt;&gt;"",COUNTIF(F$4:F$303,F170)&gt;1),"Duplicate Doc ID. ","")))</f>
        <v/>
      </c>
      <c r="S170" s="22" t="n"/>
      <c r="T170" s="23" t="n"/>
    </row>
    <row r="171">
      <c r="A171" s="35" t="n"/>
      <c r="B171" s="22" t="n"/>
      <c r="C171" s="22" t="n"/>
      <c r="D171" s="7">
        <f>IF(A171="","",IF(ISNUMBER(A171),TEXT(A171,"00"),TRIM(A171)))</f>
        <v/>
      </c>
      <c r="E171" s="7">
        <f t="array" ref="E171">IF(OR(D171="",B171=""),"",MAX(IF((D$4:D$303=D171)*(B$4:B$303=B171)*ISNUMBER(C$4:C$303),C$4:C$303,0))+1)</f>
        <v/>
      </c>
      <c r="F171" s="7">
        <f>IF(OR(D171="",B171="",NOT(ISNUMBER(C171))),"",D171&amp;"-"&amp;B171&amp;"-"&amp;TEXT(C171,"000"))</f>
        <v/>
      </c>
      <c r="G171" s="23" t="n"/>
      <c r="H171" s="22" t="n"/>
      <c r="I171" s="24" t="n"/>
      <c r="J171" s="22" t="n"/>
      <c r="K171" s="22" t="n"/>
      <c r="L171" s="22" t="n"/>
      <c r="M171" s="22" t="n"/>
      <c r="N171" s="22" t="n"/>
      <c r="O171" s="7">
        <f>IF(F171="","",F171&amp;"_"&amp;SUBSTITUTE(SUBSTITUTE(SUBSTITUTE(SUBSTITUTE(SUBSTITUTE(SUBSTITUTE(SUBSTITUTE(SUBSTITUTE(SUBSTITUTE(SUBSTITUTE(TRIM(G171)," ","-"),"/","-"),"\","-"),":","-"),"*","-"),"?","-"),"""","-"),"&lt;","-"),"&gt;","-"),"|","-")&amp;IF(H171="","","_Rev"&amp;H171))</f>
        <v/>
      </c>
      <c r="P171" s="7">
        <f>IF(D171="","",IF(L171="Superseded","99 Archive",IF(AND(D171="04",K171&lt;&gt;""),IFERROR(INDEX('Google Drive Map'!$B$4:$B$33,MATCH("04/"&amp;LEFT(K171,2),'Google Drive Map'!$A$4:$A$33,0)),"04 Trades &amp; Tenders/"&amp;K171),IFERROR(INDEX('Google Drive Map'!$B$4:$B$33,MATCH(D171,'Google Drive Map'!$A$4:$A$33,0)),""))))</f>
        <v/>
      </c>
      <c r="Q171" s="7">
        <f>IF(P171="","",IF(IFERROR(INDEX('Google Drive Map'!$G$4:$G$33,MATCH(P171,'Google Drive Map'!$B$4:$B$33,0))&amp;"","")="","",HYPERLINK(INDEX('Google Drive Map'!$G$4:$G$33,MATCH(P171,'Google Drive Map'!$B$4:$B$33,0)),"Open")))</f>
        <v/>
      </c>
      <c r="R171" s="7">
        <f>IF(AND(A171="",B171="",C171=""),"",TRIM(IF(AND(D171&lt;&gt;"",ISNA(MATCH(D171,'Google Drive Map'!$A$4:$A$33,0))),"Folder code isn't on the folder map. ","")&amp;IF(AND(C171&lt;&gt;"",NOT(ISNUMBER(C171))),"No. must be a whole number. ","")&amp;IF(AND(D171&lt;&gt;"",B171&lt;&gt;"",C171=""),"Type the next free no. ","")&amp;IF(AND(F171&lt;&gt;"",COUNTIF(F$4:F$303,F171)&gt;1),"Duplicate Doc ID. ","")))</f>
        <v/>
      </c>
      <c r="S171" s="22" t="n"/>
      <c r="T171" s="23" t="n"/>
    </row>
    <row r="172">
      <c r="A172" s="35" t="n"/>
      <c r="B172" s="22" t="n"/>
      <c r="C172" s="22" t="n"/>
      <c r="D172" s="7">
        <f>IF(A172="","",IF(ISNUMBER(A172),TEXT(A172,"00"),TRIM(A172)))</f>
        <v/>
      </c>
      <c r="E172" s="7">
        <f t="array" ref="E172">IF(OR(D172="",B172=""),"",MAX(IF((D$4:D$303=D172)*(B$4:B$303=B172)*ISNUMBER(C$4:C$303),C$4:C$303,0))+1)</f>
        <v/>
      </c>
      <c r="F172" s="7">
        <f>IF(OR(D172="",B172="",NOT(ISNUMBER(C172))),"",D172&amp;"-"&amp;B172&amp;"-"&amp;TEXT(C172,"000"))</f>
        <v/>
      </c>
      <c r="G172" s="23" t="n"/>
      <c r="H172" s="22" t="n"/>
      <c r="I172" s="24" t="n"/>
      <c r="J172" s="22" t="n"/>
      <c r="K172" s="22" t="n"/>
      <c r="L172" s="22" t="n"/>
      <c r="M172" s="22" t="n"/>
      <c r="N172" s="22" t="n"/>
      <c r="O172" s="7">
        <f>IF(F172="","",F172&amp;"_"&amp;SUBSTITUTE(SUBSTITUTE(SUBSTITUTE(SUBSTITUTE(SUBSTITUTE(SUBSTITUTE(SUBSTITUTE(SUBSTITUTE(SUBSTITUTE(SUBSTITUTE(TRIM(G172)," ","-"),"/","-"),"\","-"),":","-"),"*","-"),"?","-"),"""","-"),"&lt;","-"),"&gt;","-"),"|","-")&amp;IF(H172="","","_Rev"&amp;H172))</f>
        <v/>
      </c>
      <c r="P172" s="7">
        <f>IF(D172="","",IF(L172="Superseded","99 Archive",IF(AND(D172="04",K172&lt;&gt;""),IFERROR(INDEX('Google Drive Map'!$B$4:$B$33,MATCH("04/"&amp;LEFT(K172,2),'Google Drive Map'!$A$4:$A$33,0)),"04 Trades &amp; Tenders/"&amp;K172),IFERROR(INDEX('Google Drive Map'!$B$4:$B$33,MATCH(D172,'Google Drive Map'!$A$4:$A$33,0)),""))))</f>
        <v/>
      </c>
      <c r="Q172" s="7">
        <f>IF(P172="","",IF(IFERROR(INDEX('Google Drive Map'!$G$4:$G$33,MATCH(P172,'Google Drive Map'!$B$4:$B$33,0))&amp;"","")="","",HYPERLINK(INDEX('Google Drive Map'!$G$4:$G$33,MATCH(P172,'Google Drive Map'!$B$4:$B$33,0)),"Open")))</f>
        <v/>
      </c>
      <c r="R172" s="7">
        <f>IF(AND(A172="",B172="",C172=""),"",TRIM(IF(AND(D172&lt;&gt;"",ISNA(MATCH(D172,'Google Drive Map'!$A$4:$A$33,0))),"Folder code isn't on the folder map. ","")&amp;IF(AND(C172&lt;&gt;"",NOT(ISNUMBER(C172))),"No. must be a whole number. ","")&amp;IF(AND(D172&lt;&gt;"",B172&lt;&gt;"",C172=""),"Type the next free no. ","")&amp;IF(AND(F172&lt;&gt;"",COUNTIF(F$4:F$303,F172)&gt;1),"Duplicate Doc ID. ","")))</f>
        <v/>
      </c>
      <c r="S172" s="22" t="n"/>
      <c r="T172" s="23" t="n"/>
    </row>
    <row r="173">
      <c r="A173" s="35" t="n"/>
      <c r="B173" s="22" t="n"/>
      <c r="C173" s="22" t="n"/>
      <c r="D173" s="7">
        <f>IF(A173="","",IF(ISNUMBER(A173),TEXT(A173,"00"),TRIM(A173)))</f>
        <v/>
      </c>
      <c r="E173" s="7">
        <f t="array" ref="E173">IF(OR(D173="",B173=""),"",MAX(IF((D$4:D$303=D173)*(B$4:B$303=B173)*ISNUMBER(C$4:C$303),C$4:C$303,0))+1)</f>
        <v/>
      </c>
      <c r="F173" s="7">
        <f>IF(OR(D173="",B173="",NOT(ISNUMBER(C173))),"",D173&amp;"-"&amp;B173&amp;"-"&amp;TEXT(C173,"000"))</f>
        <v/>
      </c>
      <c r="G173" s="23" t="n"/>
      <c r="H173" s="22" t="n"/>
      <c r="I173" s="24" t="n"/>
      <c r="J173" s="22" t="n"/>
      <c r="K173" s="22" t="n"/>
      <c r="L173" s="22" t="n"/>
      <c r="M173" s="22" t="n"/>
      <c r="N173" s="22" t="n"/>
      <c r="O173" s="7">
        <f>IF(F173="","",F173&amp;"_"&amp;SUBSTITUTE(SUBSTITUTE(SUBSTITUTE(SUBSTITUTE(SUBSTITUTE(SUBSTITUTE(SUBSTITUTE(SUBSTITUTE(SUBSTITUTE(SUBSTITUTE(TRIM(G173)," ","-"),"/","-"),"\","-"),":","-"),"*","-"),"?","-"),"""","-"),"&lt;","-"),"&gt;","-"),"|","-")&amp;IF(H173="","","_Rev"&amp;H173))</f>
        <v/>
      </c>
      <c r="P173" s="7">
        <f>IF(D173="","",IF(L173="Superseded","99 Archive",IF(AND(D173="04",K173&lt;&gt;""),IFERROR(INDEX('Google Drive Map'!$B$4:$B$33,MATCH("04/"&amp;LEFT(K173,2),'Google Drive Map'!$A$4:$A$33,0)),"04 Trades &amp; Tenders/"&amp;K173),IFERROR(INDEX('Google Drive Map'!$B$4:$B$33,MATCH(D173,'Google Drive Map'!$A$4:$A$33,0)),""))))</f>
        <v/>
      </c>
      <c r="Q173" s="7">
        <f>IF(P173="","",IF(IFERROR(INDEX('Google Drive Map'!$G$4:$G$33,MATCH(P173,'Google Drive Map'!$B$4:$B$33,0))&amp;"","")="","",HYPERLINK(INDEX('Google Drive Map'!$G$4:$G$33,MATCH(P173,'Google Drive Map'!$B$4:$B$33,0)),"Open")))</f>
        <v/>
      </c>
      <c r="R173" s="7">
        <f>IF(AND(A173="",B173="",C173=""),"",TRIM(IF(AND(D173&lt;&gt;"",ISNA(MATCH(D173,'Google Drive Map'!$A$4:$A$33,0))),"Folder code isn't on the folder map. ","")&amp;IF(AND(C173&lt;&gt;"",NOT(ISNUMBER(C173))),"No. must be a whole number. ","")&amp;IF(AND(D173&lt;&gt;"",B173&lt;&gt;"",C173=""),"Type the next free no. ","")&amp;IF(AND(F173&lt;&gt;"",COUNTIF(F$4:F$303,F173)&gt;1),"Duplicate Doc ID. ","")))</f>
        <v/>
      </c>
      <c r="S173" s="22" t="n"/>
      <c r="T173" s="23" t="n"/>
    </row>
    <row r="174">
      <c r="A174" s="35" t="n"/>
      <c r="B174" s="22" t="n"/>
      <c r="C174" s="22" t="n"/>
      <c r="D174" s="7">
        <f>IF(A174="","",IF(ISNUMBER(A174),TEXT(A174,"00"),TRIM(A174)))</f>
        <v/>
      </c>
      <c r="E174" s="7">
        <f t="array" ref="E174">IF(OR(D174="",B174=""),"",MAX(IF((D$4:D$303=D174)*(B$4:B$303=B174)*ISNUMBER(C$4:C$303),C$4:C$303,0))+1)</f>
        <v/>
      </c>
      <c r="F174" s="7">
        <f>IF(OR(D174="",B174="",NOT(ISNUMBER(C174))),"",D174&amp;"-"&amp;B174&amp;"-"&amp;TEXT(C174,"000"))</f>
        <v/>
      </c>
      <c r="G174" s="23" t="n"/>
      <c r="H174" s="22" t="n"/>
      <c r="I174" s="24" t="n"/>
      <c r="J174" s="22" t="n"/>
      <c r="K174" s="22" t="n"/>
      <c r="L174" s="22" t="n"/>
      <c r="M174" s="22" t="n"/>
      <c r="N174" s="22" t="n"/>
      <c r="O174" s="7">
        <f>IF(F174="","",F174&amp;"_"&amp;SUBSTITUTE(SUBSTITUTE(SUBSTITUTE(SUBSTITUTE(SUBSTITUTE(SUBSTITUTE(SUBSTITUTE(SUBSTITUTE(SUBSTITUTE(SUBSTITUTE(TRIM(G174)," ","-"),"/","-"),"\","-"),":","-"),"*","-"),"?","-"),"""","-"),"&lt;","-"),"&gt;","-"),"|","-")&amp;IF(H174="","","_Rev"&amp;H174))</f>
        <v/>
      </c>
      <c r="P174" s="7">
        <f>IF(D174="","",IF(L174="Superseded","99 Archive",IF(AND(D174="04",K174&lt;&gt;""),IFERROR(INDEX('Google Drive Map'!$B$4:$B$33,MATCH("04/"&amp;LEFT(K174,2),'Google Drive Map'!$A$4:$A$33,0)),"04 Trades &amp; Tenders/"&amp;K174),IFERROR(INDEX('Google Drive Map'!$B$4:$B$33,MATCH(D174,'Google Drive Map'!$A$4:$A$33,0)),""))))</f>
        <v/>
      </c>
      <c r="Q174" s="7">
        <f>IF(P174="","",IF(IFERROR(INDEX('Google Drive Map'!$G$4:$G$33,MATCH(P174,'Google Drive Map'!$B$4:$B$33,0))&amp;"","")="","",HYPERLINK(INDEX('Google Drive Map'!$G$4:$G$33,MATCH(P174,'Google Drive Map'!$B$4:$B$33,0)),"Open")))</f>
        <v/>
      </c>
      <c r="R174" s="7">
        <f>IF(AND(A174="",B174="",C174=""),"",TRIM(IF(AND(D174&lt;&gt;"",ISNA(MATCH(D174,'Google Drive Map'!$A$4:$A$33,0))),"Folder code isn't on the folder map. ","")&amp;IF(AND(C174&lt;&gt;"",NOT(ISNUMBER(C174))),"No. must be a whole number. ","")&amp;IF(AND(D174&lt;&gt;"",B174&lt;&gt;"",C174=""),"Type the next free no. ","")&amp;IF(AND(F174&lt;&gt;"",COUNTIF(F$4:F$303,F174)&gt;1),"Duplicate Doc ID. ","")))</f>
        <v/>
      </c>
      <c r="S174" s="22" t="n"/>
      <c r="T174" s="23" t="n"/>
    </row>
    <row r="175">
      <c r="A175" s="35" t="n"/>
      <c r="B175" s="22" t="n"/>
      <c r="C175" s="22" t="n"/>
      <c r="D175" s="7">
        <f>IF(A175="","",IF(ISNUMBER(A175),TEXT(A175,"00"),TRIM(A175)))</f>
        <v/>
      </c>
      <c r="E175" s="7">
        <f t="array" ref="E175">IF(OR(D175="",B175=""),"",MAX(IF((D$4:D$303=D175)*(B$4:B$303=B175)*ISNUMBER(C$4:C$303),C$4:C$303,0))+1)</f>
        <v/>
      </c>
      <c r="F175" s="7">
        <f>IF(OR(D175="",B175="",NOT(ISNUMBER(C175))),"",D175&amp;"-"&amp;B175&amp;"-"&amp;TEXT(C175,"000"))</f>
        <v/>
      </c>
      <c r="G175" s="23" t="n"/>
      <c r="H175" s="22" t="n"/>
      <c r="I175" s="24" t="n"/>
      <c r="J175" s="22" t="n"/>
      <c r="K175" s="22" t="n"/>
      <c r="L175" s="22" t="n"/>
      <c r="M175" s="22" t="n"/>
      <c r="N175" s="22" t="n"/>
      <c r="O175" s="7">
        <f>IF(F175="","",F175&amp;"_"&amp;SUBSTITUTE(SUBSTITUTE(SUBSTITUTE(SUBSTITUTE(SUBSTITUTE(SUBSTITUTE(SUBSTITUTE(SUBSTITUTE(SUBSTITUTE(SUBSTITUTE(TRIM(G175)," ","-"),"/","-"),"\","-"),":","-"),"*","-"),"?","-"),"""","-"),"&lt;","-"),"&gt;","-"),"|","-")&amp;IF(H175="","","_Rev"&amp;H175))</f>
        <v/>
      </c>
      <c r="P175" s="7">
        <f>IF(D175="","",IF(L175="Superseded","99 Archive",IF(AND(D175="04",K175&lt;&gt;""),IFERROR(INDEX('Google Drive Map'!$B$4:$B$33,MATCH("04/"&amp;LEFT(K175,2),'Google Drive Map'!$A$4:$A$33,0)),"04 Trades &amp; Tenders/"&amp;K175),IFERROR(INDEX('Google Drive Map'!$B$4:$B$33,MATCH(D175,'Google Drive Map'!$A$4:$A$33,0)),""))))</f>
        <v/>
      </c>
      <c r="Q175" s="7">
        <f>IF(P175="","",IF(IFERROR(INDEX('Google Drive Map'!$G$4:$G$33,MATCH(P175,'Google Drive Map'!$B$4:$B$33,0))&amp;"","")="","",HYPERLINK(INDEX('Google Drive Map'!$G$4:$G$33,MATCH(P175,'Google Drive Map'!$B$4:$B$33,0)),"Open")))</f>
        <v/>
      </c>
      <c r="R175" s="7">
        <f>IF(AND(A175="",B175="",C175=""),"",TRIM(IF(AND(D175&lt;&gt;"",ISNA(MATCH(D175,'Google Drive Map'!$A$4:$A$33,0))),"Folder code isn't on the folder map. ","")&amp;IF(AND(C175&lt;&gt;"",NOT(ISNUMBER(C175))),"No. must be a whole number. ","")&amp;IF(AND(D175&lt;&gt;"",B175&lt;&gt;"",C175=""),"Type the next free no. ","")&amp;IF(AND(F175&lt;&gt;"",COUNTIF(F$4:F$303,F175)&gt;1),"Duplicate Doc ID. ","")))</f>
        <v/>
      </c>
      <c r="S175" s="22" t="n"/>
      <c r="T175" s="23" t="n"/>
    </row>
    <row r="176">
      <c r="A176" s="35" t="n"/>
      <c r="B176" s="22" t="n"/>
      <c r="C176" s="22" t="n"/>
      <c r="D176" s="7">
        <f>IF(A176="","",IF(ISNUMBER(A176),TEXT(A176,"00"),TRIM(A176)))</f>
        <v/>
      </c>
      <c r="E176" s="7">
        <f t="array" ref="E176">IF(OR(D176="",B176=""),"",MAX(IF((D$4:D$303=D176)*(B$4:B$303=B176)*ISNUMBER(C$4:C$303),C$4:C$303,0))+1)</f>
        <v/>
      </c>
      <c r="F176" s="7">
        <f>IF(OR(D176="",B176="",NOT(ISNUMBER(C176))),"",D176&amp;"-"&amp;B176&amp;"-"&amp;TEXT(C176,"000"))</f>
        <v/>
      </c>
      <c r="G176" s="23" t="n"/>
      <c r="H176" s="22" t="n"/>
      <c r="I176" s="24" t="n"/>
      <c r="J176" s="22" t="n"/>
      <c r="K176" s="22" t="n"/>
      <c r="L176" s="22" t="n"/>
      <c r="M176" s="22" t="n"/>
      <c r="N176" s="22" t="n"/>
      <c r="O176" s="7">
        <f>IF(F176="","",F176&amp;"_"&amp;SUBSTITUTE(SUBSTITUTE(SUBSTITUTE(SUBSTITUTE(SUBSTITUTE(SUBSTITUTE(SUBSTITUTE(SUBSTITUTE(SUBSTITUTE(SUBSTITUTE(TRIM(G176)," ","-"),"/","-"),"\","-"),":","-"),"*","-"),"?","-"),"""","-"),"&lt;","-"),"&gt;","-"),"|","-")&amp;IF(H176="","","_Rev"&amp;H176))</f>
        <v/>
      </c>
      <c r="P176" s="7">
        <f>IF(D176="","",IF(L176="Superseded","99 Archive",IF(AND(D176="04",K176&lt;&gt;""),IFERROR(INDEX('Google Drive Map'!$B$4:$B$33,MATCH("04/"&amp;LEFT(K176,2),'Google Drive Map'!$A$4:$A$33,0)),"04 Trades &amp; Tenders/"&amp;K176),IFERROR(INDEX('Google Drive Map'!$B$4:$B$33,MATCH(D176,'Google Drive Map'!$A$4:$A$33,0)),""))))</f>
        <v/>
      </c>
      <c r="Q176" s="7">
        <f>IF(P176="","",IF(IFERROR(INDEX('Google Drive Map'!$G$4:$G$33,MATCH(P176,'Google Drive Map'!$B$4:$B$33,0))&amp;"","")="","",HYPERLINK(INDEX('Google Drive Map'!$G$4:$G$33,MATCH(P176,'Google Drive Map'!$B$4:$B$33,0)),"Open")))</f>
        <v/>
      </c>
      <c r="R176" s="7">
        <f>IF(AND(A176="",B176="",C176=""),"",TRIM(IF(AND(D176&lt;&gt;"",ISNA(MATCH(D176,'Google Drive Map'!$A$4:$A$33,0))),"Folder code isn't on the folder map. ","")&amp;IF(AND(C176&lt;&gt;"",NOT(ISNUMBER(C176))),"No. must be a whole number. ","")&amp;IF(AND(D176&lt;&gt;"",B176&lt;&gt;"",C176=""),"Type the next free no. ","")&amp;IF(AND(F176&lt;&gt;"",COUNTIF(F$4:F$303,F176)&gt;1),"Duplicate Doc ID. ","")))</f>
        <v/>
      </c>
      <c r="S176" s="22" t="n"/>
      <c r="T176" s="23" t="n"/>
    </row>
    <row r="177">
      <c r="A177" s="35" t="n"/>
      <c r="B177" s="22" t="n"/>
      <c r="C177" s="22" t="n"/>
      <c r="D177" s="7">
        <f>IF(A177="","",IF(ISNUMBER(A177),TEXT(A177,"00"),TRIM(A177)))</f>
        <v/>
      </c>
      <c r="E177" s="7">
        <f t="array" ref="E177">IF(OR(D177="",B177=""),"",MAX(IF((D$4:D$303=D177)*(B$4:B$303=B177)*ISNUMBER(C$4:C$303),C$4:C$303,0))+1)</f>
        <v/>
      </c>
      <c r="F177" s="7">
        <f>IF(OR(D177="",B177="",NOT(ISNUMBER(C177))),"",D177&amp;"-"&amp;B177&amp;"-"&amp;TEXT(C177,"000"))</f>
        <v/>
      </c>
      <c r="G177" s="23" t="n"/>
      <c r="H177" s="22" t="n"/>
      <c r="I177" s="24" t="n"/>
      <c r="J177" s="22" t="n"/>
      <c r="K177" s="22" t="n"/>
      <c r="L177" s="22" t="n"/>
      <c r="M177" s="22" t="n"/>
      <c r="N177" s="22" t="n"/>
      <c r="O177" s="7">
        <f>IF(F177="","",F177&amp;"_"&amp;SUBSTITUTE(SUBSTITUTE(SUBSTITUTE(SUBSTITUTE(SUBSTITUTE(SUBSTITUTE(SUBSTITUTE(SUBSTITUTE(SUBSTITUTE(SUBSTITUTE(TRIM(G177)," ","-"),"/","-"),"\","-"),":","-"),"*","-"),"?","-"),"""","-"),"&lt;","-"),"&gt;","-"),"|","-")&amp;IF(H177="","","_Rev"&amp;H177))</f>
        <v/>
      </c>
      <c r="P177" s="7">
        <f>IF(D177="","",IF(L177="Superseded","99 Archive",IF(AND(D177="04",K177&lt;&gt;""),IFERROR(INDEX('Google Drive Map'!$B$4:$B$33,MATCH("04/"&amp;LEFT(K177,2),'Google Drive Map'!$A$4:$A$33,0)),"04 Trades &amp; Tenders/"&amp;K177),IFERROR(INDEX('Google Drive Map'!$B$4:$B$33,MATCH(D177,'Google Drive Map'!$A$4:$A$33,0)),""))))</f>
        <v/>
      </c>
      <c r="Q177" s="7">
        <f>IF(P177="","",IF(IFERROR(INDEX('Google Drive Map'!$G$4:$G$33,MATCH(P177,'Google Drive Map'!$B$4:$B$33,0))&amp;"","")="","",HYPERLINK(INDEX('Google Drive Map'!$G$4:$G$33,MATCH(P177,'Google Drive Map'!$B$4:$B$33,0)),"Open")))</f>
        <v/>
      </c>
      <c r="R177" s="7">
        <f>IF(AND(A177="",B177="",C177=""),"",TRIM(IF(AND(D177&lt;&gt;"",ISNA(MATCH(D177,'Google Drive Map'!$A$4:$A$33,0))),"Folder code isn't on the folder map. ","")&amp;IF(AND(C177&lt;&gt;"",NOT(ISNUMBER(C177))),"No. must be a whole number. ","")&amp;IF(AND(D177&lt;&gt;"",B177&lt;&gt;"",C177=""),"Type the next free no. ","")&amp;IF(AND(F177&lt;&gt;"",COUNTIF(F$4:F$303,F177)&gt;1),"Duplicate Doc ID. ","")))</f>
        <v/>
      </c>
      <c r="S177" s="22" t="n"/>
      <c r="T177" s="23" t="n"/>
    </row>
    <row r="178">
      <c r="A178" s="35" t="n"/>
      <c r="B178" s="22" t="n"/>
      <c r="C178" s="22" t="n"/>
      <c r="D178" s="7">
        <f>IF(A178="","",IF(ISNUMBER(A178),TEXT(A178,"00"),TRIM(A178)))</f>
        <v/>
      </c>
      <c r="E178" s="7">
        <f t="array" ref="E178">IF(OR(D178="",B178=""),"",MAX(IF((D$4:D$303=D178)*(B$4:B$303=B178)*ISNUMBER(C$4:C$303),C$4:C$303,0))+1)</f>
        <v/>
      </c>
      <c r="F178" s="7">
        <f>IF(OR(D178="",B178="",NOT(ISNUMBER(C178))),"",D178&amp;"-"&amp;B178&amp;"-"&amp;TEXT(C178,"000"))</f>
        <v/>
      </c>
      <c r="G178" s="23" t="n"/>
      <c r="H178" s="22" t="n"/>
      <c r="I178" s="24" t="n"/>
      <c r="J178" s="22" t="n"/>
      <c r="K178" s="22" t="n"/>
      <c r="L178" s="22" t="n"/>
      <c r="M178" s="22" t="n"/>
      <c r="N178" s="22" t="n"/>
      <c r="O178" s="7">
        <f>IF(F178="","",F178&amp;"_"&amp;SUBSTITUTE(SUBSTITUTE(SUBSTITUTE(SUBSTITUTE(SUBSTITUTE(SUBSTITUTE(SUBSTITUTE(SUBSTITUTE(SUBSTITUTE(SUBSTITUTE(TRIM(G178)," ","-"),"/","-"),"\","-"),":","-"),"*","-"),"?","-"),"""","-"),"&lt;","-"),"&gt;","-"),"|","-")&amp;IF(H178="","","_Rev"&amp;H178))</f>
        <v/>
      </c>
      <c r="P178" s="7">
        <f>IF(D178="","",IF(L178="Superseded","99 Archive",IF(AND(D178="04",K178&lt;&gt;""),IFERROR(INDEX('Google Drive Map'!$B$4:$B$33,MATCH("04/"&amp;LEFT(K178,2),'Google Drive Map'!$A$4:$A$33,0)),"04 Trades &amp; Tenders/"&amp;K178),IFERROR(INDEX('Google Drive Map'!$B$4:$B$33,MATCH(D178,'Google Drive Map'!$A$4:$A$33,0)),""))))</f>
        <v/>
      </c>
      <c r="Q178" s="7">
        <f>IF(P178="","",IF(IFERROR(INDEX('Google Drive Map'!$G$4:$G$33,MATCH(P178,'Google Drive Map'!$B$4:$B$33,0))&amp;"","")="","",HYPERLINK(INDEX('Google Drive Map'!$G$4:$G$33,MATCH(P178,'Google Drive Map'!$B$4:$B$33,0)),"Open")))</f>
        <v/>
      </c>
      <c r="R178" s="7">
        <f>IF(AND(A178="",B178="",C178=""),"",TRIM(IF(AND(D178&lt;&gt;"",ISNA(MATCH(D178,'Google Drive Map'!$A$4:$A$33,0))),"Folder code isn't on the folder map. ","")&amp;IF(AND(C178&lt;&gt;"",NOT(ISNUMBER(C178))),"No. must be a whole number. ","")&amp;IF(AND(D178&lt;&gt;"",B178&lt;&gt;"",C178=""),"Type the next free no. ","")&amp;IF(AND(F178&lt;&gt;"",COUNTIF(F$4:F$303,F178)&gt;1),"Duplicate Doc ID. ","")))</f>
        <v/>
      </c>
      <c r="S178" s="22" t="n"/>
      <c r="T178" s="23" t="n"/>
    </row>
    <row r="179">
      <c r="A179" s="35" t="n"/>
      <c r="B179" s="22" t="n"/>
      <c r="C179" s="22" t="n"/>
      <c r="D179" s="7">
        <f>IF(A179="","",IF(ISNUMBER(A179),TEXT(A179,"00"),TRIM(A179)))</f>
        <v/>
      </c>
      <c r="E179" s="7">
        <f t="array" ref="E179">IF(OR(D179="",B179=""),"",MAX(IF((D$4:D$303=D179)*(B$4:B$303=B179)*ISNUMBER(C$4:C$303),C$4:C$303,0))+1)</f>
        <v/>
      </c>
      <c r="F179" s="7">
        <f>IF(OR(D179="",B179="",NOT(ISNUMBER(C179))),"",D179&amp;"-"&amp;B179&amp;"-"&amp;TEXT(C179,"000"))</f>
        <v/>
      </c>
      <c r="G179" s="23" t="n"/>
      <c r="H179" s="22" t="n"/>
      <c r="I179" s="24" t="n"/>
      <c r="J179" s="22" t="n"/>
      <c r="K179" s="22" t="n"/>
      <c r="L179" s="22" t="n"/>
      <c r="M179" s="22" t="n"/>
      <c r="N179" s="22" t="n"/>
      <c r="O179" s="7">
        <f>IF(F179="","",F179&amp;"_"&amp;SUBSTITUTE(SUBSTITUTE(SUBSTITUTE(SUBSTITUTE(SUBSTITUTE(SUBSTITUTE(SUBSTITUTE(SUBSTITUTE(SUBSTITUTE(SUBSTITUTE(TRIM(G179)," ","-"),"/","-"),"\","-"),":","-"),"*","-"),"?","-"),"""","-"),"&lt;","-"),"&gt;","-"),"|","-")&amp;IF(H179="","","_Rev"&amp;H179))</f>
        <v/>
      </c>
      <c r="P179" s="7">
        <f>IF(D179="","",IF(L179="Superseded","99 Archive",IF(AND(D179="04",K179&lt;&gt;""),IFERROR(INDEX('Google Drive Map'!$B$4:$B$33,MATCH("04/"&amp;LEFT(K179,2),'Google Drive Map'!$A$4:$A$33,0)),"04 Trades &amp; Tenders/"&amp;K179),IFERROR(INDEX('Google Drive Map'!$B$4:$B$33,MATCH(D179,'Google Drive Map'!$A$4:$A$33,0)),""))))</f>
        <v/>
      </c>
      <c r="Q179" s="7">
        <f>IF(P179="","",IF(IFERROR(INDEX('Google Drive Map'!$G$4:$G$33,MATCH(P179,'Google Drive Map'!$B$4:$B$33,0))&amp;"","")="","",HYPERLINK(INDEX('Google Drive Map'!$G$4:$G$33,MATCH(P179,'Google Drive Map'!$B$4:$B$33,0)),"Open")))</f>
        <v/>
      </c>
      <c r="R179" s="7">
        <f>IF(AND(A179="",B179="",C179=""),"",TRIM(IF(AND(D179&lt;&gt;"",ISNA(MATCH(D179,'Google Drive Map'!$A$4:$A$33,0))),"Folder code isn't on the folder map. ","")&amp;IF(AND(C179&lt;&gt;"",NOT(ISNUMBER(C179))),"No. must be a whole number. ","")&amp;IF(AND(D179&lt;&gt;"",B179&lt;&gt;"",C179=""),"Type the next free no. ","")&amp;IF(AND(F179&lt;&gt;"",COUNTIF(F$4:F$303,F179)&gt;1),"Duplicate Doc ID. ","")))</f>
        <v/>
      </c>
      <c r="S179" s="22" t="n"/>
      <c r="T179" s="23" t="n"/>
    </row>
    <row r="180">
      <c r="A180" s="35" t="n"/>
      <c r="B180" s="22" t="n"/>
      <c r="C180" s="22" t="n"/>
      <c r="D180" s="7">
        <f>IF(A180="","",IF(ISNUMBER(A180),TEXT(A180,"00"),TRIM(A180)))</f>
        <v/>
      </c>
      <c r="E180" s="7">
        <f t="array" ref="E180">IF(OR(D180="",B180=""),"",MAX(IF((D$4:D$303=D180)*(B$4:B$303=B180)*ISNUMBER(C$4:C$303),C$4:C$303,0))+1)</f>
        <v/>
      </c>
      <c r="F180" s="7">
        <f>IF(OR(D180="",B180="",NOT(ISNUMBER(C180))),"",D180&amp;"-"&amp;B180&amp;"-"&amp;TEXT(C180,"000"))</f>
        <v/>
      </c>
      <c r="G180" s="23" t="n"/>
      <c r="H180" s="22" t="n"/>
      <c r="I180" s="24" t="n"/>
      <c r="J180" s="22" t="n"/>
      <c r="K180" s="22" t="n"/>
      <c r="L180" s="22" t="n"/>
      <c r="M180" s="22" t="n"/>
      <c r="N180" s="22" t="n"/>
      <c r="O180" s="7">
        <f>IF(F180="","",F180&amp;"_"&amp;SUBSTITUTE(SUBSTITUTE(SUBSTITUTE(SUBSTITUTE(SUBSTITUTE(SUBSTITUTE(SUBSTITUTE(SUBSTITUTE(SUBSTITUTE(SUBSTITUTE(TRIM(G180)," ","-"),"/","-"),"\","-"),":","-"),"*","-"),"?","-"),"""","-"),"&lt;","-"),"&gt;","-"),"|","-")&amp;IF(H180="","","_Rev"&amp;H180))</f>
        <v/>
      </c>
      <c r="P180" s="7">
        <f>IF(D180="","",IF(L180="Superseded","99 Archive",IF(AND(D180="04",K180&lt;&gt;""),IFERROR(INDEX('Google Drive Map'!$B$4:$B$33,MATCH("04/"&amp;LEFT(K180,2),'Google Drive Map'!$A$4:$A$33,0)),"04 Trades &amp; Tenders/"&amp;K180),IFERROR(INDEX('Google Drive Map'!$B$4:$B$33,MATCH(D180,'Google Drive Map'!$A$4:$A$33,0)),""))))</f>
        <v/>
      </c>
      <c r="Q180" s="7">
        <f>IF(P180="","",IF(IFERROR(INDEX('Google Drive Map'!$G$4:$G$33,MATCH(P180,'Google Drive Map'!$B$4:$B$33,0))&amp;"","")="","",HYPERLINK(INDEX('Google Drive Map'!$G$4:$G$33,MATCH(P180,'Google Drive Map'!$B$4:$B$33,0)),"Open")))</f>
        <v/>
      </c>
      <c r="R180" s="7">
        <f>IF(AND(A180="",B180="",C180=""),"",TRIM(IF(AND(D180&lt;&gt;"",ISNA(MATCH(D180,'Google Drive Map'!$A$4:$A$33,0))),"Folder code isn't on the folder map. ","")&amp;IF(AND(C180&lt;&gt;"",NOT(ISNUMBER(C180))),"No. must be a whole number. ","")&amp;IF(AND(D180&lt;&gt;"",B180&lt;&gt;"",C180=""),"Type the next free no. ","")&amp;IF(AND(F180&lt;&gt;"",COUNTIF(F$4:F$303,F180)&gt;1),"Duplicate Doc ID. ","")))</f>
        <v/>
      </c>
      <c r="S180" s="22" t="n"/>
      <c r="T180" s="23" t="n"/>
    </row>
    <row r="181">
      <c r="A181" s="35" t="n"/>
      <c r="B181" s="22" t="n"/>
      <c r="C181" s="22" t="n"/>
      <c r="D181" s="7">
        <f>IF(A181="","",IF(ISNUMBER(A181),TEXT(A181,"00"),TRIM(A181)))</f>
        <v/>
      </c>
      <c r="E181" s="7">
        <f t="array" ref="E181">IF(OR(D181="",B181=""),"",MAX(IF((D$4:D$303=D181)*(B$4:B$303=B181)*ISNUMBER(C$4:C$303),C$4:C$303,0))+1)</f>
        <v/>
      </c>
      <c r="F181" s="7">
        <f>IF(OR(D181="",B181="",NOT(ISNUMBER(C181))),"",D181&amp;"-"&amp;B181&amp;"-"&amp;TEXT(C181,"000"))</f>
        <v/>
      </c>
      <c r="G181" s="23" t="n"/>
      <c r="H181" s="22" t="n"/>
      <c r="I181" s="24" t="n"/>
      <c r="J181" s="22" t="n"/>
      <c r="K181" s="22" t="n"/>
      <c r="L181" s="22" t="n"/>
      <c r="M181" s="22" t="n"/>
      <c r="N181" s="22" t="n"/>
      <c r="O181" s="7">
        <f>IF(F181="","",F181&amp;"_"&amp;SUBSTITUTE(SUBSTITUTE(SUBSTITUTE(SUBSTITUTE(SUBSTITUTE(SUBSTITUTE(SUBSTITUTE(SUBSTITUTE(SUBSTITUTE(SUBSTITUTE(TRIM(G181)," ","-"),"/","-"),"\","-"),":","-"),"*","-"),"?","-"),"""","-"),"&lt;","-"),"&gt;","-"),"|","-")&amp;IF(H181="","","_Rev"&amp;H181))</f>
        <v/>
      </c>
      <c r="P181" s="7">
        <f>IF(D181="","",IF(L181="Superseded","99 Archive",IF(AND(D181="04",K181&lt;&gt;""),IFERROR(INDEX('Google Drive Map'!$B$4:$B$33,MATCH("04/"&amp;LEFT(K181,2),'Google Drive Map'!$A$4:$A$33,0)),"04 Trades &amp; Tenders/"&amp;K181),IFERROR(INDEX('Google Drive Map'!$B$4:$B$33,MATCH(D181,'Google Drive Map'!$A$4:$A$33,0)),""))))</f>
        <v/>
      </c>
      <c r="Q181" s="7">
        <f>IF(P181="","",IF(IFERROR(INDEX('Google Drive Map'!$G$4:$G$33,MATCH(P181,'Google Drive Map'!$B$4:$B$33,0))&amp;"","")="","",HYPERLINK(INDEX('Google Drive Map'!$G$4:$G$33,MATCH(P181,'Google Drive Map'!$B$4:$B$33,0)),"Open")))</f>
        <v/>
      </c>
      <c r="R181" s="7">
        <f>IF(AND(A181="",B181="",C181=""),"",TRIM(IF(AND(D181&lt;&gt;"",ISNA(MATCH(D181,'Google Drive Map'!$A$4:$A$33,0))),"Folder code isn't on the folder map. ","")&amp;IF(AND(C181&lt;&gt;"",NOT(ISNUMBER(C181))),"No. must be a whole number. ","")&amp;IF(AND(D181&lt;&gt;"",B181&lt;&gt;"",C181=""),"Type the next free no. ","")&amp;IF(AND(F181&lt;&gt;"",COUNTIF(F$4:F$303,F181)&gt;1),"Duplicate Doc ID. ","")))</f>
        <v/>
      </c>
      <c r="S181" s="22" t="n"/>
      <c r="T181" s="23" t="n"/>
    </row>
    <row r="182">
      <c r="A182" s="35" t="n"/>
      <c r="B182" s="22" t="n"/>
      <c r="C182" s="22" t="n"/>
      <c r="D182" s="7">
        <f>IF(A182="","",IF(ISNUMBER(A182),TEXT(A182,"00"),TRIM(A182)))</f>
        <v/>
      </c>
      <c r="E182" s="7">
        <f t="array" ref="E182">IF(OR(D182="",B182=""),"",MAX(IF((D$4:D$303=D182)*(B$4:B$303=B182)*ISNUMBER(C$4:C$303),C$4:C$303,0))+1)</f>
        <v/>
      </c>
      <c r="F182" s="7">
        <f>IF(OR(D182="",B182="",NOT(ISNUMBER(C182))),"",D182&amp;"-"&amp;B182&amp;"-"&amp;TEXT(C182,"000"))</f>
        <v/>
      </c>
      <c r="G182" s="23" t="n"/>
      <c r="H182" s="22" t="n"/>
      <c r="I182" s="24" t="n"/>
      <c r="J182" s="22" t="n"/>
      <c r="K182" s="22" t="n"/>
      <c r="L182" s="22" t="n"/>
      <c r="M182" s="22" t="n"/>
      <c r="N182" s="22" t="n"/>
      <c r="O182" s="7">
        <f>IF(F182="","",F182&amp;"_"&amp;SUBSTITUTE(SUBSTITUTE(SUBSTITUTE(SUBSTITUTE(SUBSTITUTE(SUBSTITUTE(SUBSTITUTE(SUBSTITUTE(SUBSTITUTE(SUBSTITUTE(TRIM(G182)," ","-"),"/","-"),"\","-"),":","-"),"*","-"),"?","-"),"""","-"),"&lt;","-"),"&gt;","-"),"|","-")&amp;IF(H182="","","_Rev"&amp;H182))</f>
        <v/>
      </c>
      <c r="P182" s="7">
        <f>IF(D182="","",IF(L182="Superseded","99 Archive",IF(AND(D182="04",K182&lt;&gt;""),IFERROR(INDEX('Google Drive Map'!$B$4:$B$33,MATCH("04/"&amp;LEFT(K182,2),'Google Drive Map'!$A$4:$A$33,0)),"04 Trades &amp; Tenders/"&amp;K182),IFERROR(INDEX('Google Drive Map'!$B$4:$B$33,MATCH(D182,'Google Drive Map'!$A$4:$A$33,0)),""))))</f>
        <v/>
      </c>
      <c r="Q182" s="7">
        <f>IF(P182="","",IF(IFERROR(INDEX('Google Drive Map'!$G$4:$G$33,MATCH(P182,'Google Drive Map'!$B$4:$B$33,0))&amp;"","")="","",HYPERLINK(INDEX('Google Drive Map'!$G$4:$G$33,MATCH(P182,'Google Drive Map'!$B$4:$B$33,0)),"Open")))</f>
        <v/>
      </c>
      <c r="R182" s="7">
        <f>IF(AND(A182="",B182="",C182=""),"",TRIM(IF(AND(D182&lt;&gt;"",ISNA(MATCH(D182,'Google Drive Map'!$A$4:$A$33,0))),"Folder code isn't on the folder map. ","")&amp;IF(AND(C182&lt;&gt;"",NOT(ISNUMBER(C182))),"No. must be a whole number. ","")&amp;IF(AND(D182&lt;&gt;"",B182&lt;&gt;"",C182=""),"Type the next free no. ","")&amp;IF(AND(F182&lt;&gt;"",COUNTIF(F$4:F$303,F182)&gt;1),"Duplicate Doc ID. ","")))</f>
        <v/>
      </c>
      <c r="S182" s="22" t="n"/>
      <c r="T182" s="23" t="n"/>
    </row>
    <row r="183">
      <c r="A183" s="35" t="n"/>
      <c r="B183" s="22" t="n"/>
      <c r="C183" s="22" t="n"/>
      <c r="D183" s="7">
        <f>IF(A183="","",IF(ISNUMBER(A183),TEXT(A183,"00"),TRIM(A183)))</f>
        <v/>
      </c>
      <c r="E183" s="7">
        <f t="array" ref="E183">IF(OR(D183="",B183=""),"",MAX(IF((D$4:D$303=D183)*(B$4:B$303=B183)*ISNUMBER(C$4:C$303),C$4:C$303,0))+1)</f>
        <v/>
      </c>
      <c r="F183" s="7">
        <f>IF(OR(D183="",B183="",NOT(ISNUMBER(C183))),"",D183&amp;"-"&amp;B183&amp;"-"&amp;TEXT(C183,"000"))</f>
        <v/>
      </c>
      <c r="G183" s="23" t="n"/>
      <c r="H183" s="22" t="n"/>
      <c r="I183" s="24" t="n"/>
      <c r="J183" s="22" t="n"/>
      <c r="K183" s="22" t="n"/>
      <c r="L183" s="22" t="n"/>
      <c r="M183" s="22" t="n"/>
      <c r="N183" s="22" t="n"/>
      <c r="O183" s="7">
        <f>IF(F183="","",F183&amp;"_"&amp;SUBSTITUTE(SUBSTITUTE(SUBSTITUTE(SUBSTITUTE(SUBSTITUTE(SUBSTITUTE(SUBSTITUTE(SUBSTITUTE(SUBSTITUTE(SUBSTITUTE(TRIM(G183)," ","-"),"/","-"),"\","-"),":","-"),"*","-"),"?","-"),"""","-"),"&lt;","-"),"&gt;","-"),"|","-")&amp;IF(H183="","","_Rev"&amp;H183))</f>
        <v/>
      </c>
      <c r="P183" s="7">
        <f>IF(D183="","",IF(L183="Superseded","99 Archive",IF(AND(D183="04",K183&lt;&gt;""),IFERROR(INDEX('Google Drive Map'!$B$4:$B$33,MATCH("04/"&amp;LEFT(K183,2),'Google Drive Map'!$A$4:$A$33,0)),"04 Trades &amp; Tenders/"&amp;K183),IFERROR(INDEX('Google Drive Map'!$B$4:$B$33,MATCH(D183,'Google Drive Map'!$A$4:$A$33,0)),""))))</f>
        <v/>
      </c>
      <c r="Q183" s="7">
        <f>IF(P183="","",IF(IFERROR(INDEX('Google Drive Map'!$G$4:$G$33,MATCH(P183,'Google Drive Map'!$B$4:$B$33,0))&amp;"","")="","",HYPERLINK(INDEX('Google Drive Map'!$G$4:$G$33,MATCH(P183,'Google Drive Map'!$B$4:$B$33,0)),"Open")))</f>
        <v/>
      </c>
      <c r="R183" s="7">
        <f>IF(AND(A183="",B183="",C183=""),"",TRIM(IF(AND(D183&lt;&gt;"",ISNA(MATCH(D183,'Google Drive Map'!$A$4:$A$33,0))),"Folder code isn't on the folder map. ","")&amp;IF(AND(C183&lt;&gt;"",NOT(ISNUMBER(C183))),"No. must be a whole number. ","")&amp;IF(AND(D183&lt;&gt;"",B183&lt;&gt;"",C183=""),"Type the next free no. ","")&amp;IF(AND(F183&lt;&gt;"",COUNTIF(F$4:F$303,F183)&gt;1),"Duplicate Doc ID. ","")))</f>
        <v/>
      </c>
      <c r="S183" s="22" t="n"/>
      <c r="T183" s="23" t="n"/>
    </row>
    <row r="184">
      <c r="A184" s="35" t="n"/>
      <c r="B184" s="22" t="n"/>
      <c r="C184" s="22" t="n"/>
      <c r="D184" s="7">
        <f>IF(A184="","",IF(ISNUMBER(A184),TEXT(A184,"00"),TRIM(A184)))</f>
        <v/>
      </c>
      <c r="E184" s="7">
        <f t="array" ref="E184">IF(OR(D184="",B184=""),"",MAX(IF((D$4:D$303=D184)*(B$4:B$303=B184)*ISNUMBER(C$4:C$303),C$4:C$303,0))+1)</f>
        <v/>
      </c>
      <c r="F184" s="7">
        <f>IF(OR(D184="",B184="",NOT(ISNUMBER(C184))),"",D184&amp;"-"&amp;B184&amp;"-"&amp;TEXT(C184,"000"))</f>
        <v/>
      </c>
      <c r="G184" s="23" t="n"/>
      <c r="H184" s="22" t="n"/>
      <c r="I184" s="24" t="n"/>
      <c r="J184" s="22" t="n"/>
      <c r="K184" s="22" t="n"/>
      <c r="L184" s="22" t="n"/>
      <c r="M184" s="22" t="n"/>
      <c r="N184" s="22" t="n"/>
      <c r="O184" s="7">
        <f>IF(F184="","",F184&amp;"_"&amp;SUBSTITUTE(SUBSTITUTE(SUBSTITUTE(SUBSTITUTE(SUBSTITUTE(SUBSTITUTE(SUBSTITUTE(SUBSTITUTE(SUBSTITUTE(SUBSTITUTE(TRIM(G184)," ","-"),"/","-"),"\","-"),":","-"),"*","-"),"?","-"),"""","-"),"&lt;","-"),"&gt;","-"),"|","-")&amp;IF(H184="","","_Rev"&amp;H184))</f>
        <v/>
      </c>
      <c r="P184" s="7">
        <f>IF(D184="","",IF(L184="Superseded","99 Archive",IF(AND(D184="04",K184&lt;&gt;""),IFERROR(INDEX('Google Drive Map'!$B$4:$B$33,MATCH("04/"&amp;LEFT(K184,2),'Google Drive Map'!$A$4:$A$33,0)),"04 Trades &amp; Tenders/"&amp;K184),IFERROR(INDEX('Google Drive Map'!$B$4:$B$33,MATCH(D184,'Google Drive Map'!$A$4:$A$33,0)),""))))</f>
        <v/>
      </c>
      <c r="Q184" s="7">
        <f>IF(P184="","",IF(IFERROR(INDEX('Google Drive Map'!$G$4:$G$33,MATCH(P184,'Google Drive Map'!$B$4:$B$33,0))&amp;"","")="","",HYPERLINK(INDEX('Google Drive Map'!$G$4:$G$33,MATCH(P184,'Google Drive Map'!$B$4:$B$33,0)),"Open")))</f>
        <v/>
      </c>
      <c r="R184" s="7">
        <f>IF(AND(A184="",B184="",C184=""),"",TRIM(IF(AND(D184&lt;&gt;"",ISNA(MATCH(D184,'Google Drive Map'!$A$4:$A$33,0))),"Folder code isn't on the folder map. ","")&amp;IF(AND(C184&lt;&gt;"",NOT(ISNUMBER(C184))),"No. must be a whole number. ","")&amp;IF(AND(D184&lt;&gt;"",B184&lt;&gt;"",C184=""),"Type the next free no. ","")&amp;IF(AND(F184&lt;&gt;"",COUNTIF(F$4:F$303,F184)&gt;1),"Duplicate Doc ID. ","")))</f>
        <v/>
      </c>
      <c r="S184" s="22" t="n"/>
      <c r="T184" s="23" t="n"/>
    </row>
    <row r="185">
      <c r="A185" s="35" t="n"/>
      <c r="B185" s="22" t="n"/>
      <c r="C185" s="22" t="n"/>
      <c r="D185" s="7">
        <f>IF(A185="","",IF(ISNUMBER(A185),TEXT(A185,"00"),TRIM(A185)))</f>
        <v/>
      </c>
      <c r="E185" s="7">
        <f t="array" ref="E185">IF(OR(D185="",B185=""),"",MAX(IF((D$4:D$303=D185)*(B$4:B$303=B185)*ISNUMBER(C$4:C$303),C$4:C$303,0))+1)</f>
        <v/>
      </c>
      <c r="F185" s="7">
        <f>IF(OR(D185="",B185="",NOT(ISNUMBER(C185))),"",D185&amp;"-"&amp;B185&amp;"-"&amp;TEXT(C185,"000"))</f>
        <v/>
      </c>
      <c r="G185" s="23" t="n"/>
      <c r="H185" s="22" t="n"/>
      <c r="I185" s="24" t="n"/>
      <c r="J185" s="22" t="n"/>
      <c r="K185" s="22" t="n"/>
      <c r="L185" s="22" t="n"/>
      <c r="M185" s="22" t="n"/>
      <c r="N185" s="22" t="n"/>
      <c r="O185" s="7">
        <f>IF(F185="","",F185&amp;"_"&amp;SUBSTITUTE(SUBSTITUTE(SUBSTITUTE(SUBSTITUTE(SUBSTITUTE(SUBSTITUTE(SUBSTITUTE(SUBSTITUTE(SUBSTITUTE(SUBSTITUTE(TRIM(G185)," ","-"),"/","-"),"\","-"),":","-"),"*","-"),"?","-"),"""","-"),"&lt;","-"),"&gt;","-"),"|","-")&amp;IF(H185="","","_Rev"&amp;H185))</f>
        <v/>
      </c>
      <c r="P185" s="7">
        <f>IF(D185="","",IF(L185="Superseded","99 Archive",IF(AND(D185="04",K185&lt;&gt;""),IFERROR(INDEX('Google Drive Map'!$B$4:$B$33,MATCH("04/"&amp;LEFT(K185,2),'Google Drive Map'!$A$4:$A$33,0)),"04 Trades &amp; Tenders/"&amp;K185),IFERROR(INDEX('Google Drive Map'!$B$4:$B$33,MATCH(D185,'Google Drive Map'!$A$4:$A$33,0)),""))))</f>
        <v/>
      </c>
      <c r="Q185" s="7">
        <f>IF(P185="","",IF(IFERROR(INDEX('Google Drive Map'!$G$4:$G$33,MATCH(P185,'Google Drive Map'!$B$4:$B$33,0))&amp;"","")="","",HYPERLINK(INDEX('Google Drive Map'!$G$4:$G$33,MATCH(P185,'Google Drive Map'!$B$4:$B$33,0)),"Open")))</f>
        <v/>
      </c>
      <c r="R185" s="7">
        <f>IF(AND(A185="",B185="",C185=""),"",TRIM(IF(AND(D185&lt;&gt;"",ISNA(MATCH(D185,'Google Drive Map'!$A$4:$A$33,0))),"Folder code isn't on the folder map. ","")&amp;IF(AND(C185&lt;&gt;"",NOT(ISNUMBER(C185))),"No. must be a whole number. ","")&amp;IF(AND(D185&lt;&gt;"",B185&lt;&gt;"",C185=""),"Type the next free no. ","")&amp;IF(AND(F185&lt;&gt;"",COUNTIF(F$4:F$303,F185)&gt;1),"Duplicate Doc ID. ","")))</f>
        <v/>
      </c>
      <c r="S185" s="22" t="n"/>
      <c r="T185" s="23" t="n"/>
    </row>
    <row r="186">
      <c r="A186" s="35" t="n"/>
      <c r="B186" s="22" t="n"/>
      <c r="C186" s="22" t="n"/>
      <c r="D186" s="7">
        <f>IF(A186="","",IF(ISNUMBER(A186),TEXT(A186,"00"),TRIM(A186)))</f>
        <v/>
      </c>
      <c r="E186" s="7">
        <f t="array" ref="E186">IF(OR(D186="",B186=""),"",MAX(IF((D$4:D$303=D186)*(B$4:B$303=B186)*ISNUMBER(C$4:C$303),C$4:C$303,0))+1)</f>
        <v/>
      </c>
      <c r="F186" s="7">
        <f>IF(OR(D186="",B186="",NOT(ISNUMBER(C186))),"",D186&amp;"-"&amp;B186&amp;"-"&amp;TEXT(C186,"000"))</f>
        <v/>
      </c>
      <c r="G186" s="23" t="n"/>
      <c r="H186" s="22" t="n"/>
      <c r="I186" s="24" t="n"/>
      <c r="J186" s="22" t="n"/>
      <c r="K186" s="22" t="n"/>
      <c r="L186" s="22" t="n"/>
      <c r="M186" s="22" t="n"/>
      <c r="N186" s="22" t="n"/>
      <c r="O186" s="7">
        <f>IF(F186="","",F186&amp;"_"&amp;SUBSTITUTE(SUBSTITUTE(SUBSTITUTE(SUBSTITUTE(SUBSTITUTE(SUBSTITUTE(SUBSTITUTE(SUBSTITUTE(SUBSTITUTE(SUBSTITUTE(TRIM(G186)," ","-"),"/","-"),"\","-"),":","-"),"*","-"),"?","-"),"""","-"),"&lt;","-"),"&gt;","-"),"|","-")&amp;IF(H186="","","_Rev"&amp;H186))</f>
        <v/>
      </c>
      <c r="P186" s="7">
        <f>IF(D186="","",IF(L186="Superseded","99 Archive",IF(AND(D186="04",K186&lt;&gt;""),IFERROR(INDEX('Google Drive Map'!$B$4:$B$33,MATCH("04/"&amp;LEFT(K186,2),'Google Drive Map'!$A$4:$A$33,0)),"04 Trades &amp; Tenders/"&amp;K186),IFERROR(INDEX('Google Drive Map'!$B$4:$B$33,MATCH(D186,'Google Drive Map'!$A$4:$A$33,0)),""))))</f>
        <v/>
      </c>
      <c r="Q186" s="7">
        <f>IF(P186="","",IF(IFERROR(INDEX('Google Drive Map'!$G$4:$G$33,MATCH(P186,'Google Drive Map'!$B$4:$B$33,0))&amp;"","")="","",HYPERLINK(INDEX('Google Drive Map'!$G$4:$G$33,MATCH(P186,'Google Drive Map'!$B$4:$B$33,0)),"Open")))</f>
        <v/>
      </c>
      <c r="R186" s="7">
        <f>IF(AND(A186="",B186="",C186=""),"",TRIM(IF(AND(D186&lt;&gt;"",ISNA(MATCH(D186,'Google Drive Map'!$A$4:$A$33,0))),"Folder code isn't on the folder map. ","")&amp;IF(AND(C186&lt;&gt;"",NOT(ISNUMBER(C186))),"No. must be a whole number. ","")&amp;IF(AND(D186&lt;&gt;"",B186&lt;&gt;"",C186=""),"Type the next free no. ","")&amp;IF(AND(F186&lt;&gt;"",COUNTIF(F$4:F$303,F186)&gt;1),"Duplicate Doc ID. ","")))</f>
        <v/>
      </c>
      <c r="S186" s="22" t="n"/>
      <c r="T186" s="23" t="n"/>
    </row>
    <row r="187">
      <c r="A187" s="35" t="n"/>
      <c r="B187" s="22" t="n"/>
      <c r="C187" s="22" t="n"/>
      <c r="D187" s="7">
        <f>IF(A187="","",IF(ISNUMBER(A187),TEXT(A187,"00"),TRIM(A187)))</f>
        <v/>
      </c>
      <c r="E187" s="7">
        <f t="array" ref="E187">IF(OR(D187="",B187=""),"",MAX(IF((D$4:D$303=D187)*(B$4:B$303=B187)*ISNUMBER(C$4:C$303),C$4:C$303,0))+1)</f>
        <v/>
      </c>
      <c r="F187" s="7">
        <f>IF(OR(D187="",B187="",NOT(ISNUMBER(C187))),"",D187&amp;"-"&amp;B187&amp;"-"&amp;TEXT(C187,"000"))</f>
        <v/>
      </c>
      <c r="G187" s="23" t="n"/>
      <c r="H187" s="22" t="n"/>
      <c r="I187" s="24" t="n"/>
      <c r="J187" s="22" t="n"/>
      <c r="K187" s="22" t="n"/>
      <c r="L187" s="22" t="n"/>
      <c r="M187" s="22" t="n"/>
      <c r="N187" s="22" t="n"/>
      <c r="O187" s="7">
        <f>IF(F187="","",F187&amp;"_"&amp;SUBSTITUTE(SUBSTITUTE(SUBSTITUTE(SUBSTITUTE(SUBSTITUTE(SUBSTITUTE(SUBSTITUTE(SUBSTITUTE(SUBSTITUTE(SUBSTITUTE(TRIM(G187)," ","-"),"/","-"),"\","-"),":","-"),"*","-"),"?","-"),"""","-"),"&lt;","-"),"&gt;","-"),"|","-")&amp;IF(H187="","","_Rev"&amp;H187))</f>
        <v/>
      </c>
      <c r="P187" s="7">
        <f>IF(D187="","",IF(L187="Superseded","99 Archive",IF(AND(D187="04",K187&lt;&gt;""),IFERROR(INDEX('Google Drive Map'!$B$4:$B$33,MATCH("04/"&amp;LEFT(K187,2),'Google Drive Map'!$A$4:$A$33,0)),"04 Trades &amp; Tenders/"&amp;K187),IFERROR(INDEX('Google Drive Map'!$B$4:$B$33,MATCH(D187,'Google Drive Map'!$A$4:$A$33,0)),""))))</f>
        <v/>
      </c>
      <c r="Q187" s="7">
        <f>IF(P187="","",IF(IFERROR(INDEX('Google Drive Map'!$G$4:$G$33,MATCH(P187,'Google Drive Map'!$B$4:$B$33,0))&amp;"","")="","",HYPERLINK(INDEX('Google Drive Map'!$G$4:$G$33,MATCH(P187,'Google Drive Map'!$B$4:$B$33,0)),"Open")))</f>
        <v/>
      </c>
      <c r="R187" s="7">
        <f>IF(AND(A187="",B187="",C187=""),"",TRIM(IF(AND(D187&lt;&gt;"",ISNA(MATCH(D187,'Google Drive Map'!$A$4:$A$33,0))),"Folder code isn't on the folder map. ","")&amp;IF(AND(C187&lt;&gt;"",NOT(ISNUMBER(C187))),"No. must be a whole number. ","")&amp;IF(AND(D187&lt;&gt;"",B187&lt;&gt;"",C187=""),"Type the next free no. ","")&amp;IF(AND(F187&lt;&gt;"",COUNTIF(F$4:F$303,F187)&gt;1),"Duplicate Doc ID. ","")))</f>
        <v/>
      </c>
      <c r="S187" s="22" t="n"/>
      <c r="T187" s="23" t="n"/>
    </row>
    <row r="188">
      <c r="A188" s="35" t="n"/>
      <c r="B188" s="22" t="n"/>
      <c r="C188" s="22" t="n"/>
      <c r="D188" s="7">
        <f>IF(A188="","",IF(ISNUMBER(A188),TEXT(A188,"00"),TRIM(A188)))</f>
        <v/>
      </c>
      <c r="E188" s="7">
        <f t="array" ref="E188">IF(OR(D188="",B188=""),"",MAX(IF((D$4:D$303=D188)*(B$4:B$303=B188)*ISNUMBER(C$4:C$303),C$4:C$303,0))+1)</f>
        <v/>
      </c>
      <c r="F188" s="7">
        <f>IF(OR(D188="",B188="",NOT(ISNUMBER(C188))),"",D188&amp;"-"&amp;B188&amp;"-"&amp;TEXT(C188,"000"))</f>
        <v/>
      </c>
      <c r="G188" s="23" t="n"/>
      <c r="H188" s="22" t="n"/>
      <c r="I188" s="24" t="n"/>
      <c r="J188" s="22" t="n"/>
      <c r="K188" s="22" t="n"/>
      <c r="L188" s="22" t="n"/>
      <c r="M188" s="22" t="n"/>
      <c r="N188" s="22" t="n"/>
      <c r="O188" s="7">
        <f>IF(F188="","",F188&amp;"_"&amp;SUBSTITUTE(SUBSTITUTE(SUBSTITUTE(SUBSTITUTE(SUBSTITUTE(SUBSTITUTE(SUBSTITUTE(SUBSTITUTE(SUBSTITUTE(SUBSTITUTE(TRIM(G188)," ","-"),"/","-"),"\","-"),":","-"),"*","-"),"?","-"),"""","-"),"&lt;","-"),"&gt;","-"),"|","-")&amp;IF(H188="","","_Rev"&amp;H188))</f>
        <v/>
      </c>
      <c r="P188" s="7">
        <f>IF(D188="","",IF(L188="Superseded","99 Archive",IF(AND(D188="04",K188&lt;&gt;""),IFERROR(INDEX('Google Drive Map'!$B$4:$B$33,MATCH("04/"&amp;LEFT(K188,2),'Google Drive Map'!$A$4:$A$33,0)),"04 Trades &amp; Tenders/"&amp;K188),IFERROR(INDEX('Google Drive Map'!$B$4:$B$33,MATCH(D188,'Google Drive Map'!$A$4:$A$33,0)),""))))</f>
        <v/>
      </c>
      <c r="Q188" s="7">
        <f>IF(P188="","",IF(IFERROR(INDEX('Google Drive Map'!$G$4:$G$33,MATCH(P188,'Google Drive Map'!$B$4:$B$33,0))&amp;"","")="","",HYPERLINK(INDEX('Google Drive Map'!$G$4:$G$33,MATCH(P188,'Google Drive Map'!$B$4:$B$33,0)),"Open")))</f>
        <v/>
      </c>
      <c r="R188" s="7">
        <f>IF(AND(A188="",B188="",C188=""),"",TRIM(IF(AND(D188&lt;&gt;"",ISNA(MATCH(D188,'Google Drive Map'!$A$4:$A$33,0))),"Folder code isn't on the folder map. ","")&amp;IF(AND(C188&lt;&gt;"",NOT(ISNUMBER(C188))),"No. must be a whole number. ","")&amp;IF(AND(D188&lt;&gt;"",B188&lt;&gt;"",C188=""),"Type the next free no. ","")&amp;IF(AND(F188&lt;&gt;"",COUNTIF(F$4:F$303,F188)&gt;1),"Duplicate Doc ID. ","")))</f>
        <v/>
      </c>
      <c r="S188" s="22" t="n"/>
      <c r="T188" s="23" t="n"/>
    </row>
    <row r="189">
      <c r="A189" s="35" t="n"/>
      <c r="B189" s="22" t="n"/>
      <c r="C189" s="22" t="n"/>
      <c r="D189" s="7">
        <f>IF(A189="","",IF(ISNUMBER(A189),TEXT(A189,"00"),TRIM(A189)))</f>
        <v/>
      </c>
      <c r="E189" s="7">
        <f t="array" ref="E189">IF(OR(D189="",B189=""),"",MAX(IF((D$4:D$303=D189)*(B$4:B$303=B189)*ISNUMBER(C$4:C$303),C$4:C$303,0))+1)</f>
        <v/>
      </c>
      <c r="F189" s="7">
        <f>IF(OR(D189="",B189="",NOT(ISNUMBER(C189))),"",D189&amp;"-"&amp;B189&amp;"-"&amp;TEXT(C189,"000"))</f>
        <v/>
      </c>
      <c r="G189" s="23" t="n"/>
      <c r="H189" s="22" t="n"/>
      <c r="I189" s="24" t="n"/>
      <c r="J189" s="22" t="n"/>
      <c r="K189" s="22" t="n"/>
      <c r="L189" s="22" t="n"/>
      <c r="M189" s="22" t="n"/>
      <c r="N189" s="22" t="n"/>
      <c r="O189" s="7">
        <f>IF(F189="","",F189&amp;"_"&amp;SUBSTITUTE(SUBSTITUTE(SUBSTITUTE(SUBSTITUTE(SUBSTITUTE(SUBSTITUTE(SUBSTITUTE(SUBSTITUTE(SUBSTITUTE(SUBSTITUTE(TRIM(G189)," ","-"),"/","-"),"\","-"),":","-"),"*","-"),"?","-"),"""","-"),"&lt;","-"),"&gt;","-"),"|","-")&amp;IF(H189="","","_Rev"&amp;H189))</f>
        <v/>
      </c>
      <c r="P189" s="7">
        <f>IF(D189="","",IF(L189="Superseded","99 Archive",IF(AND(D189="04",K189&lt;&gt;""),IFERROR(INDEX('Google Drive Map'!$B$4:$B$33,MATCH("04/"&amp;LEFT(K189,2),'Google Drive Map'!$A$4:$A$33,0)),"04 Trades &amp; Tenders/"&amp;K189),IFERROR(INDEX('Google Drive Map'!$B$4:$B$33,MATCH(D189,'Google Drive Map'!$A$4:$A$33,0)),""))))</f>
        <v/>
      </c>
      <c r="Q189" s="7">
        <f>IF(P189="","",IF(IFERROR(INDEX('Google Drive Map'!$G$4:$G$33,MATCH(P189,'Google Drive Map'!$B$4:$B$33,0))&amp;"","")="","",HYPERLINK(INDEX('Google Drive Map'!$G$4:$G$33,MATCH(P189,'Google Drive Map'!$B$4:$B$33,0)),"Open")))</f>
        <v/>
      </c>
      <c r="R189" s="7">
        <f>IF(AND(A189="",B189="",C189=""),"",TRIM(IF(AND(D189&lt;&gt;"",ISNA(MATCH(D189,'Google Drive Map'!$A$4:$A$33,0))),"Folder code isn't on the folder map. ","")&amp;IF(AND(C189&lt;&gt;"",NOT(ISNUMBER(C189))),"No. must be a whole number. ","")&amp;IF(AND(D189&lt;&gt;"",B189&lt;&gt;"",C189=""),"Type the next free no. ","")&amp;IF(AND(F189&lt;&gt;"",COUNTIF(F$4:F$303,F189)&gt;1),"Duplicate Doc ID. ","")))</f>
        <v/>
      </c>
      <c r="S189" s="22" t="n"/>
      <c r="T189" s="23" t="n"/>
    </row>
    <row r="190">
      <c r="A190" s="35" t="n"/>
      <c r="B190" s="22" t="n"/>
      <c r="C190" s="22" t="n"/>
      <c r="D190" s="7">
        <f>IF(A190="","",IF(ISNUMBER(A190),TEXT(A190,"00"),TRIM(A190)))</f>
        <v/>
      </c>
      <c r="E190" s="7">
        <f t="array" ref="E190">IF(OR(D190="",B190=""),"",MAX(IF((D$4:D$303=D190)*(B$4:B$303=B190)*ISNUMBER(C$4:C$303),C$4:C$303,0))+1)</f>
        <v/>
      </c>
      <c r="F190" s="7">
        <f>IF(OR(D190="",B190="",NOT(ISNUMBER(C190))),"",D190&amp;"-"&amp;B190&amp;"-"&amp;TEXT(C190,"000"))</f>
        <v/>
      </c>
      <c r="G190" s="23" t="n"/>
      <c r="H190" s="22" t="n"/>
      <c r="I190" s="24" t="n"/>
      <c r="J190" s="22" t="n"/>
      <c r="K190" s="22" t="n"/>
      <c r="L190" s="22" t="n"/>
      <c r="M190" s="22" t="n"/>
      <c r="N190" s="22" t="n"/>
      <c r="O190" s="7">
        <f>IF(F190="","",F190&amp;"_"&amp;SUBSTITUTE(SUBSTITUTE(SUBSTITUTE(SUBSTITUTE(SUBSTITUTE(SUBSTITUTE(SUBSTITUTE(SUBSTITUTE(SUBSTITUTE(SUBSTITUTE(TRIM(G190)," ","-"),"/","-"),"\","-"),":","-"),"*","-"),"?","-"),"""","-"),"&lt;","-"),"&gt;","-"),"|","-")&amp;IF(H190="","","_Rev"&amp;H190))</f>
        <v/>
      </c>
      <c r="P190" s="7">
        <f>IF(D190="","",IF(L190="Superseded","99 Archive",IF(AND(D190="04",K190&lt;&gt;""),IFERROR(INDEX('Google Drive Map'!$B$4:$B$33,MATCH("04/"&amp;LEFT(K190,2),'Google Drive Map'!$A$4:$A$33,0)),"04 Trades &amp; Tenders/"&amp;K190),IFERROR(INDEX('Google Drive Map'!$B$4:$B$33,MATCH(D190,'Google Drive Map'!$A$4:$A$33,0)),""))))</f>
        <v/>
      </c>
      <c r="Q190" s="7">
        <f>IF(P190="","",IF(IFERROR(INDEX('Google Drive Map'!$G$4:$G$33,MATCH(P190,'Google Drive Map'!$B$4:$B$33,0))&amp;"","")="","",HYPERLINK(INDEX('Google Drive Map'!$G$4:$G$33,MATCH(P190,'Google Drive Map'!$B$4:$B$33,0)),"Open")))</f>
        <v/>
      </c>
      <c r="R190" s="7">
        <f>IF(AND(A190="",B190="",C190=""),"",TRIM(IF(AND(D190&lt;&gt;"",ISNA(MATCH(D190,'Google Drive Map'!$A$4:$A$33,0))),"Folder code isn't on the folder map. ","")&amp;IF(AND(C190&lt;&gt;"",NOT(ISNUMBER(C190))),"No. must be a whole number. ","")&amp;IF(AND(D190&lt;&gt;"",B190&lt;&gt;"",C190=""),"Type the next free no. ","")&amp;IF(AND(F190&lt;&gt;"",COUNTIF(F$4:F$303,F190)&gt;1),"Duplicate Doc ID. ","")))</f>
        <v/>
      </c>
      <c r="S190" s="22" t="n"/>
      <c r="T190" s="23" t="n"/>
    </row>
    <row r="191">
      <c r="A191" s="35" t="n"/>
      <c r="B191" s="22" t="n"/>
      <c r="C191" s="22" t="n"/>
      <c r="D191" s="7">
        <f>IF(A191="","",IF(ISNUMBER(A191),TEXT(A191,"00"),TRIM(A191)))</f>
        <v/>
      </c>
      <c r="E191" s="7">
        <f t="array" ref="E191">IF(OR(D191="",B191=""),"",MAX(IF((D$4:D$303=D191)*(B$4:B$303=B191)*ISNUMBER(C$4:C$303),C$4:C$303,0))+1)</f>
        <v/>
      </c>
      <c r="F191" s="7">
        <f>IF(OR(D191="",B191="",NOT(ISNUMBER(C191))),"",D191&amp;"-"&amp;B191&amp;"-"&amp;TEXT(C191,"000"))</f>
        <v/>
      </c>
      <c r="G191" s="23" t="n"/>
      <c r="H191" s="22" t="n"/>
      <c r="I191" s="24" t="n"/>
      <c r="J191" s="22" t="n"/>
      <c r="K191" s="22" t="n"/>
      <c r="L191" s="22" t="n"/>
      <c r="M191" s="22" t="n"/>
      <c r="N191" s="22" t="n"/>
      <c r="O191" s="7">
        <f>IF(F191="","",F191&amp;"_"&amp;SUBSTITUTE(SUBSTITUTE(SUBSTITUTE(SUBSTITUTE(SUBSTITUTE(SUBSTITUTE(SUBSTITUTE(SUBSTITUTE(SUBSTITUTE(SUBSTITUTE(TRIM(G191)," ","-"),"/","-"),"\","-"),":","-"),"*","-"),"?","-"),"""","-"),"&lt;","-"),"&gt;","-"),"|","-")&amp;IF(H191="","","_Rev"&amp;H191))</f>
        <v/>
      </c>
      <c r="P191" s="7">
        <f>IF(D191="","",IF(L191="Superseded","99 Archive",IF(AND(D191="04",K191&lt;&gt;""),IFERROR(INDEX('Google Drive Map'!$B$4:$B$33,MATCH("04/"&amp;LEFT(K191,2),'Google Drive Map'!$A$4:$A$33,0)),"04 Trades &amp; Tenders/"&amp;K191),IFERROR(INDEX('Google Drive Map'!$B$4:$B$33,MATCH(D191,'Google Drive Map'!$A$4:$A$33,0)),""))))</f>
        <v/>
      </c>
      <c r="Q191" s="7">
        <f>IF(P191="","",IF(IFERROR(INDEX('Google Drive Map'!$G$4:$G$33,MATCH(P191,'Google Drive Map'!$B$4:$B$33,0))&amp;"","")="","",HYPERLINK(INDEX('Google Drive Map'!$G$4:$G$33,MATCH(P191,'Google Drive Map'!$B$4:$B$33,0)),"Open")))</f>
        <v/>
      </c>
      <c r="R191" s="7">
        <f>IF(AND(A191="",B191="",C191=""),"",TRIM(IF(AND(D191&lt;&gt;"",ISNA(MATCH(D191,'Google Drive Map'!$A$4:$A$33,0))),"Folder code isn't on the folder map. ","")&amp;IF(AND(C191&lt;&gt;"",NOT(ISNUMBER(C191))),"No. must be a whole number. ","")&amp;IF(AND(D191&lt;&gt;"",B191&lt;&gt;"",C191=""),"Type the next free no. ","")&amp;IF(AND(F191&lt;&gt;"",COUNTIF(F$4:F$303,F191)&gt;1),"Duplicate Doc ID. ","")))</f>
        <v/>
      </c>
      <c r="S191" s="22" t="n"/>
      <c r="T191" s="23" t="n"/>
    </row>
    <row r="192">
      <c r="A192" s="35" t="n"/>
      <c r="B192" s="22" t="n"/>
      <c r="C192" s="22" t="n"/>
      <c r="D192" s="7">
        <f>IF(A192="","",IF(ISNUMBER(A192),TEXT(A192,"00"),TRIM(A192)))</f>
        <v/>
      </c>
      <c r="E192" s="7">
        <f t="array" ref="E192">IF(OR(D192="",B192=""),"",MAX(IF((D$4:D$303=D192)*(B$4:B$303=B192)*ISNUMBER(C$4:C$303),C$4:C$303,0))+1)</f>
        <v/>
      </c>
      <c r="F192" s="7">
        <f>IF(OR(D192="",B192="",NOT(ISNUMBER(C192))),"",D192&amp;"-"&amp;B192&amp;"-"&amp;TEXT(C192,"000"))</f>
        <v/>
      </c>
      <c r="G192" s="23" t="n"/>
      <c r="H192" s="22" t="n"/>
      <c r="I192" s="24" t="n"/>
      <c r="J192" s="22" t="n"/>
      <c r="K192" s="22" t="n"/>
      <c r="L192" s="22" t="n"/>
      <c r="M192" s="22" t="n"/>
      <c r="N192" s="22" t="n"/>
      <c r="O192" s="7">
        <f>IF(F192="","",F192&amp;"_"&amp;SUBSTITUTE(SUBSTITUTE(SUBSTITUTE(SUBSTITUTE(SUBSTITUTE(SUBSTITUTE(SUBSTITUTE(SUBSTITUTE(SUBSTITUTE(SUBSTITUTE(TRIM(G192)," ","-"),"/","-"),"\","-"),":","-"),"*","-"),"?","-"),"""","-"),"&lt;","-"),"&gt;","-"),"|","-")&amp;IF(H192="","","_Rev"&amp;H192))</f>
        <v/>
      </c>
      <c r="P192" s="7">
        <f>IF(D192="","",IF(L192="Superseded","99 Archive",IF(AND(D192="04",K192&lt;&gt;""),IFERROR(INDEX('Google Drive Map'!$B$4:$B$33,MATCH("04/"&amp;LEFT(K192,2),'Google Drive Map'!$A$4:$A$33,0)),"04 Trades &amp; Tenders/"&amp;K192),IFERROR(INDEX('Google Drive Map'!$B$4:$B$33,MATCH(D192,'Google Drive Map'!$A$4:$A$33,0)),""))))</f>
        <v/>
      </c>
      <c r="Q192" s="7">
        <f>IF(P192="","",IF(IFERROR(INDEX('Google Drive Map'!$G$4:$G$33,MATCH(P192,'Google Drive Map'!$B$4:$B$33,0))&amp;"","")="","",HYPERLINK(INDEX('Google Drive Map'!$G$4:$G$33,MATCH(P192,'Google Drive Map'!$B$4:$B$33,0)),"Open")))</f>
        <v/>
      </c>
      <c r="R192" s="7">
        <f>IF(AND(A192="",B192="",C192=""),"",TRIM(IF(AND(D192&lt;&gt;"",ISNA(MATCH(D192,'Google Drive Map'!$A$4:$A$33,0))),"Folder code isn't on the folder map. ","")&amp;IF(AND(C192&lt;&gt;"",NOT(ISNUMBER(C192))),"No. must be a whole number. ","")&amp;IF(AND(D192&lt;&gt;"",B192&lt;&gt;"",C192=""),"Type the next free no. ","")&amp;IF(AND(F192&lt;&gt;"",COUNTIF(F$4:F$303,F192)&gt;1),"Duplicate Doc ID. ","")))</f>
        <v/>
      </c>
      <c r="S192" s="22" t="n"/>
      <c r="T192" s="23" t="n"/>
    </row>
    <row r="193">
      <c r="A193" s="35" t="n"/>
      <c r="B193" s="22" t="n"/>
      <c r="C193" s="22" t="n"/>
      <c r="D193" s="7">
        <f>IF(A193="","",IF(ISNUMBER(A193),TEXT(A193,"00"),TRIM(A193)))</f>
        <v/>
      </c>
      <c r="E193" s="7">
        <f t="array" ref="E193">IF(OR(D193="",B193=""),"",MAX(IF((D$4:D$303=D193)*(B$4:B$303=B193)*ISNUMBER(C$4:C$303),C$4:C$303,0))+1)</f>
        <v/>
      </c>
      <c r="F193" s="7">
        <f>IF(OR(D193="",B193="",NOT(ISNUMBER(C193))),"",D193&amp;"-"&amp;B193&amp;"-"&amp;TEXT(C193,"000"))</f>
        <v/>
      </c>
      <c r="G193" s="23" t="n"/>
      <c r="H193" s="22" t="n"/>
      <c r="I193" s="24" t="n"/>
      <c r="J193" s="22" t="n"/>
      <c r="K193" s="22" t="n"/>
      <c r="L193" s="22" t="n"/>
      <c r="M193" s="22" t="n"/>
      <c r="N193" s="22" t="n"/>
      <c r="O193" s="7">
        <f>IF(F193="","",F193&amp;"_"&amp;SUBSTITUTE(SUBSTITUTE(SUBSTITUTE(SUBSTITUTE(SUBSTITUTE(SUBSTITUTE(SUBSTITUTE(SUBSTITUTE(SUBSTITUTE(SUBSTITUTE(TRIM(G193)," ","-"),"/","-"),"\","-"),":","-"),"*","-"),"?","-"),"""","-"),"&lt;","-"),"&gt;","-"),"|","-")&amp;IF(H193="","","_Rev"&amp;H193))</f>
        <v/>
      </c>
      <c r="P193" s="7">
        <f>IF(D193="","",IF(L193="Superseded","99 Archive",IF(AND(D193="04",K193&lt;&gt;""),IFERROR(INDEX('Google Drive Map'!$B$4:$B$33,MATCH("04/"&amp;LEFT(K193,2),'Google Drive Map'!$A$4:$A$33,0)),"04 Trades &amp; Tenders/"&amp;K193),IFERROR(INDEX('Google Drive Map'!$B$4:$B$33,MATCH(D193,'Google Drive Map'!$A$4:$A$33,0)),""))))</f>
        <v/>
      </c>
      <c r="Q193" s="7">
        <f>IF(P193="","",IF(IFERROR(INDEX('Google Drive Map'!$G$4:$G$33,MATCH(P193,'Google Drive Map'!$B$4:$B$33,0))&amp;"","")="","",HYPERLINK(INDEX('Google Drive Map'!$G$4:$G$33,MATCH(P193,'Google Drive Map'!$B$4:$B$33,0)),"Open")))</f>
        <v/>
      </c>
      <c r="R193" s="7">
        <f>IF(AND(A193="",B193="",C193=""),"",TRIM(IF(AND(D193&lt;&gt;"",ISNA(MATCH(D193,'Google Drive Map'!$A$4:$A$33,0))),"Folder code isn't on the folder map. ","")&amp;IF(AND(C193&lt;&gt;"",NOT(ISNUMBER(C193))),"No. must be a whole number. ","")&amp;IF(AND(D193&lt;&gt;"",B193&lt;&gt;"",C193=""),"Type the next free no. ","")&amp;IF(AND(F193&lt;&gt;"",COUNTIF(F$4:F$303,F193)&gt;1),"Duplicate Doc ID. ","")))</f>
        <v/>
      </c>
      <c r="S193" s="22" t="n"/>
      <c r="T193" s="23" t="n"/>
    </row>
    <row r="194">
      <c r="A194" s="35" t="n"/>
      <c r="B194" s="22" t="n"/>
      <c r="C194" s="22" t="n"/>
      <c r="D194" s="7">
        <f>IF(A194="","",IF(ISNUMBER(A194),TEXT(A194,"00"),TRIM(A194)))</f>
        <v/>
      </c>
      <c r="E194" s="7">
        <f t="array" ref="E194">IF(OR(D194="",B194=""),"",MAX(IF((D$4:D$303=D194)*(B$4:B$303=B194)*ISNUMBER(C$4:C$303),C$4:C$303,0))+1)</f>
        <v/>
      </c>
      <c r="F194" s="7">
        <f>IF(OR(D194="",B194="",NOT(ISNUMBER(C194))),"",D194&amp;"-"&amp;B194&amp;"-"&amp;TEXT(C194,"000"))</f>
        <v/>
      </c>
      <c r="G194" s="23" t="n"/>
      <c r="H194" s="22" t="n"/>
      <c r="I194" s="24" t="n"/>
      <c r="J194" s="22" t="n"/>
      <c r="K194" s="22" t="n"/>
      <c r="L194" s="22" t="n"/>
      <c r="M194" s="22" t="n"/>
      <c r="N194" s="22" t="n"/>
      <c r="O194" s="7">
        <f>IF(F194="","",F194&amp;"_"&amp;SUBSTITUTE(SUBSTITUTE(SUBSTITUTE(SUBSTITUTE(SUBSTITUTE(SUBSTITUTE(SUBSTITUTE(SUBSTITUTE(SUBSTITUTE(SUBSTITUTE(TRIM(G194)," ","-"),"/","-"),"\","-"),":","-"),"*","-"),"?","-"),"""","-"),"&lt;","-"),"&gt;","-"),"|","-")&amp;IF(H194="","","_Rev"&amp;H194))</f>
        <v/>
      </c>
      <c r="P194" s="7">
        <f>IF(D194="","",IF(L194="Superseded","99 Archive",IF(AND(D194="04",K194&lt;&gt;""),IFERROR(INDEX('Google Drive Map'!$B$4:$B$33,MATCH("04/"&amp;LEFT(K194,2),'Google Drive Map'!$A$4:$A$33,0)),"04 Trades &amp; Tenders/"&amp;K194),IFERROR(INDEX('Google Drive Map'!$B$4:$B$33,MATCH(D194,'Google Drive Map'!$A$4:$A$33,0)),""))))</f>
        <v/>
      </c>
      <c r="Q194" s="7">
        <f>IF(P194="","",IF(IFERROR(INDEX('Google Drive Map'!$G$4:$G$33,MATCH(P194,'Google Drive Map'!$B$4:$B$33,0))&amp;"","")="","",HYPERLINK(INDEX('Google Drive Map'!$G$4:$G$33,MATCH(P194,'Google Drive Map'!$B$4:$B$33,0)),"Open")))</f>
        <v/>
      </c>
      <c r="R194" s="7">
        <f>IF(AND(A194="",B194="",C194=""),"",TRIM(IF(AND(D194&lt;&gt;"",ISNA(MATCH(D194,'Google Drive Map'!$A$4:$A$33,0))),"Folder code isn't on the folder map. ","")&amp;IF(AND(C194&lt;&gt;"",NOT(ISNUMBER(C194))),"No. must be a whole number. ","")&amp;IF(AND(D194&lt;&gt;"",B194&lt;&gt;"",C194=""),"Type the next free no. ","")&amp;IF(AND(F194&lt;&gt;"",COUNTIF(F$4:F$303,F194)&gt;1),"Duplicate Doc ID. ","")))</f>
        <v/>
      </c>
      <c r="S194" s="22" t="n"/>
      <c r="T194" s="23" t="n"/>
    </row>
    <row r="195">
      <c r="A195" s="35" t="n"/>
      <c r="B195" s="22" t="n"/>
      <c r="C195" s="22" t="n"/>
      <c r="D195" s="7">
        <f>IF(A195="","",IF(ISNUMBER(A195),TEXT(A195,"00"),TRIM(A195)))</f>
        <v/>
      </c>
      <c r="E195" s="7">
        <f t="array" ref="E195">IF(OR(D195="",B195=""),"",MAX(IF((D$4:D$303=D195)*(B$4:B$303=B195)*ISNUMBER(C$4:C$303),C$4:C$303,0))+1)</f>
        <v/>
      </c>
      <c r="F195" s="7">
        <f>IF(OR(D195="",B195="",NOT(ISNUMBER(C195))),"",D195&amp;"-"&amp;B195&amp;"-"&amp;TEXT(C195,"000"))</f>
        <v/>
      </c>
      <c r="G195" s="23" t="n"/>
      <c r="H195" s="22" t="n"/>
      <c r="I195" s="24" t="n"/>
      <c r="J195" s="22" t="n"/>
      <c r="K195" s="22" t="n"/>
      <c r="L195" s="22" t="n"/>
      <c r="M195" s="22" t="n"/>
      <c r="N195" s="22" t="n"/>
      <c r="O195" s="7">
        <f>IF(F195="","",F195&amp;"_"&amp;SUBSTITUTE(SUBSTITUTE(SUBSTITUTE(SUBSTITUTE(SUBSTITUTE(SUBSTITUTE(SUBSTITUTE(SUBSTITUTE(SUBSTITUTE(SUBSTITUTE(TRIM(G195)," ","-"),"/","-"),"\","-"),":","-"),"*","-"),"?","-"),"""","-"),"&lt;","-"),"&gt;","-"),"|","-")&amp;IF(H195="","","_Rev"&amp;H195))</f>
        <v/>
      </c>
      <c r="P195" s="7">
        <f>IF(D195="","",IF(L195="Superseded","99 Archive",IF(AND(D195="04",K195&lt;&gt;""),IFERROR(INDEX('Google Drive Map'!$B$4:$B$33,MATCH("04/"&amp;LEFT(K195,2),'Google Drive Map'!$A$4:$A$33,0)),"04 Trades &amp; Tenders/"&amp;K195),IFERROR(INDEX('Google Drive Map'!$B$4:$B$33,MATCH(D195,'Google Drive Map'!$A$4:$A$33,0)),""))))</f>
        <v/>
      </c>
      <c r="Q195" s="7">
        <f>IF(P195="","",IF(IFERROR(INDEX('Google Drive Map'!$G$4:$G$33,MATCH(P195,'Google Drive Map'!$B$4:$B$33,0))&amp;"","")="","",HYPERLINK(INDEX('Google Drive Map'!$G$4:$G$33,MATCH(P195,'Google Drive Map'!$B$4:$B$33,0)),"Open")))</f>
        <v/>
      </c>
      <c r="R195" s="7">
        <f>IF(AND(A195="",B195="",C195=""),"",TRIM(IF(AND(D195&lt;&gt;"",ISNA(MATCH(D195,'Google Drive Map'!$A$4:$A$33,0))),"Folder code isn't on the folder map. ","")&amp;IF(AND(C195&lt;&gt;"",NOT(ISNUMBER(C195))),"No. must be a whole number. ","")&amp;IF(AND(D195&lt;&gt;"",B195&lt;&gt;"",C195=""),"Type the next free no. ","")&amp;IF(AND(F195&lt;&gt;"",COUNTIF(F$4:F$303,F195)&gt;1),"Duplicate Doc ID. ","")))</f>
        <v/>
      </c>
      <c r="S195" s="22" t="n"/>
      <c r="T195" s="23" t="n"/>
    </row>
    <row r="196">
      <c r="A196" s="35" t="n"/>
      <c r="B196" s="22" t="n"/>
      <c r="C196" s="22" t="n"/>
      <c r="D196" s="7">
        <f>IF(A196="","",IF(ISNUMBER(A196),TEXT(A196,"00"),TRIM(A196)))</f>
        <v/>
      </c>
      <c r="E196" s="7">
        <f t="array" ref="E196">IF(OR(D196="",B196=""),"",MAX(IF((D$4:D$303=D196)*(B$4:B$303=B196)*ISNUMBER(C$4:C$303),C$4:C$303,0))+1)</f>
        <v/>
      </c>
      <c r="F196" s="7">
        <f>IF(OR(D196="",B196="",NOT(ISNUMBER(C196))),"",D196&amp;"-"&amp;B196&amp;"-"&amp;TEXT(C196,"000"))</f>
        <v/>
      </c>
      <c r="G196" s="23" t="n"/>
      <c r="H196" s="22" t="n"/>
      <c r="I196" s="24" t="n"/>
      <c r="J196" s="22" t="n"/>
      <c r="K196" s="22" t="n"/>
      <c r="L196" s="22" t="n"/>
      <c r="M196" s="22" t="n"/>
      <c r="N196" s="22" t="n"/>
      <c r="O196" s="7">
        <f>IF(F196="","",F196&amp;"_"&amp;SUBSTITUTE(SUBSTITUTE(SUBSTITUTE(SUBSTITUTE(SUBSTITUTE(SUBSTITUTE(SUBSTITUTE(SUBSTITUTE(SUBSTITUTE(SUBSTITUTE(TRIM(G196)," ","-"),"/","-"),"\","-"),":","-"),"*","-"),"?","-"),"""","-"),"&lt;","-"),"&gt;","-"),"|","-")&amp;IF(H196="","","_Rev"&amp;H196))</f>
        <v/>
      </c>
      <c r="P196" s="7">
        <f>IF(D196="","",IF(L196="Superseded","99 Archive",IF(AND(D196="04",K196&lt;&gt;""),IFERROR(INDEX('Google Drive Map'!$B$4:$B$33,MATCH("04/"&amp;LEFT(K196,2),'Google Drive Map'!$A$4:$A$33,0)),"04 Trades &amp; Tenders/"&amp;K196),IFERROR(INDEX('Google Drive Map'!$B$4:$B$33,MATCH(D196,'Google Drive Map'!$A$4:$A$33,0)),""))))</f>
        <v/>
      </c>
      <c r="Q196" s="7">
        <f>IF(P196="","",IF(IFERROR(INDEX('Google Drive Map'!$G$4:$G$33,MATCH(P196,'Google Drive Map'!$B$4:$B$33,0))&amp;"","")="","",HYPERLINK(INDEX('Google Drive Map'!$G$4:$G$33,MATCH(P196,'Google Drive Map'!$B$4:$B$33,0)),"Open")))</f>
        <v/>
      </c>
      <c r="R196" s="7">
        <f>IF(AND(A196="",B196="",C196=""),"",TRIM(IF(AND(D196&lt;&gt;"",ISNA(MATCH(D196,'Google Drive Map'!$A$4:$A$33,0))),"Folder code isn't on the folder map. ","")&amp;IF(AND(C196&lt;&gt;"",NOT(ISNUMBER(C196))),"No. must be a whole number. ","")&amp;IF(AND(D196&lt;&gt;"",B196&lt;&gt;"",C196=""),"Type the next free no. ","")&amp;IF(AND(F196&lt;&gt;"",COUNTIF(F$4:F$303,F196)&gt;1),"Duplicate Doc ID. ","")))</f>
        <v/>
      </c>
      <c r="S196" s="22" t="n"/>
      <c r="T196" s="23" t="n"/>
    </row>
    <row r="197">
      <c r="A197" s="35" t="n"/>
      <c r="B197" s="22" t="n"/>
      <c r="C197" s="22" t="n"/>
      <c r="D197" s="7">
        <f>IF(A197="","",IF(ISNUMBER(A197),TEXT(A197,"00"),TRIM(A197)))</f>
        <v/>
      </c>
      <c r="E197" s="7">
        <f t="array" ref="E197">IF(OR(D197="",B197=""),"",MAX(IF((D$4:D$303=D197)*(B$4:B$303=B197)*ISNUMBER(C$4:C$303),C$4:C$303,0))+1)</f>
        <v/>
      </c>
      <c r="F197" s="7">
        <f>IF(OR(D197="",B197="",NOT(ISNUMBER(C197))),"",D197&amp;"-"&amp;B197&amp;"-"&amp;TEXT(C197,"000"))</f>
        <v/>
      </c>
      <c r="G197" s="23" t="n"/>
      <c r="H197" s="22" t="n"/>
      <c r="I197" s="24" t="n"/>
      <c r="J197" s="22" t="n"/>
      <c r="K197" s="22" t="n"/>
      <c r="L197" s="22" t="n"/>
      <c r="M197" s="22" t="n"/>
      <c r="N197" s="22" t="n"/>
      <c r="O197" s="7">
        <f>IF(F197="","",F197&amp;"_"&amp;SUBSTITUTE(SUBSTITUTE(SUBSTITUTE(SUBSTITUTE(SUBSTITUTE(SUBSTITUTE(SUBSTITUTE(SUBSTITUTE(SUBSTITUTE(SUBSTITUTE(TRIM(G197)," ","-"),"/","-"),"\","-"),":","-"),"*","-"),"?","-"),"""","-"),"&lt;","-"),"&gt;","-"),"|","-")&amp;IF(H197="","","_Rev"&amp;H197))</f>
        <v/>
      </c>
      <c r="P197" s="7">
        <f>IF(D197="","",IF(L197="Superseded","99 Archive",IF(AND(D197="04",K197&lt;&gt;""),IFERROR(INDEX('Google Drive Map'!$B$4:$B$33,MATCH("04/"&amp;LEFT(K197,2),'Google Drive Map'!$A$4:$A$33,0)),"04 Trades &amp; Tenders/"&amp;K197),IFERROR(INDEX('Google Drive Map'!$B$4:$B$33,MATCH(D197,'Google Drive Map'!$A$4:$A$33,0)),""))))</f>
        <v/>
      </c>
      <c r="Q197" s="7">
        <f>IF(P197="","",IF(IFERROR(INDEX('Google Drive Map'!$G$4:$G$33,MATCH(P197,'Google Drive Map'!$B$4:$B$33,0))&amp;"","")="","",HYPERLINK(INDEX('Google Drive Map'!$G$4:$G$33,MATCH(P197,'Google Drive Map'!$B$4:$B$33,0)),"Open")))</f>
        <v/>
      </c>
      <c r="R197" s="7">
        <f>IF(AND(A197="",B197="",C197=""),"",TRIM(IF(AND(D197&lt;&gt;"",ISNA(MATCH(D197,'Google Drive Map'!$A$4:$A$33,0))),"Folder code isn't on the folder map. ","")&amp;IF(AND(C197&lt;&gt;"",NOT(ISNUMBER(C197))),"No. must be a whole number. ","")&amp;IF(AND(D197&lt;&gt;"",B197&lt;&gt;"",C197=""),"Type the next free no. ","")&amp;IF(AND(F197&lt;&gt;"",COUNTIF(F$4:F$303,F197)&gt;1),"Duplicate Doc ID. ","")))</f>
        <v/>
      </c>
      <c r="S197" s="22" t="n"/>
      <c r="T197" s="23" t="n"/>
    </row>
    <row r="198">
      <c r="A198" s="35" t="n"/>
      <c r="B198" s="22" t="n"/>
      <c r="C198" s="22" t="n"/>
      <c r="D198" s="7">
        <f>IF(A198="","",IF(ISNUMBER(A198),TEXT(A198,"00"),TRIM(A198)))</f>
        <v/>
      </c>
      <c r="E198" s="7">
        <f t="array" ref="E198">IF(OR(D198="",B198=""),"",MAX(IF((D$4:D$303=D198)*(B$4:B$303=B198)*ISNUMBER(C$4:C$303),C$4:C$303,0))+1)</f>
        <v/>
      </c>
      <c r="F198" s="7">
        <f>IF(OR(D198="",B198="",NOT(ISNUMBER(C198))),"",D198&amp;"-"&amp;B198&amp;"-"&amp;TEXT(C198,"000"))</f>
        <v/>
      </c>
      <c r="G198" s="23" t="n"/>
      <c r="H198" s="22" t="n"/>
      <c r="I198" s="24" t="n"/>
      <c r="J198" s="22" t="n"/>
      <c r="K198" s="22" t="n"/>
      <c r="L198" s="22" t="n"/>
      <c r="M198" s="22" t="n"/>
      <c r="N198" s="22" t="n"/>
      <c r="O198" s="7">
        <f>IF(F198="","",F198&amp;"_"&amp;SUBSTITUTE(SUBSTITUTE(SUBSTITUTE(SUBSTITUTE(SUBSTITUTE(SUBSTITUTE(SUBSTITUTE(SUBSTITUTE(SUBSTITUTE(SUBSTITUTE(TRIM(G198)," ","-"),"/","-"),"\","-"),":","-"),"*","-"),"?","-"),"""","-"),"&lt;","-"),"&gt;","-"),"|","-")&amp;IF(H198="","","_Rev"&amp;H198))</f>
        <v/>
      </c>
      <c r="P198" s="7">
        <f>IF(D198="","",IF(L198="Superseded","99 Archive",IF(AND(D198="04",K198&lt;&gt;""),IFERROR(INDEX('Google Drive Map'!$B$4:$B$33,MATCH("04/"&amp;LEFT(K198,2),'Google Drive Map'!$A$4:$A$33,0)),"04 Trades &amp; Tenders/"&amp;K198),IFERROR(INDEX('Google Drive Map'!$B$4:$B$33,MATCH(D198,'Google Drive Map'!$A$4:$A$33,0)),""))))</f>
        <v/>
      </c>
      <c r="Q198" s="7">
        <f>IF(P198="","",IF(IFERROR(INDEX('Google Drive Map'!$G$4:$G$33,MATCH(P198,'Google Drive Map'!$B$4:$B$33,0))&amp;"","")="","",HYPERLINK(INDEX('Google Drive Map'!$G$4:$G$33,MATCH(P198,'Google Drive Map'!$B$4:$B$33,0)),"Open")))</f>
        <v/>
      </c>
      <c r="R198" s="7">
        <f>IF(AND(A198="",B198="",C198=""),"",TRIM(IF(AND(D198&lt;&gt;"",ISNA(MATCH(D198,'Google Drive Map'!$A$4:$A$33,0))),"Folder code isn't on the folder map. ","")&amp;IF(AND(C198&lt;&gt;"",NOT(ISNUMBER(C198))),"No. must be a whole number. ","")&amp;IF(AND(D198&lt;&gt;"",B198&lt;&gt;"",C198=""),"Type the next free no. ","")&amp;IF(AND(F198&lt;&gt;"",COUNTIF(F$4:F$303,F198)&gt;1),"Duplicate Doc ID. ","")))</f>
        <v/>
      </c>
      <c r="S198" s="22" t="n"/>
      <c r="T198" s="23" t="n"/>
    </row>
    <row r="199">
      <c r="A199" s="35" t="n"/>
      <c r="B199" s="22" t="n"/>
      <c r="C199" s="22" t="n"/>
      <c r="D199" s="7">
        <f>IF(A199="","",IF(ISNUMBER(A199),TEXT(A199,"00"),TRIM(A199)))</f>
        <v/>
      </c>
      <c r="E199" s="7">
        <f t="array" ref="E199">IF(OR(D199="",B199=""),"",MAX(IF((D$4:D$303=D199)*(B$4:B$303=B199)*ISNUMBER(C$4:C$303),C$4:C$303,0))+1)</f>
        <v/>
      </c>
      <c r="F199" s="7">
        <f>IF(OR(D199="",B199="",NOT(ISNUMBER(C199))),"",D199&amp;"-"&amp;B199&amp;"-"&amp;TEXT(C199,"000"))</f>
        <v/>
      </c>
      <c r="G199" s="23" t="n"/>
      <c r="H199" s="22" t="n"/>
      <c r="I199" s="24" t="n"/>
      <c r="J199" s="22" t="n"/>
      <c r="K199" s="22" t="n"/>
      <c r="L199" s="22" t="n"/>
      <c r="M199" s="22" t="n"/>
      <c r="N199" s="22" t="n"/>
      <c r="O199" s="7">
        <f>IF(F199="","",F199&amp;"_"&amp;SUBSTITUTE(SUBSTITUTE(SUBSTITUTE(SUBSTITUTE(SUBSTITUTE(SUBSTITUTE(SUBSTITUTE(SUBSTITUTE(SUBSTITUTE(SUBSTITUTE(TRIM(G199)," ","-"),"/","-"),"\","-"),":","-"),"*","-"),"?","-"),"""","-"),"&lt;","-"),"&gt;","-"),"|","-")&amp;IF(H199="","","_Rev"&amp;H199))</f>
        <v/>
      </c>
      <c r="P199" s="7">
        <f>IF(D199="","",IF(L199="Superseded","99 Archive",IF(AND(D199="04",K199&lt;&gt;""),IFERROR(INDEX('Google Drive Map'!$B$4:$B$33,MATCH("04/"&amp;LEFT(K199,2),'Google Drive Map'!$A$4:$A$33,0)),"04 Trades &amp; Tenders/"&amp;K199),IFERROR(INDEX('Google Drive Map'!$B$4:$B$33,MATCH(D199,'Google Drive Map'!$A$4:$A$33,0)),""))))</f>
        <v/>
      </c>
      <c r="Q199" s="7">
        <f>IF(P199="","",IF(IFERROR(INDEX('Google Drive Map'!$G$4:$G$33,MATCH(P199,'Google Drive Map'!$B$4:$B$33,0))&amp;"","")="","",HYPERLINK(INDEX('Google Drive Map'!$G$4:$G$33,MATCH(P199,'Google Drive Map'!$B$4:$B$33,0)),"Open")))</f>
        <v/>
      </c>
      <c r="R199" s="7">
        <f>IF(AND(A199="",B199="",C199=""),"",TRIM(IF(AND(D199&lt;&gt;"",ISNA(MATCH(D199,'Google Drive Map'!$A$4:$A$33,0))),"Folder code isn't on the folder map. ","")&amp;IF(AND(C199&lt;&gt;"",NOT(ISNUMBER(C199))),"No. must be a whole number. ","")&amp;IF(AND(D199&lt;&gt;"",B199&lt;&gt;"",C199=""),"Type the next free no. ","")&amp;IF(AND(F199&lt;&gt;"",COUNTIF(F$4:F$303,F199)&gt;1),"Duplicate Doc ID. ","")))</f>
        <v/>
      </c>
      <c r="S199" s="22" t="n"/>
      <c r="T199" s="23" t="n"/>
    </row>
    <row r="200">
      <c r="A200" s="35" t="n"/>
      <c r="B200" s="22" t="n"/>
      <c r="C200" s="22" t="n"/>
      <c r="D200" s="7">
        <f>IF(A200="","",IF(ISNUMBER(A200),TEXT(A200,"00"),TRIM(A200)))</f>
        <v/>
      </c>
      <c r="E200" s="7">
        <f t="array" ref="E200">IF(OR(D200="",B200=""),"",MAX(IF((D$4:D$303=D200)*(B$4:B$303=B200)*ISNUMBER(C$4:C$303),C$4:C$303,0))+1)</f>
        <v/>
      </c>
      <c r="F200" s="7">
        <f>IF(OR(D200="",B200="",NOT(ISNUMBER(C200))),"",D200&amp;"-"&amp;B200&amp;"-"&amp;TEXT(C200,"000"))</f>
        <v/>
      </c>
      <c r="G200" s="23" t="n"/>
      <c r="H200" s="22" t="n"/>
      <c r="I200" s="24" t="n"/>
      <c r="J200" s="22" t="n"/>
      <c r="K200" s="22" t="n"/>
      <c r="L200" s="22" t="n"/>
      <c r="M200" s="22" t="n"/>
      <c r="N200" s="22" t="n"/>
      <c r="O200" s="7">
        <f>IF(F200="","",F200&amp;"_"&amp;SUBSTITUTE(SUBSTITUTE(SUBSTITUTE(SUBSTITUTE(SUBSTITUTE(SUBSTITUTE(SUBSTITUTE(SUBSTITUTE(SUBSTITUTE(SUBSTITUTE(TRIM(G200)," ","-"),"/","-"),"\","-"),":","-"),"*","-"),"?","-"),"""","-"),"&lt;","-"),"&gt;","-"),"|","-")&amp;IF(H200="","","_Rev"&amp;H200))</f>
        <v/>
      </c>
      <c r="P200" s="7">
        <f>IF(D200="","",IF(L200="Superseded","99 Archive",IF(AND(D200="04",K200&lt;&gt;""),IFERROR(INDEX('Google Drive Map'!$B$4:$B$33,MATCH("04/"&amp;LEFT(K200,2),'Google Drive Map'!$A$4:$A$33,0)),"04 Trades &amp; Tenders/"&amp;K200),IFERROR(INDEX('Google Drive Map'!$B$4:$B$33,MATCH(D200,'Google Drive Map'!$A$4:$A$33,0)),""))))</f>
        <v/>
      </c>
      <c r="Q200" s="7">
        <f>IF(P200="","",IF(IFERROR(INDEX('Google Drive Map'!$G$4:$G$33,MATCH(P200,'Google Drive Map'!$B$4:$B$33,0))&amp;"","")="","",HYPERLINK(INDEX('Google Drive Map'!$G$4:$G$33,MATCH(P200,'Google Drive Map'!$B$4:$B$33,0)),"Open")))</f>
        <v/>
      </c>
      <c r="R200" s="7">
        <f>IF(AND(A200="",B200="",C200=""),"",TRIM(IF(AND(D200&lt;&gt;"",ISNA(MATCH(D200,'Google Drive Map'!$A$4:$A$33,0))),"Folder code isn't on the folder map. ","")&amp;IF(AND(C200&lt;&gt;"",NOT(ISNUMBER(C200))),"No. must be a whole number. ","")&amp;IF(AND(D200&lt;&gt;"",B200&lt;&gt;"",C200=""),"Type the next free no. ","")&amp;IF(AND(F200&lt;&gt;"",COUNTIF(F$4:F$303,F200)&gt;1),"Duplicate Doc ID. ","")))</f>
        <v/>
      </c>
      <c r="S200" s="22" t="n"/>
      <c r="T200" s="23" t="n"/>
    </row>
    <row r="201">
      <c r="A201" s="35" t="n"/>
      <c r="B201" s="22" t="n"/>
      <c r="C201" s="22" t="n"/>
      <c r="D201" s="7">
        <f>IF(A201="","",IF(ISNUMBER(A201),TEXT(A201,"00"),TRIM(A201)))</f>
        <v/>
      </c>
      <c r="E201" s="7">
        <f t="array" ref="E201">IF(OR(D201="",B201=""),"",MAX(IF((D$4:D$303=D201)*(B$4:B$303=B201)*ISNUMBER(C$4:C$303),C$4:C$303,0))+1)</f>
        <v/>
      </c>
      <c r="F201" s="7">
        <f>IF(OR(D201="",B201="",NOT(ISNUMBER(C201))),"",D201&amp;"-"&amp;B201&amp;"-"&amp;TEXT(C201,"000"))</f>
        <v/>
      </c>
      <c r="G201" s="23" t="n"/>
      <c r="H201" s="22" t="n"/>
      <c r="I201" s="24" t="n"/>
      <c r="J201" s="22" t="n"/>
      <c r="K201" s="22" t="n"/>
      <c r="L201" s="22" t="n"/>
      <c r="M201" s="22" t="n"/>
      <c r="N201" s="22" t="n"/>
      <c r="O201" s="7">
        <f>IF(F201="","",F201&amp;"_"&amp;SUBSTITUTE(SUBSTITUTE(SUBSTITUTE(SUBSTITUTE(SUBSTITUTE(SUBSTITUTE(SUBSTITUTE(SUBSTITUTE(SUBSTITUTE(SUBSTITUTE(TRIM(G201)," ","-"),"/","-"),"\","-"),":","-"),"*","-"),"?","-"),"""","-"),"&lt;","-"),"&gt;","-"),"|","-")&amp;IF(H201="","","_Rev"&amp;H201))</f>
        <v/>
      </c>
      <c r="P201" s="7">
        <f>IF(D201="","",IF(L201="Superseded","99 Archive",IF(AND(D201="04",K201&lt;&gt;""),IFERROR(INDEX('Google Drive Map'!$B$4:$B$33,MATCH("04/"&amp;LEFT(K201,2),'Google Drive Map'!$A$4:$A$33,0)),"04 Trades &amp; Tenders/"&amp;K201),IFERROR(INDEX('Google Drive Map'!$B$4:$B$33,MATCH(D201,'Google Drive Map'!$A$4:$A$33,0)),""))))</f>
        <v/>
      </c>
      <c r="Q201" s="7">
        <f>IF(P201="","",IF(IFERROR(INDEX('Google Drive Map'!$G$4:$G$33,MATCH(P201,'Google Drive Map'!$B$4:$B$33,0))&amp;"","")="","",HYPERLINK(INDEX('Google Drive Map'!$G$4:$G$33,MATCH(P201,'Google Drive Map'!$B$4:$B$33,0)),"Open")))</f>
        <v/>
      </c>
      <c r="R201" s="7">
        <f>IF(AND(A201="",B201="",C201=""),"",TRIM(IF(AND(D201&lt;&gt;"",ISNA(MATCH(D201,'Google Drive Map'!$A$4:$A$33,0))),"Folder code isn't on the folder map. ","")&amp;IF(AND(C201&lt;&gt;"",NOT(ISNUMBER(C201))),"No. must be a whole number. ","")&amp;IF(AND(D201&lt;&gt;"",B201&lt;&gt;"",C201=""),"Type the next free no. ","")&amp;IF(AND(F201&lt;&gt;"",COUNTIF(F$4:F$303,F201)&gt;1),"Duplicate Doc ID. ","")))</f>
        <v/>
      </c>
      <c r="S201" s="22" t="n"/>
      <c r="T201" s="23" t="n"/>
    </row>
    <row r="202">
      <c r="A202" s="35" t="n"/>
      <c r="B202" s="22" t="n"/>
      <c r="C202" s="22" t="n"/>
      <c r="D202" s="7">
        <f>IF(A202="","",IF(ISNUMBER(A202),TEXT(A202,"00"),TRIM(A202)))</f>
        <v/>
      </c>
      <c r="E202" s="7">
        <f t="array" ref="E202">IF(OR(D202="",B202=""),"",MAX(IF((D$4:D$303=D202)*(B$4:B$303=B202)*ISNUMBER(C$4:C$303),C$4:C$303,0))+1)</f>
        <v/>
      </c>
      <c r="F202" s="7">
        <f>IF(OR(D202="",B202="",NOT(ISNUMBER(C202))),"",D202&amp;"-"&amp;B202&amp;"-"&amp;TEXT(C202,"000"))</f>
        <v/>
      </c>
      <c r="G202" s="23" t="n"/>
      <c r="H202" s="22" t="n"/>
      <c r="I202" s="24" t="n"/>
      <c r="J202" s="22" t="n"/>
      <c r="K202" s="22" t="n"/>
      <c r="L202" s="22" t="n"/>
      <c r="M202" s="22" t="n"/>
      <c r="N202" s="22" t="n"/>
      <c r="O202" s="7">
        <f>IF(F202="","",F202&amp;"_"&amp;SUBSTITUTE(SUBSTITUTE(SUBSTITUTE(SUBSTITUTE(SUBSTITUTE(SUBSTITUTE(SUBSTITUTE(SUBSTITUTE(SUBSTITUTE(SUBSTITUTE(TRIM(G202)," ","-"),"/","-"),"\","-"),":","-"),"*","-"),"?","-"),"""","-"),"&lt;","-"),"&gt;","-"),"|","-")&amp;IF(H202="","","_Rev"&amp;H202))</f>
        <v/>
      </c>
      <c r="P202" s="7">
        <f>IF(D202="","",IF(L202="Superseded","99 Archive",IF(AND(D202="04",K202&lt;&gt;""),IFERROR(INDEX('Google Drive Map'!$B$4:$B$33,MATCH("04/"&amp;LEFT(K202,2),'Google Drive Map'!$A$4:$A$33,0)),"04 Trades &amp; Tenders/"&amp;K202),IFERROR(INDEX('Google Drive Map'!$B$4:$B$33,MATCH(D202,'Google Drive Map'!$A$4:$A$33,0)),""))))</f>
        <v/>
      </c>
      <c r="Q202" s="7">
        <f>IF(P202="","",IF(IFERROR(INDEX('Google Drive Map'!$G$4:$G$33,MATCH(P202,'Google Drive Map'!$B$4:$B$33,0))&amp;"","")="","",HYPERLINK(INDEX('Google Drive Map'!$G$4:$G$33,MATCH(P202,'Google Drive Map'!$B$4:$B$33,0)),"Open")))</f>
        <v/>
      </c>
      <c r="R202" s="7">
        <f>IF(AND(A202="",B202="",C202=""),"",TRIM(IF(AND(D202&lt;&gt;"",ISNA(MATCH(D202,'Google Drive Map'!$A$4:$A$33,0))),"Folder code isn't on the folder map. ","")&amp;IF(AND(C202&lt;&gt;"",NOT(ISNUMBER(C202))),"No. must be a whole number. ","")&amp;IF(AND(D202&lt;&gt;"",B202&lt;&gt;"",C202=""),"Type the next free no. ","")&amp;IF(AND(F202&lt;&gt;"",COUNTIF(F$4:F$303,F202)&gt;1),"Duplicate Doc ID. ","")))</f>
        <v/>
      </c>
      <c r="S202" s="22" t="n"/>
      <c r="T202" s="23" t="n"/>
    </row>
    <row r="203">
      <c r="A203" s="35" t="n"/>
      <c r="B203" s="22" t="n"/>
      <c r="C203" s="22" t="n"/>
      <c r="D203" s="7">
        <f>IF(A203="","",IF(ISNUMBER(A203),TEXT(A203,"00"),TRIM(A203)))</f>
        <v/>
      </c>
      <c r="E203" s="7">
        <f t="array" ref="E203">IF(OR(D203="",B203=""),"",MAX(IF((D$4:D$303=D203)*(B$4:B$303=B203)*ISNUMBER(C$4:C$303),C$4:C$303,0))+1)</f>
        <v/>
      </c>
      <c r="F203" s="7">
        <f>IF(OR(D203="",B203="",NOT(ISNUMBER(C203))),"",D203&amp;"-"&amp;B203&amp;"-"&amp;TEXT(C203,"000"))</f>
        <v/>
      </c>
      <c r="G203" s="23" t="n"/>
      <c r="H203" s="22" t="n"/>
      <c r="I203" s="24" t="n"/>
      <c r="J203" s="22" t="n"/>
      <c r="K203" s="22" t="n"/>
      <c r="L203" s="22" t="n"/>
      <c r="M203" s="22" t="n"/>
      <c r="N203" s="22" t="n"/>
      <c r="O203" s="7">
        <f>IF(F203="","",F203&amp;"_"&amp;SUBSTITUTE(SUBSTITUTE(SUBSTITUTE(SUBSTITUTE(SUBSTITUTE(SUBSTITUTE(SUBSTITUTE(SUBSTITUTE(SUBSTITUTE(SUBSTITUTE(TRIM(G203)," ","-"),"/","-"),"\","-"),":","-"),"*","-"),"?","-"),"""","-"),"&lt;","-"),"&gt;","-"),"|","-")&amp;IF(H203="","","_Rev"&amp;H203))</f>
        <v/>
      </c>
      <c r="P203" s="7">
        <f>IF(D203="","",IF(L203="Superseded","99 Archive",IF(AND(D203="04",K203&lt;&gt;""),IFERROR(INDEX('Google Drive Map'!$B$4:$B$33,MATCH("04/"&amp;LEFT(K203,2),'Google Drive Map'!$A$4:$A$33,0)),"04 Trades &amp; Tenders/"&amp;K203),IFERROR(INDEX('Google Drive Map'!$B$4:$B$33,MATCH(D203,'Google Drive Map'!$A$4:$A$33,0)),""))))</f>
        <v/>
      </c>
      <c r="Q203" s="7">
        <f>IF(P203="","",IF(IFERROR(INDEX('Google Drive Map'!$G$4:$G$33,MATCH(P203,'Google Drive Map'!$B$4:$B$33,0))&amp;"","")="","",HYPERLINK(INDEX('Google Drive Map'!$G$4:$G$33,MATCH(P203,'Google Drive Map'!$B$4:$B$33,0)),"Open")))</f>
        <v/>
      </c>
      <c r="R203" s="7">
        <f>IF(AND(A203="",B203="",C203=""),"",TRIM(IF(AND(D203&lt;&gt;"",ISNA(MATCH(D203,'Google Drive Map'!$A$4:$A$33,0))),"Folder code isn't on the folder map. ","")&amp;IF(AND(C203&lt;&gt;"",NOT(ISNUMBER(C203))),"No. must be a whole number. ","")&amp;IF(AND(D203&lt;&gt;"",B203&lt;&gt;"",C203=""),"Type the next free no. ","")&amp;IF(AND(F203&lt;&gt;"",COUNTIF(F$4:F$303,F203)&gt;1),"Duplicate Doc ID. ","")))</f>
        <v/>
      </c>
      <c r="S203" s="22" t="n"/>
      <c r="T203" s="23" t="n"/>
    </row>
    <row r="204">
      <c r="A204" s="35" t="n"/>
      <c r="B204" s="22" t="n"/>
      <c r="C204" s="22" t="n"/>
      <c r="D204" s="7">
        <f>IF(A204="","",IF(ISNUMBER(A204),TEXT(A204,"00"),TRIM(A204)))</f>
        <v/>
      </c>
      <c r="E204" s="7">
        <f t="array" ref="E204">IF(OR(D204="",B204=""),"",MAX(IF((D$4:D$303=D204)*(B$4:B$303=B204)*ISNUMBER(C$4:C$303),C$4:C$303,0))+1)</f>
        <v/>
      </c>
      <c r="F204" s="7">
        <f>IF(OR(D204="",B204="",NOT(ISNUMBER(C204))),"",D204&amp;"-"&amp;B204&amp;"-"&amp;TEXT(C204,"000"))</f>
        <v/>
      </c>
      <c r="G204" s="23" t="n"/>
      <c r="H204" s="22" t="n"/>
      <c r="I204" s="24" t="n"/>
      <c r="J204" s="22" t="n"/>
      <c r="K204" s="22" t="n"/>
      <c r="L204" s="22" t="n"/>
      <c r="M204" s="22" t="n"/>
      <c r="N204" s="22" t="n"/>
      <c r="O204" s="7">
        <f>IF(F204="","",F204&amp;"_"&amp;SUBSTITUTE(SUBSTITUTE(SUBSTITUTE(SUBSTITUTE(SUBSTITUTE(SUBSTITUTE(SUBSTITUTE(SUBSTITUTE(SUBSTITUTE(SUBSTITUTE(TRIM(G204)," ","-"),"/","-"),"\","-"),":","-"),"*","-"),"?","-"),"""","-"),"&lt;","-"),"&gt;","-"),"|","-")&amp;IF(H204="","","_Rev"&amp;H204))</f>
        <v/>
      </c>
      <c r="P204" s="7">
        <f>IF(D204="","",IF(L204="Superseded","99 Archive",IF(AND(D204="04",K204&lt;&gt;""),IFERROR(INDEX('Google Drive Map'!$B$4:$B$33,MATCH("04/"&amp;LEFT(K204,2),'Google Drive Map'!$A$4:$A$33,0)),"04 Trades &amp; Tenders/"&amp;K204),IFERROR(INDEX('Google Drive Map'!$B$4:$B$33,MATCH(D204,'Google Drive Map'!$A$4:$A$33,0)),""))))</f>
        <v/>
      </c>
      <c r="Q204" s="7">
        <f>IF(P204="","",IF(IFERROR(INDEX('Google Drive Map'!$G$4:$G$33,MATCH(P204,'Google Drive Map'!$B$4:$B$33,0))&amp;"","")="","",HYPERLINK(INDEX('Google Drive Map'!$G$4:$G$33,MATCH(P204,'Google Drive Map'!$B$4:$B$33,0)),"Open")))</f>
        <v/>
      </c>
      <c r="R204" s="7">
        <f>IF(AND(A204="",B204="",C204=""),"",TRIM(IF(AND(D204&lt;&gt;"",ISNA(MATCH(D204,'Google Drive Map'!$A$4:$A$33,0))),"Folder code isn't on the folder map. ","")&amp;IF(AND(C204&lt;&gt;"",NOT(ISNUMBER(C204))),"No. must be a whole number. ","")&amp;IF(AND(D204&lt;&gt;"",B204&lt;&gt;"",C204=""),"Type the next free no. ","")&amp;IF(AND(F204&lt;&gt;"",COUNTIF(F$4:F$303,F204)&gt;1),"Duplicate Doc ID. ","")))</f>
        <v/>
      </c>
      <c r="S204" s="22" t="n"/>
      <c r="T204" s="23" t="n"/>
    </row>
    <row r="205">
      <c r="A205" s="35" t="n"/>
      <c r="B205" s="22" t="n"/>
      <c r="C205" s="22" t="n"/>
      <c r="D205" s="7">
        <f>IF(A205="","",IF(ISNUMBER(A205),TEXT(A205,"00"),TRIM(A205)))</f>
        <v/>
      </c>
      <c r="E205" s="7">
        <f t="array" ref="E205">IF(OR(D205="",B205=""),"",MAX(IF((D$4:D$303=D205)*(B$4:B$303=B205)*ISNUMBER(C$4:C$303),C$4:C$303,0))+1)</f>
        <v/>
      </c>
      <c r="F205" s="7">
        <f>IF(OR(D205="",B205="",NOT(ISNUMBER(C205))),"",D205&amp;"-"&amp;B205&amp;"-"&amp;TEXT(C205,"000"))</f>
        <v/>
      </c>
      <c r="G205" s="23" t="n"/>
      <c r="H205" s="22" t="n"/>
      <c r="I205" s="24" t="n"/>
      <c r="J205" s="22" t="n"/>
      <c r="K205" s="22" t="n"/>
      <c r="L205" s="22" t="n"/>
      <c r="M205" s="22" t="n"/>
      <c r="N205" s="22" t="n"/>
      <c r="O205" s="7">
        <f>IF(F205="","",F205&amp;"_"&amp;SUBSTITUTE(SUBSTITUTE(SUBSTITUTE(SUBSTITUTE(SUBSTITUTE(SUBSTITUTE(SUBSTITUTE(SUBSTITUTE(SUBSTITUTE(SUBSTITUTE(TRIM(G205)," ","-"),"/","-"),"\","-"),":","-"),"*","-"),"?","-"),"""","-"),"&lt;","-"),"&gt;","-"),"|","-")&amp;IF(H205="","","_Rev"&amp;H205))</f>
        <v/>
      </c>
      <c r="P205" s="7">
        <f>IF(D205="","",IF(L205="Superseded","99 Archive",IF(AND(D205="04",K205&lt;&gt;""),IFERROR(INDEX('Google Drive Map'!$B$4:$B$33,MATCH("04/"&amp;LEFT(K205,2),'Google Drive Map'!$A$4:$A$33,0)),"04 Trades &amp; Tenders/"&amp;K205),IFERROR(INDEX('Google Drive Map'!$B$4:$B$33,MATCH(D205,'Google Drive Map'!$A$4:$A$33,0)),""))))</f>
        <v/>
      </c>
      <c r="Q205" s="7">
        <f>IF(P205="","",IF(IFERROR(INDEX('Google Drive Map'!$G$4:$G$33,MATCH(P205,'Google Drive Map'!$B$4:$B$33,0))&amp;"","")="","",HYPERLINK(INDEX('Google Drive Map'!$G$4:$G$33,MATCH(P205,'Google Drive Map'!$B$4:$B$33,0)),"Open")))</f>
        <v/>
      </c>
      <c r="R205" s="7">
        <f>IF(AND(A205="",B205="",C205=""),"",TRIM(IF(AND(D205&lt;&gt;"",ISNA(MATCH(D205,'Google Drive Map'!$A$4:$A$33,0))),"Folder code isn't on the folder map. ","")&amp;IF(AND(C205&lt;&gt;"",NOT(ISNUMBER(C205))),"No. must be a whole number. ","")&amp;IF(AND(D205&lt;&gt;"",B205&lt;&gt;"",C205=""),"Type the next free no. ","")&amp;IF(AND(F205&lt;&gt;"",COUNTIF(F$4:F$303,F205)&gt;1),"Duplicate Doc ID. ","")))</f>
        <v/>
      </c>
      <c r="S205" s="22" t="n"/>
      <c r="T205" s="23" t="n"/>
    </row>
    <row r="206">
      <c r="A206" s="35" t="n"/>
      <c r="B206" s="22" t="n"/>
      <c r="C206" s="22" t="n"/>
      <c r="D206" s="7">
        <f>IF(A206="","",IF(ISNUMBER(A206),TEXT(A206,"00"),TRIM(A206)))</f>
        <v/>
      </c>
      <c r="E206" s="7">
        <f t="array" ref="E206">IF(OR(D206="",B206=""),"",MAX(IF((D$4:D$303=D206)*(B$4:B$303=B206)*ISNUMBER(C$4:C$303),C$4:C$303,0))+1)</f>
        <v/>
      </c>
      <c r="F206" s="7">
        <f>IF(OR(D206="",B206="",NOT(ISNUMBER(C206))),"",D206&amp;"-"&amp;B206&amp;"-"&amp;TEXT(C206,"000"))</f>
        <v/>
      </c>
      <c r="G206" s="23" t="n"/>
      <c r="H206" s="22" t="n"/>
      <c r="I206" s="24" t="n"/>
      <c r="J206" s="22" t="n"/>
      <c r="K206" s="22" t="n"/>
      <c r="L206" s="22" t="n"/>
      <c r="M206" s="22" t="n"/>
      <c r="N206" s="22" t="n"/>
      <c r="O206" s="7">
        <f>IF(F206="","",F206&amp;"_"&amp;SUBSTITUTE(SUBSTITUTE(SUBSTITUTE(SUBSTITUTE(SUBSTITUTE(SUBSTITUTE(SUBSTITUTE(SUBSTITUTE(SUBSTITUTE(SUBSTITUTE(TRIM(G206)," ","-"),"/","-"),"\","-"),":","-"),"*","-"),"?","-"),"""","-"),"&lt;","-"),"&gt;","-"),"|","-")&amp;IF(H206="","","_Rev"&amp;H206))</f>
        <v/>
      </c>
      <c r="P206" s="7">
        <f>IF(D206="","",IF(L206="Superseded","99 Archive",IF(AND(D206="04",K206&lt;&gt;""),IFERROR(INDEX('Google Drive Map'!$B$4:$B$33,MATCH("04/"&amp;LEFT(K206,2),'Google Drive Map'!$A$4:$A$33,0)),"04 Trades &amp; Tenders/"&amp;K206),IFERROR(INDEX('Google Drive Map'!$B$4:$B$33,MATCH(D206,'Google Drive Map'!$A$4:$A$33,0)),""))))</f>
        <v/>
      </c>
      <c r="Q206" s="7">
        <f>IF(P206="","",IF(IFERROR(INDEX('Google Drive Map'!$G$4:$G$33,MATCH(P206,'Google Drive Map'!$B$4:$B$33,0))&amp;"","")="","",HYPERLINK(INDEX('Google Drive Map'!$G$4:$G$33,MATCH(P206,'Google Drive Map'!$B$4:$B$33,0)),"Open")))</f>
        <v/>
      </c>
      <c r="R206" s="7">
        <f>IF(AND(A206="",B206="",C206=""),"",TRIM(IF(AND(D206&lt;&gt;"",ISNA(MATCH(D206,'Google Drive Map'!$A$4:$A$33,0))),"Folder code isn't on the folder map. ","")&amp;IF(AND(C206&lt;&gt;"",NOT(ISNUMBER(C206))),"No. must be a whole number. ","")&amp;IF(AND(D206&lt;&gt;"",B206&lt;&gt;"",C206=""),"Type the next free no. ","")&amp;IF(AND(F206&lt;&gt;"",COUNTIF(F$4:F$303,F206)&gt;1),"Duplicate Doc ID. ","")))</f>
        <v/>
      </c>
      <c r="S206" s="22" t="n"/>
      <c r="T206" s="23" t="n"/>
    </row>
    <row r="207">
      <c r="A207" s="35" t="n"/>
      <c r="B207" s="22" t="n"/>
      <c r="C207" s="22" t="n"/>
      <c r="D207" s="7">
        <f>IF(A207="","",IF(ISNUMBER(A207),TEXT(A207,"00"),TRIM(A207)))</f>
        <v/>
      </c>
      <c r="E207" s="7">
        <f t="array" ref="E207">IF(OR(D207="",B207=""),"",MAX(IF((D$4:D$303=D207)*(B$4:B$303=B207)*ISNUMBER(C$4:C$303),C$4:C$303,0))+1)</f>
        <v/>
      </c>
      <c r="F207" s="7">
        <f>IF(OR(D207="",B207="",NOT(ISNUMBER(C207))),"",D207&amp;"-"&amp;B207&amp;"-"&amp;TEXT(C207,"000"))</f>
        <v/>
      </c>
      <c r="G207" s="23" t="n"/>
      <c r="H207" s="22" t="n"/>
      <c r="I207" s="24" t="n"/>
      <c r="J207" s="22" t="n"/>
      <c r="K207" s="22" t="n"/>
      <c r="L207" s="22" t="n"/>
      <c r="M207" s="22" t="n"/>
      <c r="N207" s="22" t="n"/>
      <c r="O207" s="7">
        <f>IF(F207="","",F207&amp;"_"&amp;SUBSTITUTE(SUBSTITUTE(SUBSTITUTE(SUBSTITUTE(SUBSTITUTE(SUBSTITUTE(SUBSTITUTE(SUBSTITUTE(SUBSTITUTE(SUBSTITUTE(TRIM(G207)," ","-"),"/","-"),"\","-"),":","-"),"*","-"),"?","-"),"""","-"),"&lt;","-"),"&gt;","-"),"|","-")&amp;IF(H207="","","_Rev"&amp;H207))</f>
        <v/>
      </c>
      <c r="P207" s="7">
        <f>IF(D207="","",IF(L207="Superseded","99 Archive",IF(AND(D207="04",K207&lt;&gt;""),IFERROR(INDEX('Google Drive Map'!$B$4:$B$33,MATCH("04/"&amp;LEFT(K207,2),'Google Drive Map'!$A$4:$A$33,0)),"04 Trades &amp; Tenders/"&amp;K207),IFERROR(INDEX('Google Drive Map'!$B$4:$B$33,MATCH(D207,'Google Drive Map'!$A$4:$A$33,0)),""))))</f>
        <v/>
      </c>
      <c r="Q207" s="7">
        <f>IF(P207="","",IF(IFERROR(INDEX('Google Drive Map'!$G$4:$G$33,MATCH(P207,'Google Drive Map'!$B$4:$B$33,0))&amp;"","")="","",HYPERLINK(INDEX('Google Drive Map'!$G$4:$G$33,MATCH(P207,'Google Drive Map'!$B$4:$B$33,0)),"Open")))</f>
        <v/>
      </c>
      <c r="R207" s="7">
        <f>IF(AND(A207="",B207="",C207=""),"",TRIM(IF(AND(D207&lt;&gt;"",ISNA(MATCH(D207,'Google Drive Map'!$A$4:$A$33,0))),"Folder code isn't on the folder map. ","")&amp;IF(AND(C207&lt;&gt;"",NOT(ISNUMBER(C207))),"No. must be a whole number. ","")&amp;IF(AND(D207&lt;&gt;"",B207&lt;&gt;"",C207=""),"Type the next free no. ","")&amp;IF(AND(F207&lt;&gt;"",COUNTIF(F$4:F$303,F207)&gt;1),"Duplicate Doc ID. ","")))</f>
        <v/>
      </c>
      <c r="S207" s="22" t="n"/>
      <c r="T207" s="23" t="n"/>
    </row>
    <row r="208">
      <c r="A208" s="35" t="n"/>
      <c r="B208" s="22" t="n"/>
      <c r="C208" s="22" t="n"/>
      <c r="D208" s="7">
        <f>IF(A208="","",IF(ISNUMBER(A208),TEXT(A208,"00"),TRIM(A208)))</f>
        <v/>
      </c>
      <c r="E208" s="7">
        <f t="array" ref="E208">IF(OR(D208="",B208=""),"",MAX(IF((D$4:D$303=D208)*(B$4:B$303=B208)*ISNUMBER(C$4:C$303),C$4:C$303,0))+1)</f>
        <v/>
      </c>
      <c r="F208" s="7">
        <f>IF(OR(D208="",B208="",NOT(ISNUMBER(C208))),"",D208&amp;"-"&amp;B208&amp;"-"&amp;TEXT(C208,"000"))</f>
        <v/>
      </c>
      <c r="G208" s="23" t="n"/>
      <c r="H208" s="22" t="n"/>
      <c r="I208" s="24" t="n"/>
      <c r="J208" s="22" t="n"/>
      <c r="K208" s="22" t="n"/>
      <c r="L208" s="22" t="n"/>
      <c r="M208" s="22" t="n"/>
      <c r="N208" s="22" t="n"/>
      <c r="O208" s="7">
        <f>IF(F208="","",F208&amp;"_"&amp;SUBSTITUTE(SUBSTITUTE(SUBSTITUTE(SUBSTITUTE(SUBSTITUTE(SUBSTITUTE(SUBSTITUTE(SUBSTITUTE(SUBSTITUTE(SUBSTITUTE(TRIM(G208)," ","-"),"/","-"),"\","-"),":","-"),"*","-"),"?","-"),"""","-"),"&lt;","-"),"&gt;","-"),"|","-")&amp;IF(H208="","","_Rev"&amp;H208))</f>
        <v/>
      </c>
      <c r="P208" s="7">
        <f>IF(D208="","",IF(L208="Superseded","99 Archive",IF(AND(D208="04",K208&lt;&gt;""),IFERROR(INDEX('Google Drive Map'!$B$4:$B$33,MATCH("04/"&amp;LEFT(K208,2),'Google Drive Map'!$A$4:$A$33,0)),"04 Trades &amp; Tenders/"&amp;K208),IFERROR(INDEX('Google Drive Map'!$B$4:$B$33,MATCH(D208,'Google Drive Map'!$A$4:$A$33,0)),""))))</f>
        <v/>
      </c>
      <c r="Q208" s="7">
        <f>IF(P208="","",IF(IFERROR(INDEX('Google Drive Map'!$G$4:$G$33,MATCH(P208,'Google Drive Map'!$B$4:$B$33,0))&amp;"","")="","",HYPERLINK(INDEX('Google Drive Map'!$G$4:$G$33,MATCH(P208,'Google Drive Map'!$B$4:$B$33,0)),"Open")))</f>
        <v/>
      </c>
      <c r="R208" s="7">
        <f>IF(AND(A208="",B208="",C208=""),"",TRIM(IF(AND(D208&lt;&gt;"",ISNA(MATCH(D208,'Google Drive Map'!$A$4:$A$33,0))),"Folder code isn't on the folder map. ","")&amp;IF(AND(C208&lt;&gt;"",NOT(ISNUMBER(C208))),"No. must be a whole number. ","")&amp;IF(AND(D208&lt;&gt;"",B208&lt;&gt;"",C208=""),"Type the next free no. ","")&amp;IF(AND(F208&lt;&gt;"",COUNTIF(F$4:F$303,F208)&gt;1),"Duplicate Doc ID. ","")))</f>
        <v/>
      </c>
      <c r="S208" s="22" t="n"/>
      <c r="T208" s="23" t="n"/>
    </row>
    <row r="209">
      <c r="A209" s="35" t="n"/>
      <c r="B209" s="22" t="n"/>
      <c r="C209" s="22" t="n"/>
      <c r="D209" s="7">
        <f>IF(A209="","",IF(ISNUMBER(A209),TEXT(A209,"00"),TRIM(A209)))</f>
        <v/>
      </c>
      <c r="E209" s="7">
        <f t="array" ref="E209">IF(OR(D209="",B209=""),"",MAX(IF((D$4:D$303=D209)*(B$4:B$303=B209)*ISNUMBER(C$4:C$303),C$4:C$303,0))+1)</f>
        <v/>
      </c>
      <c r="F209" s="7">
        <f>IF(OR(D209="",B209="",NOT(ISNUMBER(C209))),"",D209&amp;"-"&amp;B209&amp;"-"&amp;TEXT(C209,"000"))</f>
        <v/>
      </c>
      <c r="G209" s="23" t="n"/>
      <c r="H209" s="22" t="n"/>
      <c r="I209" s="24" t="n"/>
      <c r="J209" s="22" t="n"/>
      <c r="K209" s="22" t="n"/>
      <c r="L209" s="22" t="n"/>
      <c r="M209" s="22" t="n"/>
      <c r="N209" s="22" t="n"/>
      <c r="O209" s="7">
        <f>IF(F209="","",F209&amp;"_"&amp;SUBSTITUTE(SUBSTITUTE(SUBSTITUTE(SUBSTITUTE(SUBSTITUTE(SUBSTITUTE(SUBSTITUTE(SUBSTITUTE(SUBSTITUTE(SUBSTITUTE(TRIM(G209)," ","-"),"/","-"),"\","-"),":","-"),"*","-"),"?","-"),"""","-"),"&lt;","-"),"&gt;","-"),"|","-")&amp;IF(H209="","","_Rev"&amp;H209))</f>
        <v/>
      </c>
      <c r="P209" s="7">
        <f>IF(D209="","",IF(L209="Superseded","99 Archive",IF(AND(D209="04",K209&lt;&gt;""),IFERROR(INDEX('Google Drive Map'!$B$4:$B$33,MATCH("04/"&amp;LEFT(K209,2),'Google Drive Map'!$A$4:$A$33,0)),"04 Trades &amp; Tenders/"&amp;K209),IFERROR(INDEX('Google Drive Map'!$B$4:$B$33,MATCH(D209,'Google Drive Map'!$A$4:$A$33,0)),""))))</f>
        <v/>
      </c>
      <c r="Q209" s="7">
        <f>IF(P209="","",IF(IFERROR(INDEX('Google Drive Map'!$G$4:$G$33,MATCH(P209,'Google Drive Map'!$B$4:$B$33,0))&amp;"","")="","",HYPERLINK(INDEX('Google Drive Map'!$G$4:$G$33,MATCH(P209,'Google Drive Map'!$B$4:$B$33,0)),"Open")))</f>
        <v/>
      </c>
      <c r="R209" s="7">
        <f>IF(AND(A209="",B209="",C209=""),"",TRIM(IF(AND(D209&lt;&gt;"",ISNA(MATCH(D209,'Google Drive Map'!$A$4:$A$33,0))),"Folder code isn't on the folder map. ","")&amp;IF(AND(C209&lt;&gt;"",NOT(ISNUMBER(C209))),"No. must be a whole number. ","")&amp;IF(AND(D209&lt;&gt;"",B209&lt;&gt;"",C209=""),"Type the next free no. ","")&amp;IF(AND(F209&lt;&gt;"",COUNTIF(F$4:F$303,F209)&gt;1),"Duplicate Doc ID. ","")))</f>
        <v/>
      </c>
      <c r="S209" s="22" t="n"/>
      <c r="T209" s="23" t="n"/>
    </row>
    <row r="210">
      <c r="A210" s="35" t="n"/>
      <c r="B210" s="22" t="n"/>
      <c r="C210" s="22" t="n"/>
      <c r="D210" s="7">
        <f>IF(A210="","",IF(ISNUMBER(A210),TEXT(A210,"00"),TRIM(A210)))</f>
        <v/>
      </c>
      <c r="E210" s="7">
        <f t="array" ref="E210">IF(OR(D210="",B210=""),"",MAX(IF((D$4:D$303=D210)*(B$4:B$303=B210)*ISNUMBER(C$4:C$303),C$4:C$303,0))+1)</f>
        <v/>
      </c>
      <c r="F210" s="7">
        <f>IF(OR(D210="",B210="",NOT(ISNUMBER(C210))),"",D210&amp;"-"&amp;B210&amp;"-"&amp;TEXT(C210,"000"))</f>
        <v/>
      </c>
      <c r="G210" s="23" t="n"/>
      <c r="H210" s="22" t="n"/>
      <c r="I210" s="24" t="n"/>
      <c r="J210" s="22" t="n"/>
      <c r="K210" s="22" t="n"/>
      <c r="L210" s="22" t="n"/>
      <c r="M210" s="22" t="n"/>
      <c r="N210" s="22" t="n"/>
      <c r="O210" s="7">
        <f>IF(F210="","",F210&amp;"_"&amp;SUBSTITUTE(SUBSTITUTE(SUBSTITUTE(SUBSTITUTE(SUBSTITUTE(SUBSTITUTE(SUBSTITUTE(SUBSTITUTE(SUBSTITUTE(SUBSTITUTE(TRIM(G210)," ","-"),"/","-"),"\","-"),":","-"),"*","-"),"?","-"),"""","-"),"&lt;","-"),"&gt;","-"),"|","-")&amp;IF(H210="","","_Rev"&amp;H210))</f>
        <v/>
      </c>
      <c r="P210" s="7">
        <f>IF(D210="","",IF(L210="Superseded","99 Archive",IF(AND(D210="04",K210&lt;&gt;""),IFERROR(INDEX('Google Drive Map'!$B$4:$B$33,MATCH("04/"&amp;LEFT(K210,2),'Google Drive Map'!$A$4:$A$33,0)),"04 Trades &amp; Tenders/"&amp;K210),IFERROR(INDEX('Google Drive Map'!$B$4:$B$33,MATCH(D210,'Google Drive Map'!$A$4:$A$33,0)),""))))</f>
        <v/>
      </c>
      <c r="Q210" s="7">
        <f>IF(P210="","",IF(IFERROR(INDEX('Google Drive Map'!$G$4:$G$33,MATCH(P210,'Google Drive Map'!$B$4:$B$33,0))&amp;"","")="","",HYPERLINK(INDEX('Google Drive Map'!$G$4:$G$33,MATCH(P210,'Google Drive Map'!$B$4:$B$33,0)),"Open")))</f>
        <v/>
      </c>
      <c r="R210" s="7">
        <f>IF(AND(A210="",B210="",C210=""),"",TRIM(IF(AND(D210&lt;&gt;"",ISNA(MATCH(D210,'Google Drive Map'!$A$4:$A$33,0))),"Folder code isn't on the folder map. ","")&amp;IF(AND(C210&lt;&gt;"",NOT(ISNUMBER(C210))),"No. must be a whole number. ","")&amp;IF(AND(D210&lt;&gt;"",B210&lt;&gt;"",C210=""),"Type the next free no. ","")&amp;IF(AND(F210&lt;&gt;"",COUNTIF(F$4:F$303,F210)&gt;1),"Duplicate Doc ID. ","")))</f>
        <v/>
      </c>
      <c r="S210" s="22" t="n"/>
      <c r="T210" s="23" t="n"/>
    </row>
    <row r="211">
      <c r="A211" s="35" t="n"/>
      <c r="B211" s="22" t="n"/>
      <c r="C211" s="22" t="n"/>
      <c r="D211" s="7">
        <f>IF(A211="","",IF(ISNUMBER(A211),TEXT(A211,"00"),TRIM(A211)))</f>
        <v/>
      </c>
      <c r="E211" s="7">
        <f t="array" ref="E211">IF(OR(D211="",B211=""),"",MAX(IF((D$4:D$303=D211)*(B$4:B$303=B211)*ISNUMBER(C$4:C$303),C$4:C$303,0))+1)</f>
        <v/>
      </c>
      <c r="F211" s="7">
        <f>IF(OR(D211="",B211="",NOT(ISNUMBER(C211))),"",D211&amp;"-"&amp;B211&amp;"-"&amp;TEXT(C211,"000"))</f>
        <v/>
      </c>
      <c r="G211" s="23" t="n"/>
      <c r="H211" s="22" t="n"/>
      <c r="I211" s="24" t="n"/>
      <c r="J211" s="22" t="n"/>
      <c r="K211" s="22" t="n"/>
      <c r="L211" s="22" t="n"/>
      <c r="M211" s="22" t="n"/>
      <c r="N211" s="22" t="n"/>
      <c r="O211" s="7">
        <f>IF(F211="","",F211&amp;"_"&amp;SUBSTITUTE(SUBSTITUTE(SUBSTITUTE(SUBSTITUTE(SUBSTITUTE(SUBSTITUTE(SUBSTITUTE(SUBSTITUTE(SUBSTITUTE(SUBSTITUTE(TRIM(G211)," ","-"),"/","-"),"\","-"),":","-"),"*","-"),"?","-"),"""","-"),"&lt;","-"),"&gt;","-"),"|","-")&amp;IF(H211="","","_Rev"&amp;H211))</f>
        <v/>
      </c>
      <c r="P211" s="7">
        <f>IF(D211="","",IF(L211="Superseded","99 Archive",IF(AND(D211="04",K211&lt;&gt;""),IFERROR(INDEX('Google Drive Map'!$B$4:$B$33,MATCH("04/"&amp;LEFT(K211,2),'Google Drive Map'!$A$4:$A$33,0)),"04 Trades &amp; Tenders/"&amp;K211),IFERROR(INDEX('Google Drive Map'!$B$4:$B$33,MATCH(D211,'Google Drive Map'!$A$4:$A$33,0)),""))))</f>
        <v/>
      </c>
      <c r="Q211" s="7">
        <f>IF(P211="","",IF(IFERROR(INDEX('Google Drive Map'!$G$4:$G$33,MATCH(P211,'Google Drive Map'!$B$4:$B$33,0))&amp;"","")="","",HYPERLINK(INDEX('Google Drive Map'!$G$4:$G$33,MATCH(P211,'Google Drive Map'!$B$4:$B$33,0)),"Open")))</f>
        <v/>
      </c>
      <c r="R211" s="7">
        <f>IF(AND(A211="",B211="",C211=""),"",TRIM(IF(AND(D211&lt;&gt;"",ISNA(MATCH(D211,'Google Drive Map'!$A$4:$A$33,0))),"Folder code isn't on the folder map. ","")&amp;IF(AND(C211&lt;&gt;"",NOT(ISNUMBER(C211))),"No. must be a whole number. ","")&amp;IF(AND(D211&lt;&gt;"",B211&lt;&gt;"",C211=""),"Type the next free no. ","")&amp;IF(AND(F211&lt;&gt;"",COUNTIF(F$4:F$303,F211)&gt;1),"Duplicate Doc ID. ","")))</f>
        <v/>
      </c>
      <c r="S211" s="22" t="n"/>
      <c r="T211" s="23" t="n"/>
    </row>
    <row r="212">
      <c r="A212" s="35" t="n"/>
      <c r="B212" s="22" t="n"/>
      <c r="C212" s="22" t="n"/>
      <c r="D212" s="7">
        <f>IF(A212="","",IF(ISNUMBER(A212),TEXT(A212,"00"),TRIM(A212)))</f>
        <v/>
      </c>
      <c r="E212" s="7">
        <f t="array" ref="E212">IF(OR(D212="",B212=""),"",MAX(IF((D$4:D$303=D212)*(B$4:B$303=B212)*ISNUMBER(C$4:C$303),C$4:C$303,0))+1)</f>
        <v/>
      </c>
      <c r="F212" s="7">
        <f>IF(OR(D212="",B212="",NOT(ISNUMBER(C212))),"",D212&amp;"-"&amp;B212&amp;"-"&amp;TEXT(C212,"000"))</f>
        <v/>
      </c>
      <c r="G212" s="23" t="n"/>
      <c r="H212" s="22" t="n"/>
      <c r="I212" s="24" t="n"/>
      <c r="J212" s="22" t="n"/>
      <c r="K212" s="22" t="n"/>
      <c r="L212" s="22" t="n"/>
      <c r="M212" s="22" t="n"/>
      <c r="N212" s="22" t="n"/>
      <c r="O212" s="7">
        <f>IF(F212="","",F212&amp;"_"&amp;SUBSTITUTE(SUBSTITUTE(SUBSTITUTE(SUBSTITUTE(SUBSTITUTE(SUBSTITUTE(SUBSTITUTE(SUBSTITUTE(SUBSTITUTE(SUBSTITUTE(TRIM(G212)," ","-"),"/","-"),"\","-"),":","-"),"*","-"),"?","-"),"""","-"),"&lt;","-"),"&gt;","-"),"|","-")&amp;IF(H212="","","_Rev"&amp;H212))</f>
        <v/>
      </c>
      <c r="P212" s="7">
        <f>IF(D212="","",IF(L212="Superseded","99 Archive",IF(AND(D212="04",K212&lt;&gt;""),IFERROR(INDEX('Google Drive Map'!$B$4:$B$33,MATCH("04/"&amp;LEFT(K212,2),'Google Drive Map'!$A$4:$A$33,0)),"04 Trades &amp; Tenders/"&amp;K212),IFERROR(INDEX('Google Drive Map'!$B$4:$B$33,MATCH(D212,'Google Drive Map'!$A$4:$A$33,0)),""))))</f>
        <v/>
      </c>
      <c r="Q212" s="7">
        <f>IF(P212="","",IF(IFERROR(INDEX('Google Drive Map'!$G$4:$G$33,MATCH(P212,'Google Drive Map'!$B$4:$B$33,0))&amp;"","")="","",HYPERLINK(INDEX('Google Drive Map'!$G$4:$G$33,MATCH(P212,'Google Drive Map'!$B$4:$B$33,0)),"Open")))</f>
        <v/>
      </c>
      <c r="R212" s="7">
        <f>IF(AND(A212="",B212="",C212=""),"",TRIM(IF(AND(D212&lt;&gt;"",ISNA(MATCH(D212,'Google Drive Map'!$A$4:$A$33,0))),"Folder code isn't on the folder map. ","")&amp;IF(AND(C212&lt;&gt;"",NOT(ISNUMBER(C212))),"No. must be a whole number. ","")&amp;IF(AND(D212&lt;&gt;"",B212&lt;&gt;"",C212=""),"Type the next free no. ","")&amp;IF(AND(F212&lt;&gt;"",COUNTIF(F$4:F$303,F212)&gt;1),"Duplicate Doc ID. ","")))</f>
        <v/>
      </c>
      <c r="S212" s="22" t="n"/>
      <c r="T212" s="23" t="n"/>
    </row>
    <row r="213">
      <c r="A213" s="35" t="n"/>
      <c r="B213" s="22" t="n"/>
      <c r="C213" s="22" t="n"/>
      <c r="D213" s="7">
        <f>IF(A213="","",IF(ISNUMBER(A213),TEXT(A213,"00"),TRIM(A213)))</f>
        <v/>
      </c>
      <c r="E213" s="7">
        <f t="array" ref="E213">IF(OR(D213="",B213=""),"",MAX(IF((D$4:D$303=D213)*(B$4:B$303=B213)*ISNUMBER(C$4:C$303),C$4:C$303,0))+1)</f>
        <v/>
      </c>
      <c r="F213" s="7">
        <f>IF(OR(D213="",B213="",NOT(ISNUMBER(C213))),"",D213&amp;"-"&amp;B213&amp;"-"&amp;TEXT(C213,"000"))</f>
        <v/>
      </c>
      <c r="G213" s="23" t="n"/>
      <c r="H213" s="22" t="n"/>
      <c r="I213" s="24" t="n"/>
      <c r="J213" s="22" t="n"/>
      <c r="K213" s="22" t="n"/>
      <c r="L213" s="22" t="n"/>
      <c r="M213" s="22" t="n"/>
      <c r="N213" s="22" t="n"/>
      <c r="O213" s="7">
        <f>IF(F213="","",F213&amp;"_"&amp;SUBSTITUTE(SUBSTITUTE(SUBSTITUTE(SUBSTITUTE(SUBSTITUTE(SUBSTITUTE(SUBSTITUTE(SUBSTITUTE(SUBSTITUTE(SUBSTITUTE(TRIM(G213)," ","-"),"/","-"),"\","-"),":","-"),"*","-"),"?","-"),"""","-"),"&lt;","-"),"&gt;","-"),"|","-")&amp;IF(H213="","","_Rev"&amp;H213))</f>
        <v/>
      </c>
      <c r="P213" s="7">
        <f>IF(D213="","",IF(L213="Superseded","99 Archive",IF(AND(D213="04",K213&lt;&gt;""),IFERROR(INDEX('Google Drive Map'!$B$4:$B$33,MATCH("04/"&amp;LEFT(K213,2),'Google Drive Map'!$A$4:$A$33,0)),"04 Trades &amp; Tenders/"&amp;K213),IFERROR(INDEX('Google Drive Map'!$B$4:$B$33,MATCH(D213,'Google Drive Map'!$A$4:$A$33,0)),""))))</f>
        <v/>
      </c>
      <c r="Q213" s="7">
        <f>IF(P213="","",IF(IFERROR(INDEX('Google Drive Map'!$G$4:$G$33,MATCH(P213,'Google Drive Map'!$B$4:$B$33,0))&amp;"","")="","",HYPERLINK(INDEX('Google Drive Map'!$G$4:$G$33,MATCH(P213,'Google Drive Map'!$B$4:$B$33,0)),"Open")))</f>
        <v/>
      </c>
      <c r="R213" s="7">
        <f>IF(AND(A213="",B213="",C213=""),"",TRIM(IF(AND(D213&lt;&gt;"",ISNA(MATCH(D213,'Google Drive Map'!$A$4:$A$33,0))),"Folder code isn't on the folder map. ","")&amp;IF(AND(C213&lt;&gt;"",NOT(ISNUMBER(C213))),"No. must be a whole number. ","")&amp;IF(AND(D213&lt;&gt;"",B213&lt;&gt;"",C213=""),"Type the next free no. ","")&amp;IF(AND(F213&lt;&gt;"",COUNTIF(F$4:F$303,F213)&gt;1),"Duplicate Doc ID. ","")))</f>
        <v/>
      </c>
      <c r="S213" s="22" t="n"/>
      <c r="T213" s="23" t="n"/>
    </row>
    <row r="214">
      <c r="A214" s="35" t="n"/>
      <c r="B214" s="22" t="n"/>
      <c r="C214" s="22" t="n"/>
      <c r="D214" s="7">
        <f>IF(A214="","",IF(ISNUMBER(A214),TEXT(A214,"00"),TRIM(A214)))</f>
        <v/>
      </c>
      <c r="E214" s="7">
        <f t="array" ref="E214">IF(OR(D214="",B214=""),"",MAX(IF((D$4:D$303=D214)*(B$4:B$303=B214)*ISNUMBER(C$4:C$303),C$4:C$303,0))+1)</f>
        <v/>
      </c>
      <c r="F214" s="7">
        <f>IF(OR(D214="",B214="",NOT(ISNUMBER(C214))),"",D214&amp;"-"&amp;B214&amp;"-"&amp;TEXT(C214,"000"))</f>
        <v/>
      </c>
      <c r="G214" s="23" t="n"/>
      <c r="H214" s="22" t="n"/>
      <c r="I214" s="24" t="n"/>
      <c r="J214" s="22" t="n"/>
      <c r="K214" s="22" t="n"/>
      <c r="L214" s="22" t="n"/>
      <c r="M214" s="22" t="n"/>
      <c r="N214" s="22" t="n"/>
      <c r="O214" s="7">
        <f>IF(F214="","",F214&amp;"_"&amp;SUBSTITUTE(SUBSTITUTE(SUBSTITUTE(SUBSTITUTE(SUBSTITUTE(SUBSTITUTE(SUBSTITUTE(SUBSTITUTE(SUBSTITUTE(SUBSTITUTE(TRIM(G214)," ","-"),"/","-"),"\","-"),":","-"),"*","-"),"?","-"),"""","-"),"&lt;","-"),"&gt;","-"),"|","-")&amp;IF(H214="","","_Rev"&amp;H214))</f>
        <v/>
      </c>
      <c r="P214" s="7">
        <f>IF(D214="","",IF(L214="Superseded","99 Archive",IF(AND(D214="04",K214&lt;&gt;""),IFERROR(INDEX('Google Drive Map'!$B$4:$B$33,MATCH("04/"&amp;LEFT(K214,2),'Google Drive Map'!$A$4:$A$33,0)),"04 Trades &amp; Tenders/"&amp;K214),IFERROR(INDEX('Google Drive Map'!$B$4:$B$33,MATCH(D214,'Google Drive Map'!$A$4:$A$33,0)),""))))</f>
        <v/>
      </c>
      <c r="Q214" s="7">
        <f>IF(P214="","",IF(IFERROR(INDEX('Google Drive Map'!$G$4:$G$33,MATCH(P214,'Google Drive Map'!$B$4:$B$33,0))&amp;"","")="","",HYPERLINK(INDEX('Google Drive Map'!$G$4:$G$33,MATCH(P214,'Google Drive Map'!$B$4:$B$33,0)),"Open")))</f>
        <v/>
      </c>
      <c r="R214" s="7">
        <f>IF(AND(A214="",B214="",C214=""),"",TRIM(IF(AND(D214&lt;&gt;"",ISNA(MATCH(D214,'Google Drive Map'!$A$4:$A$33,0))),"Folder code isn't on the folder map. ","")&amp;IF(AND(C214&lt;&gt;"",NOT(ISNUMBER(C214))),"No. must be a whole number. ","")&amp;IF(AND(D214&lt;&gt;"",B214&lt;&gt;"",C214=""),"Type the next free no. ","")&amp;IF(AND(F214&lt;&gt;"",COUNTIF(F$4:F$303,F214)&gt;1),"Duplicate Doc ID. ","")))</f>
        <v/>
      </c>
      <c r="S214" s="22" t="n"/>
      <c r="T214" s="23" t="n"/>
    </row>
    <row r="215">
      <c r="A215" s="35" t="n"/>
      <c r="B215" s="22" t="n"/>
      <c r="C215" s="22" t="n"/>
      <c r="D215" s="7">
        <f>IF(A215="","",IF(ISNUMBER(A215),TEXT(A215,"00"),TRIM(A215)))</f>
        <v/>
      </c>
      <c r="E215" s="7">
        <f t="array" ref="E215">IF(OR(D215="",B215=""),"",MAX(IF((D$4:D$303=D215)*(B$4:B$303=B215)*ISNUMBER(C$4:C$303),C$4:C$303,0))+1)</f>
        <v/>
      </c>
      <c r="F215" s="7">
        <f>IF(OR(D215="",B215="",NOT(ISNUMBER(C215))),"",D215&amp;"-"&amp;B215&amp;"-"&amp;TEXT(C215,"000"))</f>
        <v/>
      </c>
      <c r="G215" s="23" t="n"/>
      <c r="H215" s="22" t="n"/>
      <c r="I215" s="24" t="n"/>
      <c r="J215" s="22" t="n"/>
      <c r="K215" s="22" t="n"/>
      <c r="L215" s="22" t="n"/>
      <c r="M215" s="22" t="n"/>
      <c r="N215" s="22" t="n"/>
      <c r="O215" s="7">
        <f>IF(F215="","",F215&amp;"_"&amp;SUBSTITUTE(SUBSTITUTE(SUBSTITUTE(SUBSTITUTE(SUBSTITUTE(SUBSTITUTE(SUBSTITUTE(SUBSTITUTE(SUBSTITUTE(SUBSTITUTE(TRIM(G215)," ","-"),"/","-"),"\","-"),":","-"),"*","-"),"?","-"),"""","-"),"&lt;","-"),"&gt;","-"),"|","-")&amp;IF(H215="","","_Rev"&amp;H215))</f>
        <v/>
      </c>
      <c r="P215" s="7">
        <f>IF(D215="","",IF(L215="Superseded","99 Archive",IF(AND(D215="04",K215&lt;&gt;""),IFERROR(INDEX('Google Drive Map'!$B$4:$B$33,MATCH("04/"&amp;LEFT(K215,2),'Google Drive Map'!$A$4:$A$33,0)),"04 Trades &amp; Tenders/"&amp;K215),IFERROR(INDEX('Google Drive Map'!$B$4:$B$33,MATCH(D215,'Google Drive Map'!$A$4:$A$33,0)),""))))</f>
        <v/>
      </c>
      <c r="Q215" s="7">
        <f>IF(P215="","",IF(IFERROR(INDEX('Google Drive Map'!$G$4:$G$33,MATCH(P215,'Google Drive Map'!$B$4:$B$33,0))&amp;"","")="","",HYPERLINK(INDEX('Google Drive Map'!$G$4:$G$33,MATCH(P215,'Google Drive Map'!$B$4:$B$33,0)),"Open")))</f>
        <v/>
      </c>
      <c r="R215" s="7">
        <f>IF(AND(A215="",B215="",C215=""),"",TRIM(IF(AND(D215&lt;&gt;"",ISNA(MATCH(D215,'Google Drive Map'!$A$4:$A$33,0))),"Folder code isn't on the folder map. ","")&amp;IF(AND(C215&lt;&gt;"",NOT(ISNUMBER(C215))),"No. must be a whole number. ","")&amp;IF(AND(D215&lt;&gt;"",B215&lt;&gt;"",C215=""),"Type the next free no. ","")&amp;IF(AND(F215&lt;&gt;"",COUNTIF(F$4:F$303,F215)&gt;1),"Duplicate Doc ID. ","")))</f>
        <v/>
      </c>
      <c r="S215" s="22" t="n"/>
      <c r="T215" s="23" t="n"/>
    </row>
    <row r="216">
      <c r="A216" s="35" t="n"/>
      <c r="B216" s="22" t="n"/>
      <c r="C216" s="22" t="n"/>
      <c r="D216" s="7">
        <f>IF(A216="","",IF(ISNUMBER(A216),TEXT(A216,"00"),TRIM(A216)))</f>
        <v/>
      </c>
      <c r="E216" s="7">
        <f t="array" ref="E216">IF(OR(D216="",B216=""),"",MAX(IF((D$4:D$303=D216)*(B$4:B$303=B216)*ISNUMBER(C$4:C$303),C$4:C$303,0))+1)</f>
        <v/>
      </c>
      <c r="F216" s="7">
        <f>IF(OR(D216="",B216="",NOT(ISNUMBER(C216))),"",D216&amp;"-"&amp;B216&amp;"-"&amp;TEXT(C216,"000"))</f>
        <v/>
      </c>
      <c r="G216" s="23" t="n"/>
      <c r="H216" s="22" t="n"/>
      <c r="I216" s="24" t="n"/>
      <c r="J216" s="22" t="n"/>
      <c r="K216" s="22" t="n"/>
      <c r="L216" s="22" t="n"/>
      <c r="M216" s="22" t="n"/>
      <c r="N216" s="22" t="n"/>
      <c r="O216" s="7">
        <f>IF(F216="","",F216&amp;"_"&amp;SUBSTITUTE(SUBSTITUTE(SUBSTITUTE(SUBSTITUTE(SUBSTITUTE(SUBSTITUTE(SUBSTITUTE(SUBSTITUTE(SUBSTITUTE(SUBSTITUTE(TRIM(G216)," ","-"),"/","-"),"\","-"),":","-"),"*","-"),"?","-"),"""","-"),"&lt;","-"),"&gt;","-"),"|","-")&amp;IF(H216="","","_Rev"&amp;H216))</f>
        <v/>
      </c>
      <c r="P216" s="7">
        <f>IF(D216="","",IF(L216="Superseded","99 Archive",IF(AND(D216="04",K216&lt;&gt;""),IFERROR(INDEX('Google Drive Map'!$B$4:$B$33,MATCH("04/"&amp;LEFT(K216,2),'Google Drive Map'!$A$4:$A$33,0)),"04 Trades &amp; Tenders/"&amp;K216),IFERROR(INDEX('Google Drive Map'!$B$4:$B$33,MATCH(D216,'Google Drive Map'!$A$4:$A$33,0)),""))))</f>
        <v/>
      </c>
      <c r="Q216" s="7">
        <f>IF(P216="","",IF(IFERROR(INDEX('Google Drive Map'!$G$4:$G$33,MATCH(P216,'Google Drive Map'!$B$4:$B$33,0))&amp;"","")="","",HYPERLINK(INDEX('Google Drive Map'!$G$4:$G$33,MATCH(P216,'Google Drive Map'!$B$4:$B$33,0)),"Open")))</f>
        <v/>
      </c>
      <c r="R216" s="7">
        <f>IF(AND(A216="",B216="",C216=""),"",TRIM(IF(AND(D216&lt;&gt;"",ISNA(MATCH(D216,'Google Drive Map'!$A$4:$A$33,0))),"Folder code isn't on the folder map. ","")&amp;IF(AND(C216&lt;&gt;"",NOT(ISNUMBER(C216))),"No. must be a whole number. ","")&amp;IF(AND(D216&lt;&gt;"",B216&lt;&gt;"",C216=""),"Type the next free no. ","")&amp;IF(AND(F216&lt;&gt;"",COUNTIF(F$4:F$303,F216)&gt;1),"Duplicate Doc ID. ","")))</f>
        <v/>
      </c>
      <c r="S216" s="22" t="n"/>
      <c r="T216" s="23" t="n"/>
    </row>
    <row r="217">
      <c r="A217" s="35" t="n"/>
      <c r="B217" s="22" t="n"/>
      <c r="C217" s="22" t="n"/>
      <c r="D217" s="7">
        <f>IF(A217="","",IF(ISNUMBER(A217),TEXT(A217,"00"),TRIM(A217)))</f>
        <v/>
      </c>
      <c r="E217" s="7">
        <f t="array" ref="E217">IF(OR(D217="",B217=""),"",MAX(IF((D$4:D$303=D217)*(B$4:B$303=B217)*ISNUMBER(C$4:C$303),C$4:C$303,0))+1)</f>
        <v/>
      </c>
      <c r="F217" s="7">
        <f>IF(OR(D217="",B217="",NOT(ISNUMBER(C217))),"",D217&amp;"-"&amp;B217&amp;"-"&amp;TEXT(C217,"000"))</f>
        <v/>
      </c>
      <c r="G217" s="23" t="n"/>
      <c r="H217" s="22" t="n"/>
      <c r="I217" s="24" t="n"/>
      <c r="J217" s="22" t="n"/>
      <c r="K217" s="22" t="n"/>
      <c r="L217" s="22" t="n"/>
      <c r="M217" s="22" t="n"/>
      <c r="N217" s="22" t="n"/>
      <c r="O217" s="7">
        <f>IF(F217="","",F217&amp;"_"&amp;SUBSTITUTE(SUBSTITUTE(SUBSTITUTE(SUBSTITUTE(SUBSTITUTE(SUBSTITUTE(SUBSTITUTE(SUBSTITUTE(SUBSTITUTE(SUBSTITUTE(TRIM(G217)," ","-"),"/","-"),"\","-"),":","-"),"*","-"),"?","-"),"""","-"),"&lt;","-"),"&gt;","-"),"|","-")&amp;IF(H217="","","_Rev"&amp;H217))</f>
        <v/>
      </c>
      <c r="P217" s="7">
        <f>IF(D217="","",IF(L217="Superseded","99 Archive",IF(AND(D217="04",K217&lt;&gt;""),IFERROR(INDEX('Google Drive Map'!$B$4:$B$33,MATCH("04/"&amp;LEFT(K217,2),'Google Drive Map'!$A$4:$A$33,0)),"04 Trades &amp; Tenders/"&amp;K217),IFERROR(INDEX('Google Drive Map'!$B$4:$B$33,MATCH(D217,'Google Drive Map'!$A$4:$A$33,0)),""))))</f>
        <v/>
      </c>
      <c r="Q217" s="7">
        <f>IF(P217="","",IF(IFERROR(INDEX('Google Drive Map'!$G$4:$G$33,MATCH(P217,'Google Drive Map'!$B$4:$B$33,0))&amp;"","")="","",HYPERLINK(INDEX('Google Drive Map'!$G$4:$G$33,MATCH(P217,'Google Drive Map'!$B$4:$B$33,0)),"Open")))</f>
        <v/>
      </c>
      <c r="R217" s="7">
        <f>IF(AND(A217="",B217="",C217=""),"",TRIM(IF(AND(D217&lt;&gt;"",ISNA(MATCH(D217,'Google Drive Map'!$A$4:$A$33,0))),"Folder code isn't on the folder map. ","")&amp;IF(AND(C217&lt;&gt;"",NOT(ISNUMBER(C217))),"No. must be a whole number. ","")&amp;IF(AND(D217&lt;&gt;"",B217&lt;&gt;"",C217=""),"Type the next free no. ","")&amp;IF(AND(F217&lt;&gt;"",COUNTIF(F$4:F$303,F217)&gt;1),"Duplicate Doc ID. ","")))</f>
        <v/>
      </c>
      <c r="S217" s="22" t="n"/>
      <c r="T217" s="23" t="n"/>
    </row>
    <row r="218">
      <c r="A218" s="35" t="n"/>
      <c r="B218" s="22" t="n"/>
      <c r="C218" s="22" t="n"/>
      <c r="D218" s="7">
        <f>IF(A218="","",IF(ISNUMBER(A218),TEXT(A218,"00"),TRIM(A218)))</f>
        <v/>
      </c>
      <c r="E218" s="7">
        <f t="array" ref="E218">IF(OR(D218="",B218=""),"",MAX(IF((D$4:D$303=D218)*(B$4:B$303=B218)*ISNUMBER(C$4:C$303),C$4:C$303,0))+1)</f>
        <v/>
      </c>
      <c r="F218" s="7">
        <f>IF(OR(D218="",B218="",NOT(ISNUMBER(C218))),"",D218&amp;"-"&amp;B218&amp;"-"&amp;TEXT(C218,"000"))</f>
        <v/>
      </c>
      <c r="G218" s="23" t="n"/>
      <c r="H218" s="22" t="n"/>
      <c r="I218" s="24" t="n"/>
      <c r="J218" s="22" t="n"/>
      <c r="K218" s="22" t="n"/>
      <c r="L218" s="22" t="n"/>
      <c r="M218" s="22" t="n"/>
      <c r="N218" s="22" t="n"/>
      <c r="O218" s="7">
        <f>IF(F218="","",F218&amp;"_"&amp;SUBSTITUTE(SUBSTITUTE(SUBSTITUTE(SUBSTITUTE(SUBSTITUTE(SUBSTITUTE(SUBSTITUTE(SUBSTITUTE(SUBSTITUTE(SUBSTITUTE(TRIM(G218)," ","-"),"/","-"),"\","-"),":","-"),"*","-"),"?","-"),"""","-"),"&lt;","-"),"&gt;","-"),"|","-")&amp;IF(H218="","","_Rev"&amp;H218))</f>
        <v/>
      </c>
      <c r="P218" s="7">
        <f>IF(D218="","",IF(L218="Superseded","99 Archive",IF(AND(D218="04",K218&lt;&gt;""),IFERROR(INDEX('Google Drive Map'!$B$4:$B$33,MATCH("04/"&amp;LEFT(K218,2),'Google Drive Map'!$A$4:$A$33,0)),"04 Trades &amp; Tenders/"&amp;K218),IFERROR(INDEX('Google Drive Map'!$B$4:$B$33,MATCH(D218,'Google Drive Map'!$A$4:$A$33,0)),""))))</f>
        <v/>
      </c>
      <c r="Q218" s="7">
        <f>IF(P218="","",IF(IFERROR(INDEX('Google Drive Map'!$G$4:$G$33,MATCH(P218,'Google Drive Map'!$B$4:$B$33,0))&amp;"","")="","",HYPERLINK(INDEX('Google Drive Map'!$G$4:$G$33,MATCH(P218,'Google Drive Map'!$B$4:$B$33,0)),"Open")))</f>
        <v/>
      </c>
      <c r="R218" s="7">
        <f>IF(AND(A218="",B218="",C218=""),"",TRIM(IF(AND(D218&lt;&gt;"",ISNA(MATCH(D218,'Google Drive Map'!$A$4:$A$33,0))),"Folder code isn't on the folder map. ","")&amp;IF(AND(C218&lt;&gt;"",NOT(ISNUMBER(C218))),"No. must be a whole number. ","")&amp;IF(AND(D218&lt;&gt;"",B218&lt;&gt;"",C218=""),"Type the next free no. ","")&amp;IF(AND(F218&lt;&gt;"",COUNTIF(F$4:F$303,F218)&gt;1),"Duplicate Doc ID. ","")))</f>
        <v/>
      </c>
      <c r="S218" s="22" t="n"/>
      <c r="T218" s="23" t="n"/>
    </row>
    <row r="219">
      <c r="A219" s="35" t="n"/>
      <c r="B219" s="22" t="n"/>
      <c r="C219" s="22" t="n"/>
      <c r="D219" s="7">
        <f>IF(A219="","",IF(ISNUMBER(A219),TEXT(A219,"00"),TRIM(A219)))</f>
        <v/>
      </c>
      <c r="E219" s="7">
        <f t="array" ref="E219">IF(OR(D219="",B219=""),"",MAX(IF((D$4:D$303=D219)*(B$4:B$303=B219)*ISNUMBER(C$4:C$303),C$4:C$303,0))+1)</f>
        <v/>
      </c>
      <c r="F219" s="7">
        <f>IF(OR(D219="",B219="",NOT(ISNUMBER(C219))),"",D219&amp;"-"&amp;B219&amp;"-"&amp;TEXT(C219,"000"))</f>
        <v/>
      </c>
      <c r="G219" s="23" t="n"/>
      <c r="H219" s="22" t="n"/>
      <c r="I219" s="24" t="n"/>
      <c r="J219" s="22" t="n"/>
      <c r="K219" s="22" t="n"/>
      <c r="L219" s="22" t="n"/>
      <c r="M219" s="22" t="n"/>
      <c r="N219" s="22" t="n"/>
      <c r="O219" s="7">
        <f>IF(F219="","",F219&amp;"_"&amp;SUBSTITUTE(SUBSTITUTE(SUBSTITUTE(SUBSTITUTE(SUBSTITUTE(SUBSTITUTE(SUBSTITUTE(SUBSTITUTE(SUBSTITUTE(SUBSTITUTE(TRIM(G219)," ","-"),"/","-"),"\","-"),":","-"),"*","-"),"?","-"),"""","-"),"&lt;","-"),"&gt;","-"),"|","-")&amp;IF(H219="","","_Rev"&amp;H219))</f>
        <v/>
      </c>
      <c r="P219" s="7">
        <f>IF(D219="","",IF(L219="Superseded","99 Archive",IF(AND(D219="04",K219&lt;&gt;""),IFERROR(INDEX('Google Drive Map'!$B$4:$B$33,MATCH("04/"&amp;LEFT(K219,2),'Google Drive Map'!$A$4:$A$33,0)),"04 Trades &amp; Tenders/"&amp;K219),IFERROR(INDEX('Google Drive Map'!$B$4:$B$33,MATCH(D219,'Google Drive Map'!$A$4:$A$33,0)),""))))</f>
        <v/>
      </c>
      <c r="Q219" s="7">
        <f>IF(P219="","",IF(IFERROR(INDEX('Google Drive Map'!$G$4:$G$33,MATCH(P219,'Google Drive Map'!$B$4:$B$33,0))&amp;"","")="","",HYPERLINK(INDEX('Google Drive Map'!$G$4:$G$33,MATCH(P219,'Google Drive Map'!$B$4:$B$33,0)),"Open")))</f>
        <v/>
      </c>
      <c r="R219" s="7">
        <f>IF(AND(A219="",B219="",C219=""),"",TRIM(IF(AND(D219&lt;&gt;"",ISNA(MATCH(D219,'Google Drive Map'!$A$4:$A$33,0))),"Folder code isn't on the folder map. ","")&amp;IF(AND(C219&lt;&gt;"",NOT(ISNUMBER(C219))),"No. must be a whole number. ","")&amp;IF(AND(D219&lt;&gt;"",B219&lt;&gt;"",C219=""),"Type the next free no. ","")&amp;IF(AND(F219&lt;&gt;"",COUNTIF(F$4:F$303,F219)&gt;1),"Duplicate Doc ID. ","")))</f>
        <v/>
      </c>
      <c r="S219" s="22" t="n"/>
      <c r="T219" s="23" t="n"/>
    </row>
    <row r="220">
      <c r="A220" s="35" t="n"/>
      <c r="B220" s="22" t="n"/>
      <c r="C220" s="22" t="n"/>
      <c r="D220" s="7">
        <f>IF(A220="","",IF(ISNUMBER(A220),TEXT(A220,"00"),TRIM(A220)))</f>
        <v/>
      </c>
      <c r="E220" s="7">
        <f t="array" ref="E220">IF(OR(D220="",B220=""),"",MAX(IF((D$4:D$303=D220)*(B$4:B$303=B220)*ISNUMBER(C$4:C$303),C$4:C$303,0))+1)</f>
        <v/>
      </c>
      <c r="F220" s="7">
        <f>IF(OR(D220="",B220="",NOT(ISNUMBER(C220))),"",D220&amp;"-"&amp;B220&amp;"-"&amp;TEXT(C220,"000"))</f>
        <v/>
      </c>
      <c r="G220" s="23" t="n"/>
      <c r="H220" s="22" t="n"/>
      <c r="I220" s="24" t="n"/>
      <c r="J220" s="22" t="n"/>
      <c r="K220" s="22" t="n"/>
      <c r="L220" s="22" t="n"/>
      <c r="M220" s="22" t="n"/>
      <c r="N220" s="22" t="n"/>
      <c r="O220" s="7">
        <f>IF(F220="","",F220&amp;"_"&amp;SUBSTITUTE(SUBSTITUTE(SUBSTITUTE(SUBSTITUTE(SUBSTITUTE(SUBSTITUTE(SUBSTITUTE(SUBSTITUTE(SUBSTITUTE(SUBSTITUTE(TRIM(G220)," ","-"),"/","-"),"\","-"),":","-"),"*","-"),"?","-"),"""","-"),"&lt;","-"),"&gt;","-"),"|","-")&amp;IF(H220="","","_Rev"&amp;H220))</f>
        <v/>
      </c>
      <c r="P220" s="7">
        <f>IF(D220="","",IF(L220="Superseded","99 Archive",IF(AND(D220="04",K220&lt;&gt;""),IFERROR(INDEX('Google Drive Map'!$B$4:$B$33,MATCH("04/"&amp;LEFT(K220,2),'Google Drive Map'!$A$4:$A$33,0)),"04 Trades &amp; Tenders/"&amp;K220),IFERROR(INDEX('Google Drive Map'!$B$4:$B$33,MATCH(D220,'Google Drive Map'!$A$4:$A$33,0)),""))))</f>
        <v/>
      </c>
      <c r="Q220" s="7">
        <f>IF(P220="","",IF(IFERROR(INDEX('Google Drive Map'!$G$4:$G$33,MATCH(P220,'Google Drive Map'!$B$4:$B$33,0))&amp;"","")="","",HYPERLINK(INDEX('Google Drive Map'!$G$4:$G$33,MATCH(P220,'Google Drive Map'!$B$4:$B$33,0)),"Open")))</f>
        <v/>
      </c>
      <c r="R220" s="7">
        <f>IF(AND(A220="",B220="",C220=""),"",TRIM(IF(AND(D220&lt;&gt;"",ISNA(MATCH(D220,'Google Drive Map'!$A$4:$A$33,0))),"Folder code isn't on the folder map. ","")&amp;IF(AND(C220&lt;&gt;"",NOT(ISNUMBER(C220))),"No. must be a whole number. ","")&amp;IF(AND(D220&lt;&gt;"",B220&lt;&gt;"",C220=""),"Type the next free no. ","")&amp;IF(AND(F220&lt;&gt;"",COUNTIF(F$4:F$303,F220)&gt;1),"Duplicate Doc ID. ","")))</f>
        <v/>
      </c>
      <c r="S220" s="22" t="n"/>
      <c r="T220" s="23" t="n"/>
    </row>
    <row r="221">
      <c r="A221" s="35" t="n"/>
      <c r="B221" s="22" t="n"/>
      <c r="C221" s="22" t="n"/>
      <c r="D221" s="7">
        <f>IF(A221="","",IF(ISNUMBER(A221),TEXT(A221,"00"),TRIM(A221)))</f>
        <v/>
      </c>
      <c r="E221" s="7">
        <f t="array" ref="E221">IF(OR(D221="",B221=""),"",MAX(IF((D$4:D$303=D221)*(B$4:B$303=B221)*ISNUMBER(C$4:C$303),C$4:C$303,0))+1)</f>
        <v/>
      </c>
      <c r="F221" s="7">
        <f>IF(OR(D221="",B221="",NOT(ISNUMBER(C221))),"",D221&amp;"-"&amp;B221&amp;"-"&amp;TEXT(C221,"000"))</f>
        <v/>
      </c>
      <c r="G221" s="23" t="n"/>
      <c r="H221" s="22" t="n"/>
      <c r="I221" s="24" t="n"/>
      <c r="J221" s="22" t="n"/>
      <c r="K221" s="22" t="n"/>
      <c r="L221" s="22" t="n"/>
      <c r="M221" s="22" t="n"/>
      <c r="N221" s="22" t="n"/>
      <c r="O221" s="7">
        <f>IF(F221="","",F221&amp;"_"&amp;SUBSTITUTE(SUBSTITUTE(SUBSTITUTE(SUBSTITUTE(SUBSTITUTE(SUBSTITUTE(SUBSTITUTE(SUBSTITUTE(SUBSTITUTE(SUBSTITUTE(TRIM(G221)," ","-"),"/","-"),"\","-"),":","-"),"*","-"),"?","-"),"""","-"),"&lt;","-"),"&gt;","-"),"|","-")&amp;IF(H221="","","_Rev"&amp;H221))</f>
        <v/>
      </c>
      <c r="P221" s="7">
        <f>IF(D221="","",IF(L221="Superseded","99 Archive",IF(AND(D221="04",K221&lt;&gt;""),IFERROR(INDEX('Google Drive Map'!$B$4:$B$33,MATCH("04/"&amp;LEFT(K221,2),'Google Drive Map'!$A$4:$A$33,0)),"04 Trades &amp; Tenders/"&amp;K221),IFERROR(INDEX('Google Drive Map'!$B$4:$B$33,MATCH(D221,'Google Drive Map'!$A$4:$A$33,0)),""))))</f>
        <v/>
      </c>
      <c r="Q221" s="7">
        <f>IF(P221="","",IF(IFERROR(INDEX('Google Drive Map'!$G$4:$G$33,MATCH(P221,'Google Drive Map'!$B$4:$B$33,0))&amp;"","")="","",HYPERLINK(INDEX('Google Drive Map'!$G$4:$G$33,MATCH(P221,'Google Drive Map'!$B$4:$B$33,0)),"Open")))</f>
        <v/>
      </c>
      <c r="R221" s="7">
        <f>IF(AND(A221="",B221="",C221=""),"",TRIM(IF(AND(D221&lt;&gt;"",ISNA(MATCH(D221,'Google Drive Map'!$A$4:$A$33,0))),"Folder code isn't on the folder map. ","")&amp;IF(AND(C221&lt;&gt;"",NOT(ISNUMBER(C221))),"No. must be a whole number. ","")&amp;IF(AND(D221&lt;&gt;"",B221&lt;&gt;"",C221=""),"Type the next free no. ","")&amp;IF(AND(F221&lt;&gt;"",COUNTIF(F$4:F$303,F221)&gt;1),"Duplicate Doc ID. ","")))</f>
        <v/>
      </c>
      <c r="S221" s="22" t="n"/>
      <c r="T221" s="23" t="n"/>
    </row>
    <row r="222">
      <c r="A222" s="35" t="n"/>
      <c r="B222" s="22" t="n"/>
      <c r="C222" s="22" t="n"/>
      <c r="D222" s="7">
        <f>IF(A222="","",IF(ISNUMBER(A222),TEXT(A222,"00"),TRIM(A222)))</f>
        <v/>
      </c>
      <c r="E222" s="7">
        <f t="array" ref="E222">IF(OR(D222="",B222=""),"",MAX(IF((D$4:D$303=D222)*(B$4:B$303=B222)*ISNUMBER(C$4:C$303),C$4:C$303,0))+1)</f>
        <v/>
      </c>
      <c r="F222" s="7">
        <f>IF(OR(D222="",B222="",NOT(ISNUMBER(C222))),"",D222&amp;"-"&amp;B222&amp;"-"&amp;TEXT(C222,"000"))</f>
        <v/>
      </c>
      <c r="G222" s="23" t="n"/>
      <c r="H222" s="22" t="n"/>
      <c r="I222" s="24" t="n"/>
      <c r="J222" s="22" t="n"/>
      <c r="K222" s="22" t="n"/>
      <c r="L222" s="22" t="n"/>
      <c r="M222" s="22" t="n"/>
      <c r="N222" s="22" t="n"/>
      <c r="O222" s="7">
        <f>IF(F222="","",F222&amp;"_"&amp;SUBSTITUTE(SUBSTITUTE(SUBSTITUTE(SUBSTITUTE(SUBSTITUTE(SUBSTITUTE(SUBSTITUTE(SUBSTITUTE(SUBSTITUTE(SUBSTITUTE(TRIM(G222)," ","-"),"/","-"),"\","-"),":","-"),"*","-"),"?","-"),"""","-"),"&lt;","-"),"&gt;","-"),"|","-")&amp;IF(H222="","","_Rev"&amp;H222))</f>
        <v/>
      </c>
      <c r="P222" s="7">
        <f>IF(D222="","",IF(L222="Superseded","99 Archive",IF(AND(D222="04",K222&lt;&gt;""),IFERROR(INDEX('Google Drive Map'!$B$4:$B$33,MATCH("04/"&amp;LEFT(K222,2),'Google Drive Map'!$A$4:$A$33,0)),"04 Trades &amp; Tenders/"&amp;K222),IFERROR(INDEX('Google Drive Map'!$B$4:$B$33,MATCH(D222,'Google Drive Map'!$A$4:$A$33,0)),""))))</f>
        <v/>
      </c>
      <c r="Q222" s="7">
        <f>IF(P222="","",IF(IFERROR(INDEX('Google Drive Map'!$G$4:$G$33,MATCH(P222,'Google Drive Map'!$B$4:$B$33,0))&amp;"","")="","",HYPERLINK(INDEX('Google Drive Map'!$G$4:$G$33,MATCH(P222,'Google Drive Map'!$B$4:$B$33,0)),"Open")))</f>
        <v/>
      </c>
      <c r="R222" s="7">
        <f>IF(AND(A222="",B222="",C222=""),"",TRIM(IF(AND(D222&lt;&gt;"",ISNA(MATCH(D222,'Google Drive Map'!$A$4:$A$33,0))),"Folder code isn't on the folder map. ","")&amp;IF(AND(C222&lt;&gt;"",NOT(ISNUMBER(C222))),"No. must be a whole number. ","")&amp;IF(AND(D222&lt;&gt;"",B222&lt;&gt;"",C222=""),"Type the next free no. ","")&amp;IF(AND(F222&lt;&gt;"",COUNTIF(F$4:F$303,F222)&gt;1),"Duplicate Doc ID. ","")))</f>
        <v/>
      </c>
      <c r="S222" s="22" t="n"/>
      <c r="T222" s="23" t="n"/>
    </row>
    <row r="223">
      <c r="A223" s="35" t="n"/>
      <c r="B223" s="22" t="n"/>
      <c r="C223" s="22" t="n"/>
      <c r="D223" s="7">
        <f>IF(A223="","",IF(ISNUMBER(A223),TEXT(A223,"00"),TRIM(A223)))</f>
        <v/>
      </c>
      <c r="E223" s="7">
        <f t="array" ref="E223">IF(OR(D223="",B223=""),"",MAX(IF((D$4:D$303=D223)*(B$4:B$303=B223)*ISNUMBER(C$4:C$303),C$4:C$303,0))+1)</f>
        <v/>
      </c>
      <c r="F223" s="7">
        <f>IF(OR(D223="",B223="",NOT(ISNUMBER(C223))),"",D223&amp;"-"&amp;B223&amp;"-"&amp;TEXT(C223,"000"))</f>
        <v/>
      </c>
      <c r="G223" s="23" t="n"/>
      <c r="H223" s="22" t="n"/>
      <c r="I223" s="24" t="n"/>
      <c r="J223" s="22" t="n"/>
      <c r="K223" s="22" t="n"/>
      <c r="L223" s="22" t="n"/>
      <c r="M223" s="22" t="n"/>
      <c r="N223" s="22" t="n"/>
      <c r="O223" s="7">
        <f>IF(F223="","",F223&amp;"_"&amp;SUBSTITUTE(SUBSTITUTE(SUBSTITUTE(SUBSTITUTE(SUBSTITUTE(SUBSTITUTE(SUBSTITUTE(SUBSTITUTE(SUBSTITUTE(SUBSTITUTE(TRIM(G223)," ","-"),"/","-"),"\","-"),":","-"),"*","-"),"?","-"),"""","-"),"&lt;","-"),"&gt;","-"),"|","-")&amp;IF(H223="","","_Rev"&amp;H223))</f>
        <v/>
      </c>
      <c r="P223" s="7">
        <f>IF(D223="","",IF(L223="Superseded","99 Archive",IF(AND(D223="04",K223&lt;&gt;""),IFERROR(INDEX('Google Drive Map'!$B$4:$B$33,MATCH("04/"&amp;LEFT(K223,2),'Google Drive Map'!$A$4:$A$33,0)),"04 Trades &amp; Tenders/"&amp;K223),IFERROR(INDEX('Google Drive Map'!$B$4:$B$33,MATCH(D223,'Google Drive Map'!$A$4:$A$33,0)),""))))</f>
        <v/>
      </c>
      <c r="Q223" s="7">
        <f>IF(P223="","",IF(IFERROR(INDEX('Google Drive Map'!$G$4:$G$33,MATCH(P223,'Google Drive Map'!$B$4:$B$33,0))&amp;"","")="","",HYPERLINK(INDEX('Google Drive Map'!$G$4:$G$33,MATCH(P223,'Google Drive Map'!$B$4:$B$33,0)),"Open")))</f>
        <v/>
      </c>
      <c r="R223" s="7">
        <f>IF(AND(A223="",B223="",C223=""),"",TRIM(IF(AND(D223&lt;&gt;"",ISNA(MATCH(D223,'Google Drive Map'!$A$4:$A$33,0))),"Folder code isn't on the folder map. ","")&amp;IF(AND(C223&lt;&gt;"",NOT(ISNUMBER(C223))),"No. must be a whole number. ","")&amp;IF(AND(D223&lt;&gt;"",B223&lt;&gt;"",C223=""),"Type the next free no. ","")&amp;IF(AND(F223&lt;&gt;"",COUNTIF(F$4:F$303,F223)&gt;1),"Duplicate Doc ID. ","")))</f>
        <v/>
      </c>
      <c r="S223" s="22" t="n"/>
      <c r="T223" s="23" t="n"/>
    </row>
    <row r="224">
      <c r="A224" s="35" t="n"/>
      <c r="B224" s="22" t="n"/>
      <c r="C224" s="22" t="n"/>
      <c r="D224" s="7">
        <f>IF(A224="","",IF(ISNUMBER(A224),TEXT(A224,"00"),TRIM(A224)))</f>
        <v/>
      </c>
      <c r="E224" s="7">
        <f t="array" ref="E224">IF(OR(D224="",B224=""),"",MAX(IF((D$4:D$303=D224)*(B$4:B$303=B224)*ISNUMBER(C$4:C$303),C$4:C$303,0))+1)</f>
        <v/>
      </c>
      <c r="F224" s="7">
        <f>IF(OR(D224="",B224="",NOT(ISNUMBER(C224))),"",D224&amp;"-"&amp;B224&amp;"-"&amp;TEXT(C224,"000"))</f>
        <v/>
      </c>
      <c r="G224" s="23" t="n"/>
      <c r="H224" s="22" t="n"/>
      <c r="I224" s="24" t="n"/>
      <c r="J224" s="22" t="n"/>
      <c r="K224" s="22" t="n"/>
      <c r="L224" s="22" t="n"/>
      <c r="M224" s="22" t="n"/>
      <c r="N224" s="22" t="n"/>
      <c r="O224" s="7">
        <f>IF(F224="","",F224&amp;"_"&amp;SUBSTITUTE(SUBSTITUTE(SUBSTITUTE(SUBSTITUTE(SUBSTITUTE(SUBSTITUTE(SUBSTITUTE(SUBSTITUTE(SUBSTITUTE(SUBSTITUTE(TRIM(G224)," ","-"),"/","-"),"\","-"),":","-"),"*","-"),"?","-"),"""","-"),"&lt;","-"),"&gt;","-"),"|","-")&amp;IF(H224="","","_Rev"&amp;H224))</f>
        <v/>
      </c>
      <c r="P224" s="7">
        <f>IF(D224="","",IF(L224="Superseded","99 Archive",IF(AND(D224="04",K224&lt;&gt;""),IFERROR(INDEX('Google Drive Map'!$B$4:$B$33,MATCH("04/"&amp;LEFT(K224,2),'Google Drive Map'!$A$4:$A$33,0)),"04 Trades &amp; Tenders/"&amp;K224),IFERROR(INDEX('Google Drive Map'!$B$4:$B$33,MATCH(D224,'Google Drive Map'!$A$4:$A$33,0)),""))))</f>
        <v/>
      </c>
      <c r="Q224" s="7">
        <f>IF(P224="","",IF(IFERROR(INDEX('Google Drive Map'!$G$4:$G$33,MATCH(P224,'Google Drive Map'!$B$4:$B$33,0))&amp;"","")="","",HYPERLINK(INDEX('Google Drive Map'!$G$4:$G$33,MATCH(P224,'Google Drive Map'!$B$4:$B$33,0)),"Open")))</f>
        <v/>
      </c>
      <c r="R224" s="7">
        <f>IF(AND(A224="",B224="",C224=""),"",TRIM(IF(AND(D224&lt;&gt;"",ISNA(MATCH(D224,'Google Drive Map'!$A$4:$A$33,0))),"Folder code isn't on the folder map. ","")&amp;IF(AND(C224&lt;&gt;"",NOT(ISNUMBER(C224))),"No. must be a whole number. ","")&amp;IF(AND(D224&lt;&gt;"",B224&lt;&gt;"",C224=""),"Type the next free no. ","")&amp;IF(AND(F224&lt;&gt;"",COUNTIF(F$4:F$303,F224)&gt;1),"Duplicate Doc ID. ","")))</f>
        <v/>
      </c>
      <c r="S224" s="22" t="n"/>
      <c r="T224" s="23" t="n"/>
    </row>
    <row r="225">
      <c r="A225" s="35" t="n"/>
      <c r="B225" s="22" t="n"/>
      <c r="C225" s="22" t="n"/>
      <c r="D225" s="7">
        <f>IF(A225="","",IF(ISNUMBER(A225),TEXT(A225,"00"),TRIM(A225)))</f>
        <v/>
      </c>
      <c r="E225" s="7">
        <f t="array" ref="E225">IF(OR(D225="",B225=""),"",MAX(IF((D$4:D$303=D225)*(B$4:B$303=B225)*ISNUMBER(C$4:C$303),C$4:C$303,0))+1)</f>
        <v/>
      </c>
      <c r="F225" s="7">
        <f>IF(OR(D225="",B225="",NOT(ISNUMBER(C225))),"",D225&amp;"-"&amp;B225&amp;"-"&amp;TEXT(C225,"000"))</f>
        <v/>
      </c>
      <c r="G225" s="23" t="n"/>
      <c r="H225" s="22" t="n"/>
      <c r="I225" s="24" t="n"/>
      <c r="J225" s="22" t="n"/>
      <c r="K225" s="22" t="n"/>
      <c r="L225" s="22" t="n"/>
      <c r="M225" s="22" t="n"/>
      <c r="N225" s="22" t="n"/>
      <c r="O225" s="7">
        <f>IF(F225="","",F225&amp;"_"&amp;SUBSTITUTE(SUBSTITUTE(SUBSTITUTE(SUBSTITUTE(SUBSTITUTE(SUBSTITUTE(SUBSTITUTE(SUBSTITUTE(SUBSTITUTE(SUBSTITUTE(TRIM(G225)," ","-"),"/","-"),"\","-"),":","-"),"*","-"),"?","-"),"""","-"),"&lt;","-"),"&gt;","-"),"|","-")&amp;IF(H225="","","_Rev"&amp;H225))</f>
        <v/>
      </c>
      <c r="P225" s="7">
        <f>IF(D225="","",IF(L225="Superseded","99 Archive",IF(AND(D225="04",K225&lt;&gt;""),IFERROR(INDEX('Google Drive Map'!$B$4:$B$33,MATCH("04/"&amp;LEFT(K225,2),'Google Drive Map'!$A$4:$A$33,0)),"04 Trades &amp; Tenders/"&amp;K225),IFERROR(INDEX('Google Drive Map'!$B$4:$B$33,MATCH(D225,'Google Drive Map'!$A$4:$A$33,0)),""))))</f>
        <v/>
      </c>
      <c r="Q225" s="7">
        <f>IF(P225="","",IF(IFERROR(INDEX('Google Drive Map'!$G$4:$G$33,MATCH(P225,'Google Drive Map'!$B$4:$B$33,0))&amp;"","")="","",HYPERLINK(INDEX('Google Drive Map'!$G$4:$G$33,MATCH(P225,'Google Drive Map'!$B$4:$B$33,0)),"Open")))</f>
        <v/>
      </c>
      <c r="R225" s="7">
        <f>IF(AND(A225="",B225="",C225=""),"",TRIM(IF(AND(D225&lt;&gt;"",ISNA(MATCH(D225,'Google Drive Map'!$A$4:$A$33,0))),"Folder code isn't on the folder map. ","")&amp;IF(AND(C225&lt;&gt;"",NOT(ISNUMBER(C225))),"No. must be a whole number. ","")&amp;IF(AND(D225&lt;&gt;"",B225&lt;&gt;"",C225=""),"Type the next free no. ","")&amp;IF(AND(F225&lt;&gt;"",COUNTIF(F$4:F$303,F225)&gt;1),"Duplicate Doc ID. ","")))</f>
        <v/>
      </c>
      <c r="S225" s="22" t="n"/>
      <c r="T225" s="23" t="n"/>
    </row>
    <row r="226">
      <c r="A226" s="35" t="n"/>
      <c r="B226" s="22" t="n"/>
      <c r="C226" s="22" t="n"/>
      <c r="D226" s="7">
        <f>IF(A226="","",IF(ISNUMBER(A226),TEXT(A226,"00"),TRIM(A226)))</f>
        <v/>
      </c>
      <c r="E226" s="7">
        <f t="array" ref="E226">IF(OR(D226="",B226=""),"",MAX(IF((D$4:D$303=D226)*(B$4:B$303=B226)*ISNUMBER(C$4:C$303),C$4:C$303,0))+1)</f>
        <v/>
      </c>
      <c r="F226" s="7">
        <f>IF(OR(D226="",B226="",NOT(ISNUMBER(C226))),"",D226&amp;"-"&amp;B226&amp;"-"&amp;TEXT(C226,"000"))</f>
        <v/>
      </c>
      <c r="G226" s="23" t="n"/>
      <c r="H226" s="22" t="n"/>
      <c r="I226" s="24" t="n"/>
      <c r="J226" s="22" t="n"/>
      <c r="K226" s="22" t="n"/>
      <c r="L226" s="22" t="n"/>
      <c r="M226" s="22" t="n"/>
      <c r="N226" s="22" t="n"/>
      <c r="O226" s="7">
        <f>IF(F226="","",F226&amp;"_"&amp;SUBSTITUTE(SUBSTITUTE(SUBSTITUTE(SUBSTITUTE(SUBSTITUTE(SUBSTITUTE(SUBSTITUTE(SUBSTITUTE(SUBSTITUTE(SUBSTITUTE(TRIM(G226)," ","-"),"/","-"),"\","-"),":","-"),"*","-"),"?","-"),"""","-"),"&lt;","-"),"&gt;","-"),"|","-")&amp;IF(H226="","","_Rev"&amp;H226))</f>
        <v/>
      </c>
      <c r="P226" s="7">
        <f>IF(D226="","",IF(L226="Superseded","99 Archive",IF(AND(D226="04",K226&lt;&gt;""),IFERROR(INDEX('Google Drive Map'!$B$4:$B$33,MATCH("04/"&amp;LEFT(K226,2),'Google Drive Map'!$A$4:$A$33,0)),"04 Trades &amp; Tenders/"&amp;K226),IFERROR(INDEX('Google Drive Map'!$B$4:$B$33,MATCH(D226,'Google Drive Map'!$A$4:$A$33,0)),""))))</f>
        <v/>
      </c>
      <c r="Q226" s="7">
        <f>IF(P226="","",IF(IFERROR(INDEX('Google Drive Map'!$G$4:$G$33,MATCH(P226,'Google Drive Map'!$B$4:$B$33,0))&amp;"","")="","",HYPERLINK(INDEX('Google Drive Map'!$G$4:$G$33,MATCH(P226,'Google Drive Map'!$B$4:$B$33,0)),"Open")))</f>
        <v/>
      </c>
      <c r="R226" s="7">
        <f>IF(AND(A226="",B226="",C226=""),"",TRIM(IF(AND(D226&lt;&gt;"",ISNA(MATCH(D226,'Google Drive Map'!$A$4:$A$33,0))),"Folder code isn't on the folder map. ","")&amp;IF(AND(C226&lt;&gt;"",NOT(ISNUMBER(C226))),"No. must be a whole number. ","")&amp;IF(AND(D226&lt;&gt;"",B226&lt;&gt;"",C226=""),"Type the next free no. ","")&amp;IF(AND(F226&lt;&gt;"",COUNTIF(F$4:F$303,F226)&gt;1),"Duplicate Doc ID. ","")))</f>
        <v/>
      </c>
      <c r="S226" s="22" t="n"/>
      <c r="T226" s="23" t="n"/>
    </row>
    <row r="227">
      <c r="A227" s="35" t="n"/>
      <c r="B227" s="22" t="n"/>
      <c r="C227" s="22" t="n"/>
      <c r="D227" s="7">
        <f>IF(A227="","",IF(ISNUMBER(A227),TEXT(A227,"00"),TRIM(A227)))</f>
        <v/>
      </c>
      <c r="E227" s="7">
        <f t="array" ref="E227">IF(OR(D227="",B227=""),"",MAX(IF((D$4:D$303=D227)*(B$4:B$303=B227)*ISNUMBER(C$4:C$303),C$4:C$303,0))+1)</f>
        <v/>
      </c>
      <c r="F227" s="7">
        <f>IF(OR(D227="",B227="",NOT(ISNUMBER(C227))),"",D227&amp;"-"&amp;B227&amp;"-"&amp;TEXT(C227,"000"))</f>
        <v/>
      </c>
      <c r="G227" s="23" t="n"/>
      <c r="H227" s="22" t="n"/>
      <c r="I227" s="24" t="n"/>
      <c r="J227" s="22" t="n"/>
      <c r="K227" s="22" t="n"/>
      <c r="L227" s="22" t="n"/>
      <c r="M227" s="22" t="n"/>
      <c r="N227" s="22" t="n"/>
      <c r="O227" s="7">
        <f>IF(F227="","",F227&amp;"_"&amp;SUBSTITUTE(SUBSTITUTE(SUBSTITUTE(SUBSTITUTE(SUBSTITUTE(SUBSTITUTE(SUBSTITUTE(SUBSTITUTE(SUBSTITUTE(SUBSTITUTE(TRIM(G227)," ","-"),"/","-"),"\","-"),":","-"),"*","-"),"?","-"),"""","-"),"&lt;","-"),"&gt;","-"),"|","-")&amp;IF(H227="","","_Rev"&amp;H227))</f>
        <v/>
      </c>
      <c r="P227" s="7">
        <f>IF(D227="","",IF(L227="Superseded","99 Archive",IF(AND(D227="04",K227&lt;&gt;""),IFERROR(INDEX('Google Drive Map'!$B$4:$B$33,MATCH("04/"&amp;LEFT(K227,2),'Google Drive Map'!$A$4:$A$33,0)),"04 Trades &amp; Tenders/"&amp;K227),IFERROR(INDEX('Google Drive Map'!$B$4:$B$33,MATCH(D227,'Google Drive Map'!$A$4:$A$33,0)),""))))</f>
        <v/>
      </c>
      <c r="Q227" s="7">
        <f>IF(P227="","",IF(IFERROR(INDEX('Google Drive Map'!$G$4:$G$33,MATCH(P227,'Google Drive Map'!$B$4:$B$33,0))&amp;"","")="","",HYPERLINK(INDEX('Google Drive Map'!$G$4:$G$33,MATCH(P227,'Google Drive Map'!$B$4:$B$33,0)),"Open")))</f>
        <v/>
      </c>
      <c r="R227" s="7">
        <f>IF(AND(A227="",B227="",C227=""),"",TRIM(IF(AND(D227&lt;&gt;"",ISNA(MATCH(D227,'Google Drive Map'!$A$4:$A$33,0))),"Folder code isn't on the folder map. ","")&amp;IF(AND(C227&lt;&gt;"",NOT(ISNUMBER(C227))),"No. must be a whole number. ","")&amp;IF(AND(D227&lt;&gt;"",B227&lt;&gt;"",C227=""),"Type the next free no. ","")&amp;IF(AND(F227&lt;&gt;"",COUNTIF(F$4:F$303,F227)&gt;1),"Duplicate Doc ID. ","")))</f>
        <v/>
      </c>
      <c r="S227" s="22" t="n"/>
      <c r="T227" s="23" t="n"/>
    </row>
    <row r="228">
      <c r="A228" s="35" t="n"/>
      <c r="B228" s="22" t="n"/>
      <c r="C228" s="22" t="n"/>
      <c r="D228" s="7">
        <f>IF(A228="","",IF(ISNUMBER(A228),TEXT(A228,"00"),TRIM(A228)))</f>
        <v/>
      </c>
      <c r="E228" s="7">
        <f t="array" ref="E228">IF(OR(D228="",B228=""),"",MAX(IF((D$4:D$303=D228)*(B$4:B$303=B228)*ISNUMBER(C$4:C$303),C$4:C$303,0))+1)</f>
        <v/>
      </c>
      <c r="F228" s="7">
        <f>IF(OR(D228="",B228="",NOT(ISNUMBER(C228))),"",D228&amp;"-"&amp;B228&amp;"-"&amp;TEXT(C228,"000"))</f>
        <v/>
      </c>
      <c r="G228" s="23" t="n"/>
      <c r="H228" s="22" t="n"/>
      <c r="I228" s="24" t="n"/>
      <c r="J228" s="22" t="n"/>
      <c r="K228" s="22" t="n"/>
      <c r="L228" s="22" t="n"/>
      <c r="M228" s="22" t="n"/>
      <c r="N228" s="22" t="n"/>
      <c r="O228" s="7">
        <f>IF(F228="","",F228&amp;"_"&amp;SUBSTITUTE(SUBSTITUTE(SUBSTITUTE(SUBSTITUTE(SUBSTITUTE(SUBSTITUTE(SUBSTITUTE(SUBSTITUTE(SUBSTITUTE(SUBSTITUTE(TRIM(G228)," ","-"),"/","-"),"\","-"),":","-"),"*","-"),"?","-"),"""","-"),"&lt;","-"),"&gt;","-"),"|","-")&amp;IF(H228="","","_Rev"&amp;H228))</f>
        <v/>
      </c>
      <c r="P228" s="7">
        <f>IF(D228="","",IF(L228="Superseded","99 Archive",IF(AND(D228="04",K228&lt;&gt;""),IFERROR(INDEX('Google Drive Map'!$B$4:$B$33,MATCH("04/"&amp;LEFT(K228,2),'Google Drive Map'!$A$4:$A$33,0)),"04 Trades &amp; Tenders/"&amp;K228),IFERROR(INDEX('Google Drive Map'!$B$4:$B$33,MATCH(D228,'Google Drive Map'!$A$4:$A$33,0)),""))))</f>
        <v/>
      </c>
      <c r="Q228" s="7">
        <f>IF(P228="","",IF(IFERROR(INDEX('Google Drive Map'!$G$4:$G$33,MATCH(P228,'Google Drive Map'!$B$4:$B$33,0))&amp;"","")="","",HYPERLINK(INDEX('Google Drive Map'!$G$4:$G$33,MATCH(P228,'Google Drive Map'!$B$4:$B$33,0)),"Open")))</f>
        <v/>
      </c>
      <c r="R228" s="7">
        <f>IF(AND(A228="",B228="",C228=""),"",TRIM(IF(AND(D228&lt;&gt;"",ISNA(MATCH(D228,'Google Drive Map'!$A$4:$A$33,0))),"Folder code isn't on the folder map. ","")&amp;IF(AND(C228&lt;&gt;"",NOT(ISNUMBER(C228))),"No. must be a whole number. ","")&amp;IF(AND(D228&lt;&gt;"",B228&lt;&gt;"",C228=""),"Type the next free no. ","")&amp;IF(AND(F228&lt;&gt;"",COUNTIF(F$4:F$303,F228)&gt;1),"Duplicate Doc ID. ","")))</f>
        <v/>
      </c>
      <c r="S228" s="22" t="n"/>
      <c r="T228" s="23" t="n"/>
    </row>
    <row r="229">
      <c r="A229" s="35" t="n"/>
      <c r="B229" s="22" t="n"/>
      <c r="C229" s="22" t="n"/>
      <c r="D229" s="7">
        <f>IF(A229="","",IF(ISNUMBER(A229),TEXT(A229,"00"),TRIM(A229)))</f>
        <v/>
      </c>
      <c r="E229" s="7">
        <f t="array" ref="E229">IF(OR(D229="",B229=""),"",MAX(IF((D$4:D$303=D229)*(B$4:B$303=B229)*ISNUMBER(C$4:C$303),C$4:C$303,0))+1)</f>
        <v/>
      </c>
      <c r="F229" s="7">
        <f>IF(OR(D229="",B229="",NOT(ISNUMBER(C229))),"",D229&amp;"-"&amp;B229&amp;"-"&amp;TEXT(C229,"000"))</f>
        <v/>
      </c>
      <c r="G229" s="23" t="n"/>
      <c r="H229" s="22" t="n"/>
      <c r="I229" s="24" t="n"/>
      <c r="J229" s="22" t="n"/>
      <c r="K229" s="22" t="n"/>
      <c r="L229" s="22" t="n"/>
      <c r="M229" s="22" t="n"/>
      <c r="N229" s="22" t="n"/>
      <c r="O229" s="7">
        <f>IF(F229="","",F229&amp;"_"&amp;SUBSTITUTE(SUBSTITUTE(SUBSTITUTE(SUBSTITUTE(SUBSTITUTE(SUBSTITUTE(SUBSTITUTE(SUBSTITUTE(SUBSTITUTE(SUBSTITUTE(TRIM(G229)," ","-"),"/","-"),"\","-"),":","-"),"*","-"),"?","-"),"""","-"),"&lt;","-"),"&gt;","-"),"|","-")&amp;IF(H229="","","_Rev"&amp;H229))</f>
        <v/>
      </c>
      <c r="P229" s="7">
        <f>IF(D229="","",IF(L229="Superseded","99 Archive",IF(AND(D229="04",K229&lt;&gt;""),IFERROR(INDEX('Google Drive Map'!$B$4:$B$33,MATCH("04/"&amp;LEFT(K229,2),'Google Drive Map'!$A$4:$A$33,0)),"04 Trades &amp; Tenders/"&amp;K229),IFERROR(INDEX('Google Drive Map'!$B$4:$B$33,MATCH(D229,'Google Drive Map'!$A$4:$A$33,0)),""))))</f>
        <v/>
      </c>
      <c r="Q229" s="7">
        <f>IF(P229="","",IF(IFERROR(INDEX('Google Drive Map'!$G$4:$G$33,MATCH(P229,'Google Drive Map'!$B$4:$B$33,0))&amp;"","")="","",HYPERLINK(INDEX('Google Drive Map'!$G$4:$G$33,MATCH(P229,'Google Drive Map'!$B$4:$B$33,0)),"Open")))</f>
        <v/>
      </c>
      <c r="R229" s="7">
        <f>IF(AND(A229="",B229="",C229=""),"",TRIM(IF(AND(D229&lt;&gt;"",ISNA(MATCH(D229,'Google Drive Map'!$A$4:$A$33,0))),"Folder code isn't on the folder map. ","")&amp;IF(AND(C229&lt;&gt;"",NOT(ISNUMBER(C229))),"No. must be a whole number. ","")&amp;IF(AND(D229&lt;&gt;"",B229&lt;&gt;"",C229=""),"Type the next free no. ","")&amp;IF(AND(F229&lt;&gt;"",COUNTIF(F$4:F$303,F229)&gt;1),"Duplicate Doc ID. ","")))</f>
        <v/>
      </c>
      <c r="S229" s="22" t="n"/>
      <c r="T229" s="23" t="n"/>
    </row>
    <row r="230">
      <c r="A230" s="35" t="n"/>
      <c r="B230" s="22" t="n"/>
      <c r="C230" s="22" t="n"/>
      <c r="D230" s="7">
        <f>IF(A230="","",IF(ISNUMBER(A230),TEXT(A230,"00"),TRIM(A230)))</f>
        <v/>
      </c>
      <c r="E230" s="7">
        <f t="array" ref="E230">IF(OR(D230="",B230=""),"",MAX(IF((D$4:D$303=D230)*(B$4:B$303=B230)*ISNUMBER(C$4:C$303),C$4:C$303,0))+1)</f>
        <v/>
      </c>
      <c r="F230" s="7">
        <f>IF(OR(D230="",B230="",NOT(ISNUMBER(C230))),"",D230&amp;"-"&amp;B230&amp;"-"&amp;TEXT(C230,"000"))</f>
        <v/>
      </c>
      <c r="G230" s="23" t="n"/>
      <c r="H230" s="22" t="n"/>
      <c r="I230" s="24" t="n"/>
      <c r="J230" s="22" t="n"/>
      <c r="K230" s="22" t="n"/>
      <c r="L230" s="22" t="n"/>
      <c r="M230" s="22" t="n"/>
      <c r="N230" s="22" t="n"/>
      <c r="O230" s="7">
        <f>IF(F230="","",F230&amp;"_"&amp;SUBSTITUTE(SUBSTITUTE(SUBSTITUTE(SUBSTITUTE(SUBSTITUTE(SUBSTITUTE(SUBSTITUTE(SUBSTITUTE(SUBSTITUTE(SUBSTITUTE(TRIM(G230)," ","-"),"/","-"),"\","-"),":","-"),"*","-"),"?","-"),"""","-"),"&lt;","-"),"&gt;","-"),"|","-")&amp;IF(H230="","","_Rev"&amp;H230))</f>
        <v/>
      </c>
      <c r="P230" s="7">
        <f>IF(D230="","",IF(L230="Superseded","99 Archive",IF(AND(D230="04",K230&lt;&gt;""),IFERROR(INDEX('Google Drive Map'!$B$4:$B$33,MATCH("04/"&amp;LEFT(K230,2),'Google Drive Map'!$A$4:$A$33,0)),"04 Trades &amp; Tenders/"&amp;K230),IFERROR(INDEX('Google Drive Map'!$B$4:$B$33,MATCH(D230,'Google Drive Map'!$A$4:$A$33,0)),""))))</f>
        <v/>
      </c>
      <c r="Q230" s="7">
        <f>IF(P230="","",IF(IFERROR(INDEX('Google Drive Map'!$G$4:$G$33,MATCH(P230,'Google Drive Map'!$B$4:$B$33,0))&amp;"","")="","",HYPERLINK(INDEX('Google Drive Map'!$G$4:$G$33,MATCH(P230,'Google Drive Map'!$B$4:$B$33,0)),"Open")))</f>
        <v/>
      </c>
      <c r="R230" s="7">
        <f>IF(AND(A230="",B230="",C230=""),"",TRIM(IF(AND(D230&lt;&gt;"",ISNA(MATCH(D230,'Google Drive Map'!$A$4:$A$33,0))),"Folder code isn't on the folder map. ","")&amp;IF(AND(C230&lt;&gt;"",NOT(ISNUMBER(C230))),"No. must be a whole number. ","")&amp;IF(AND(D230&lt;&gt;"",B230&lt;&gt;"",C230=""),"Type the next free no. ","")&amp;IF(AND(F230&lt;&gt;"",COUNTIF(F$4:F$303,F230)&gt;1),"Duplicate Doc ID. ","")))</f>
        <v/>
      </c>
      <c r="S230" s="22" t="n"/>
      <c r="T230" s="23" t="n"/>
    </row>
    <row r="231">
      <c r="A231" s="35" t="n"/>
      <c r="B231" s="22" t="n"/>
      <c r="C231" s="22" t="n"/>
      <c r="D231" s="7">
        <f>IF(A231="","",IF(ISNUMBER(A231),TEXT(A231,"00"),TRIM(A231)))</f>
        <v/>
      </c>
      <c r="E231" s="7">
        <f t="array" ref="E231">IF(OR(D231="",B231=""),"",MAX(IF((D$4:D$303=D231)*(B$4:B$303=B231)*ISNUMBER(C$4:C$303),C$4:C$303,0))+1)</f>
        <v/>
      </c>
      <c r="F231" s="7">
        <f>IF(OR(D231="",B231="",NOT(ISNUMBER(C231))),"",D231&amp;"-"&amp;B231&amp;"-"&amp;TEXT(C231,"000"))</f>
        <v/>
      </c>
      <c r="G231" s="23" t="n"/>
      <c r="H231" s="22" t="n"/>
      <c r="I231" s="24" t="n"/>
      <c r="J231" s="22" t="n"/>
      <c r="K231" s="22" t="n"/>
      <c r="L231" s="22" t="n"/>
      <c r="M231" s="22" t="n"/>
      <c r="N231" s="22" t="n"/>
      <c r="O231" s="7">
        <f>IF(F231="","",F231&amp;"_"&amp;SUBSTITUTE(SUBSTITUTE(SUBSTITUTE(SUBSTITUTE(SUBSTITUTE(SUBSTITUTE(SUBSTITUTE(SUBSTITUTE(SUBSTITUTE(SUBSTITUTE(TRIM(G231)," ","-"),"/","-"),"\","-"),":","-"),"*","-"),"?","-"),"""","-"),"&lt;","-"),"&gt;","-"),"|","-")&amp;IF(H231="","","_Rev"&amp;H231))</f>
        <v/>
      </c>
      <c r="P231" s="7">
        <f>IF(D231="","",IF(L231="Superseded","99 Archive",IF(AND(D231="04",K231&lt;&gt;""),IFERROR(INDEX('Google Drive Map'!$B$4:$B$33,MATCH("04/"&amp;LEFT(K231,2),'Google Drive Map'!$A$4:$A$33,0)),"04 Trades &amp; Tenders/"&amp;K231),IFERROR(INDEX('Google Drive Map'!$B$4:$B$33,MATCH(D231,'Google Drive Map'!$A$4:$A$33,0)),""))))</f>
        <v/>
      </c>
      <c r="Q231" s="7">
        <f>IF(P231="","",IF(IFERROR(INDEX('Google Drive Map'!$G$4:$G$33,MATCH(P231,'Google Drive Map'!$B$4:$B$33,0))&amp;"","")="","",HYPERLINK(INDEX('Google Drive Map'!$G$4:$G$33,MATCH(P231,'Google Drive Map'!$B$4:$B$33,0)),"Open")))</f>
        <v/>
      </c>
      <c r="R231" s="7">
        <f>IF(AND(A231="",B231="",C231=""),"",TRIM(IF(AND(D231&lt;&gt;"",ISNA(MATCH(D231,'Google Drive Map'!$A$4:$A$33,0))),"Folder code isn't on the folder map. ","")&amp;IF(AND(C231&lt;&gt;"",NOT(ISNUMBER(C231))),"No. must be a whole number. ","")&amp;IF(AND(D231&lt;&gt;"",B231&lt;&gt;"",C231=""),"Type the next free no. ","")&amp;IF(AND(F231&lt;&gt;"",COUNTIF(F$4:F$303,F231)&gt;1),"Duplicate Doc ID. ","")))</f>
        <v/>
      </c>
      <c r="S231" s="22" t="n"/>
      <c r="T231" s="23" t="n"/>
    </row>
    <row r="232">
      <c r="A232" s="35" t="n"/>
      <c r="B232" s="22" t="n"/>
      <c r="C232" s="22" t="n"/>
      <c r="D232" s="7">
        <f>IF(A232="","",IF(ISNUMBER(A232),TEXT(A232,"00"),TRIM(A232)))</f>
        <v/>
      </c>
      <c r="E232" s="7">
        <f t="array" ref="E232">IF(OR(D232="",B232=""),"",MAX(IF((D$4:D$303=D232)*(B$4:B$303=B232)*ISNUMBER(C$4:C$303),C$4:C$303,0))+1)</f>
        <v/>
      </c>
      <c r="F232" s="7">
        <f>IF(OR(D232="",B232="",NOT(ISNUMBER(C232))),"",D232&amp;"-"&amp;B232&amp;"-"&amp;TEXT(C232,"000"))</f>
        <v/>
      </c>
      <c r="G232" s="23" t="n"/>
      <c r="H232" s="22" t="n"/>
      <c r="I232" s="24" t="n"/>
      <c r="J232" s="22" t="n"/>
      <c r="K232" s="22" t="n"/>
      <c r="L232" s="22" t="n"/>
      <c r="M232" s="22" t="n"/>
      <c r="N232" s="22" t="n"/>
      <c r="O232" s="7">
        <f>IF(F232="","",F232&amp;"_"&amp;SUBSTITUTE(SUBSTITUTE(SUBSTITUTE(SUBSTITUTE(SUBSTITUTE(SUBSTITUTE(SUBSTITUTE(SUBSTITUTE(SUBSTITUTE(SUBSTITUTE(TRIM(G232)," ","-"),"/","-"),"\","-"),":","-"),"*","-"),"?","-"),"""","-"),"&lt;","-"),"&gt;","-"),"|","-")&amp;IF(H232="","","_Rev"&amp;H232))</f>
        <v/>
      </c>
      <c r="P232" s="7">
        <f>IF(D232="","",IF(L232="Superseded","99 Archive",IF(AND(D232="04",K232&lt;&gt;""),IFERROR(INDEX('Google Drive Map'!$B$4:$B$33,MATCH("04/"&amp;LEFT(K232,2),'Google Drive Map'!$A$4:$A$33,0)),"04 Trades &amp; Tenders/"&amp;K232),IFERROR(INDEX('Google Drive Map'!$B$4:$B$33,MATCH(D232,'Google Drive Map'!$A$4:$A$33,0)),""))))</f>
        <v/>
      </c>
      <c r="Q232" s="7">
        <f>IF(P232="","",IF(IFERROR(INDEX('Google Drive Map'!$G$4:$G$33,MATCH(P232,'Google Drive Map'!$B$4:$B$33,0))&amp;"","")="","",HYPERLINK(INDEX('Google Drive Map'!$G$4:$G$33,MATCH(P232,'Google Drive Map'!$B$4:$B$33,0)),"Open")))</f>
        <v/>
      </c>
      <c r="R232" s="7">
        <f>IF(AND(A232="",B232="",C232=""),"",TRIM(IF(AND(D232&lt;&gt;"",ISNA(MATCH(D232,'Google Drive Map'!$A$4:$A$33,0))),"Folder code isn't on the folder map. ","")&amp;IF(AND(C232&lt;&gt;"",NOT(ISNUMBER(C232))),"No. must be a whole number. ","")&amp;IF(AND(D232&lt;&gt;"",B232&lt;&gt;"",C232=""),"Type the next free no. ","")&amp;IF(AND(F232&lt;&gt;"",COUNTIF(F$4:F$303,F232)&gt;1),"Duplicate Doc ID. ","")))</f>
        <v/>
      </c>
      <c r="S232" s="22" t="n"/>
      <c r="T232" s="23" t="n"/>
    </row>
    <row r="233">
      <c r="A233" s="35" t="n"/>
      <c r="B233" s="22" t="n"/>
      <c r="C233" s="22" t="n"/>
      <c r="D233" s="7">
        <f>IF(A233="","",IF(ISNUMBER(A233),TEXT(A233,"00"),TRIM(A233)))</f>
        <v/>
      </c>
      <c r="E233" s="7">
        <f t="array" ref="E233">IF(OR(D233="",B233=""),"",MAX(IF((D$4:D$303=D233)*(B$4:B$303=B233)*ISNUMBER(C$4:C$303),C$4:C$303,0))+1)</f>
        <v/>
      </c>
      <c r="F233" s="7">
        <f>IF(OR(D233="",B233="",NOT(ISNUMBER(C233))),"",D233&amp;"-"&amp;B233&amp;"-"&amp;TEXT(C233,"000"))</f>
        <v/>
      </c>
      <c r="G233" s="23" t="n"/>
      <c r="H233" s="22" t="n"/>
      <c r="I233" s="24" t="n"/>
      <c r="J233" s="22" t="n"/>
      <c r="K233" s="22" t="n"/>
      <c r="L233" s="22" t="n"/>
      <c r="M233" s="22" t="n"/>
      <c r="N233" s="22" t="n"/>
      <c r="O233" s="7">
        <f>IF(F233="","",F233&amp;"_"&amp;SUBSTITUTE(SUBSTITUTE(SUBSTITUTE(SUBSTITUTE(SUBSTITUTE(SUBSTITUTE(SUBSTITUTE(SUBSTITUTE(SUBSTITUTE(SUBSTITUTE(TRIM(G233)," ","-"),"/","-"),"\","-"),":","-"),"*","-"),"?","-"),"""","-"),"&lt;","-"),"&gt;","-"),"|","-")&amp;IF(H233="","","_Rev"&amp;H233))</f>
        <v/>
      </c>
      <c r="P233" s="7">
        <f>IF(D233="","",IF(L233="Superseded","99 Archive",IF(AND(D233="04",K233&lt;&gt;""),IFERROR(INDEX('Google Drive Map'!$B$4:$B$33,MATCH("04/"&amp;LEFT(K233,2),'Google Drive Map'!$A$4:$A$33,0)),"04 Trades &amp; Tenders/"&amp;K233),IFERROR(INDEX('Google Drive Map'!$B$4:$B$33,MATCH(D233,'Google Drive Map'!$A$4:$A$33,0)),""))))</f>
        <v/>
      </c>
      <c r="Q233" s="7">
        <f>IF(P233="","",IF(IFERROR(INDEX('Google Drive Map'!$G$4:$G$33,MATCH(P233,'Google Drive Map'!$B$4:$B$33,0))&amp;"","")="","",HYPERLINK(INDEX('Google Drive Map'!$G$4:$G$33,MATCH(P233,'Google Drive Map'!$B$4:$B$33,0)),"Open")))</f>
        <v/>
      </c>
      <c r="R233" s="7">
        <f>IF(AND(A233="",B233="",C233=""),"",TRIM(IF(AND(D233&lt;&gt;"",ISNA(MATCH(D233,'Google Drive Map'!$A$4:$A$33,0))),"Folder code isn't on the folder map. ","")&amp;IF(AND(C233&lt;&gt;"",NOT(ISNUMBER(C233))),"No. must be a whole number. ","")&amp;IF(AND(D233&lt;&gt;"",B233&lt;&gt;"",C233=""),"Type the next free no. ","")&amp;IF(AND(F233&lt;&gt;"",COUNTIF(F$4:F$303,F233)&gt;1),"Duplicate Doc ID. ","")))</f>
        <v/>
      </c>
      <c r="S233" s="22" t="n"/>
      <c r="T233" s="23" t="n"/>
    </row>
    <row r="234">
      <c r="A234" s="35" t="n"/>
      <c r="B234" s="22" t="n"/>
      <c r="C234" s="22" t="n"/>
      <c r="D234" s="7">
        <f>IF(A234="","",IF(ISNUMBER(A234),TEXT(A234,"00"),TRIM(A234)))</f>
        <v/>
      </c>
      <c r="E234" s="7">
        <f t="array" ref="E234">IF(OR(D234="",B234=""),"",MAX(IF((D$4:D$303=D234)*(B$4:B$303=B234)*ISNUMBER(C$4:C$303),C$4:C$303,0))+1)</f>
        <v/>
      </c>
      <c r="F234" s="7">
        <f>IF(OR(D234="",B234="",NOT(ISNUMBER(C234))),"",D234&amp;"-"&amp;B234&amp;"-"&amp;TEXT(C234,"000"))</f>
        <v/>
      </c>
      <c r="G234" s="23" t="n"/>
      <c r="H234" s="22" t="n"/>
      <c r="I234" s="24" t="n"/>
      <c r="J234" s="22" t="n"/>
      <c r="K234" s="22" t="n"/>
      <c r="L234" s="22" t="n"/>
      <c r="M234" s="22" t="n"/>
      <c r="N234" s="22" t="n"/>
      <c r="O234" s="7">
        <f>IF(F234="","",F234&amp;"_"&amp;SUBSTITUTE(SUBSTITUTE(SUBSTITUTE(SUBSTITUTE(SUBSTITUTE(SUBSTITUTE(SUBSTITUTE(SUBSTITUTE(SUBSTITUTE(SUBSTITUTE(TRIM(G234)," ","-"),"/","-"),"\","-"),":","-"),"*","-"),"?","-"),"""","-"),"&lt;","-"),"&gt;","-"),"|","-")&amp;IF(H234="","","_Rev"&amp;H234))</f>
        <v/>
      </c>
      <c r="P234" s="7">
        <f>IF(D234="","",IF(L234="Superseded","99 Archive",IF(AND(D234="04",K234&lt;&gt;""),IFERROR(INDEX('Google Drive Map'!$B$4:$B$33,MATCH("04/"&amp;LEFT(K234,2),'Google Drive Map'!$A$4:$A$33,0)),"04 Trades &amp; Tenders/"&amp;K234),IFERROR(INDEX('Google Drive Map'!$B$4:$B$33,MATCH(D234,'Google Drive Map'!$A$4:$A$33,0)),""))))</f>
        <v/>
      </c>
      <c r="Q234" s="7">
        <f>IF(P234="","",IF(IFERROR(INDEX('Google Drive Map'!$G$4:$G$33,MATCH(P234,'Google Drive Map'!$B$4:$B$33,0))&amp;"","")="","",HYPERLINK(INDEX('Google Drive Map'!$G$4:$G$33,MATCH(P234,'Google Drive Map'!$B$4:$B$33,0)),"Open")))</f>
        <v/>
      </c>
      <c r="R234" s="7">
        <f>IF(AND(A234="",B234="",C234=""),"",TRIM(IF(AND(D234&lt;&gt;"",ISNA(MATCH(D234,'Google Drive Map'!$A$4:$A$33,0))),"Folder code isn't on the folder map. ","")&amp;IF(AND(C234&lt;&gt;"",NOT(ISNUMBER(C234))),"No. must be a whole number. ","")&amp;IF(AND(D234&lt;&gt;"",B234&lt;&gt;"",C234=""),"Type the next free no. ","")&amp;IF(AND(F234&lt;&gt;"",COUNTIF(F$4:F$303,F234)&gt;1),"Duplicate Doc ID. ","")))</f>
        <v/>
      </c>
      <c r="S234" s="22" t="n"/>
      <c r="T234" s="23" t="n"/>
    </row>
    <row r="235">
      <c r="A235" s="35" t="n"/>
      <c r="B235" s="22" t="n"/>
      <c r="C235" s="22" t="n"/>
      <c r="D235" s="7">
        <f>IF(A235="","",IF(ISNUMBER(A235),TEXT(A235,"00"),TRIM(A235)))</f>
        <v/>
      </c>
      <c r="E235" s="7">
        <f t="array" ref="E235">IF(OR(D235="",B235=""),"",MAX(IF((D$4:D$303=D235)*(B$4:B$303=B235)*ISNUMBER(C$4:C$303),C$4:C$303,0))+1)</f>
        <v/>
      </c>
      <c r="F235" s="7">
        <f>IF(OR(D235="",B235="",NOT(ISNUMBER(C235))),"",D235&amp;"-"&amp;B235&amp;"-"&amp;TEXT(C235,"000"))</f>
        <v/>
      </c>
      <c r="G235" s="23" t="n"/>
      <c r="H235" s="22" t="n"/>
      <c r="I235" s="24" t="n"/>
      <c r="J235" s="22" t="n"/>
      <c r="K235" s="22" t="n"/>
      <c r="L235" s="22" t="n"/>
      <c r="M235" s="22" t="n"/>
      <c r="N235" s="22" t="n"/>
      <c r="O235" s="7">
        <f>IF(F235="","",F235&amp;"_"&amp;SUBSTITUTE(SUBSTITUTE(SUBSTITUTE(SUBSTITUTE(SUBSTITUTE(SUBSTITUTE(SUBSTITUTE(SUBSTITUTE(SUBSTITUTE(SUBSTITUTE(TRIM(G235)," ","-"),"/","-"),"\","-"),":","-"),"*","-"),"?","-"),"""","-"),"&lt;","-"),"&gt;","-"),"|","-")&amp;IF(H235="","","_Rev"&amp;H235))</f>
        <v/>
      </c>
      <c r="P235" s="7">
        <f>IF(D235="","",IF(L235="Superseded","99 Archive",IF(AND(D235="04",K235&lt;&gt;""),IFERROR(INDEX('Google Drive Map'!$B$4:$B$33,MATCH("04/"&amp;LEFT(K235,2),'Google Drive Map'!$A$4:$A$33,0)),"04 Trades &amp; Tenders/"&amp;K235),IFERROR(INDEX('Google Drive Map'!$B$4:$B$33,MATCH(D235,'Google Drive Map'!$A$4:$A$33,0)),""))))</f>
        <v/>
      </c>
      <c r="Q235" s="7">
        <f>IF(P235="","",IF(IFERROR(INDEX('Google Drive Map'!$G$4:$G$33,MATCH(P235,'Google Drive Map'!$B$4:$B$33,0))&amp;"","")="","",HYPERLINK(INDEX('Google Drive Map'!$G$4:$G$33,MATCH(P235,'Google Drive Map'!$B$4:$B$33,0)),"Open")))</f>
        <v/>
      </c>
      <c r="R235" s="7">
        <f>IF(AND(A235="",B235="",C235=""),"",TRIM(IF(AND(D235&lt;&gt;"",ISNA(MATCH(D235,'Google Drive Map'!$A$4:$A$33,0))),"Folder code isn't on the folder map. ","")&amp;IF(AND(C235&lt;&gt;"",NOT(ISNUMBER(C235))),"No. must be a whole number. ","")&amp;IF(AND(D235&lt;&gt;"",B235&lt;&gt;"",C235=""),"Type the next free no. ","")&amp;IF(AND(F235&lt;&gt;"",COUNTIF(F$4:F$303,F235)&gt;1),"Duplicate Doc ID. ","")))</f>
        <v/>
      </c>
      <c r="S235" s="22" t="n"/>
      <c r="T235" s="23" t="n"/>
    </row>
    <row r="236">
      <c r="A236" s="35" t="n"/>
      <c r="B236" s="22" t="n"/>
      <c r="C236" s="22" t="n"/>
      <c r="D236" s="7">
        <f>IF(A236="","",IF(ISNUMBER(A236),TEXT(A236,"00"),TRIM(A236)))</f>
        <v/>
      </c>
      <c r="E236" s="7">
        <f t="array" ref="E236">IF(OR(D236="",B236=""),"",MAX(IF((D$4:D$303=D236)*(B$4:B$303=B236)*ISNUMBER(C$4:C$303),C$4:C$303,0))+1)</f>
        <v/>
      </c>
      <c r="F236" s="7">
        <f>IF(OR(D236="",B236="",NOT(ISNUMBER(C236))),"",D236&amp;"-"&amp;B236&amp;"-"&amp;TEXT(C236,"000"))</f>
        <v/>
      </c>
      <c r="G236" s="23" t="n"/>
      <c r="H236" s="22" t="n"/>
      <c r="I236" s="24" t="n"/>
      <c r="J236" s="22" t="n"/>
      <c r="K236" s="22" t="n"/>
      <c r="L236" s="22" t="n"/>
      <c r="M236" s="22" t="n"/>
      <c r="N236" s="22" t="n"/>
      <c r="O236" s="7">
        <f>IF(F236="","",F236&amp;"_"&amp;SUBSTITUTE(SUBSTITUTE(SUBSTITUTE(SUBSTITUTE(SUBSTITUTE(SUBSTITUTE(SUBSTITUTE(SUBSTITUTE(SUBSTITUTE(SUBSTITUTE(TRIM(G236)," ","-"),"/","-"),"\","-"),":","-"),"*","-"),"?","-"),"""","-"),"&lt;","-"),"&gt;","-"),"|","-")&amp;IF(H236="","","_Rev"&amp;H236))</f>
        <v/>
      </c>
      <c r="P236" s="7">
        <f>IF(D236="","",IF(L236="Superseded","99 Archive",IF(AND(D236="04",K236&lt;&gt;""),IFERROR(INDEX('Google Drive Map'!$B$4:$B$33,MATCH("04/"&amp;LEFT(K236,2),'Google Drive Map'!$A$4:$A$33,0)),"04 Trades &amp; Tenders/"&amp;K236),IFERROR(INDEX('Google Drive Map'!$B$4:$B$33,MATCH(D236,'Google Drive Map'!$A$4:$A$33,0)),""))))</f>
        <v/>
      </c>
      <c r="Q236" s="7">
        <f>IF(P236="","",IF(IFERROR(INDEX('Google Drive Map'!$G$4:$G$33,MATCH(P236,'Google Drive Map'!$B$4:$B$33,0))&amp;"","")="","",HYPERLINK(INDEX('Google Drive Map'!$G$4:$G$33,MATCH(P236,'Google Drive Map'!$B$4:$B$33,0)),"Open")))</f>
        <v/>
      </c>
      <c r="R236" s="7">
        <f>IF(AND(A236="",B236="",C236=""),"",TRIM(IF(AND(D236&lt;&gt;"",ISNA(MATCH(D236,'Google Drive Map'!$A$4:$A$33,0))),"Folder code isn't on the folder map. ","")&amp;IF(AND(C236&lt;&gt;"",NOT(ISNUMBER(C236))),"No. must be a whole number. ","")&amp;IF(AND(D236&lt;&gt;"",B236&lt;&gt;"",C236=""),"Type the next free no. ","")&amp;IF(AND(F236&lt;&gt;"",COUNTIF(F$4:F$303,F236)&gt;1),"Duplicate Doc ID. ","")))</f>
        <v/>
      </c>
      <c r="S236" s="22" t="n"/>
      <c r="T236" s="23" t="n"/>
    </row>
    <row r="237">
      <c r="A237" s="35" t="n"/>
      <c r="B237" s="22" t="n"/>
      <c r="C237" s="22" t="n"/>
      <c r="D237" s="7">
        <f>IF(A237="","",IF(ISNUMBER(A237),TEXT(A237,"00"),TRIM(A237)))</f>
        <v/>
      </c>
      <c r="E237" s="7">
        <f t="array" ref="E237">IF(OR(D237="",B237=""),"",MAX(IF((D$4:D$303=D237)*(B$4:B$303=B237)*ISNUMBER(C$4:C$303),C$4:C$303,0))+1)</f>
        <v/>
      </c>
      <c r="F237" s="7">
        <f>IF(OR(D237="",B237="",NOT(ISNUMBER(C237))),"",D237&amp;"-"&amp;B237&amp;"-"&amp;TEXT(C237,"000"))</f>
        <v/>
      </c>
      <c r="G237" s="23" t="n"/>
      <c r="H237" s="22" t="n"/>
      <c r="I237" s="24" t="n"/>
      <c r="J237" s="22" t="n"/>
      <c r="K237" s="22" t="n"/>
      <c r="L237" s="22" t="n"/>
      <c r="M237" s="22" t="n"/>
      <c r="N237" s="22" t="n"/>
      <c r="O237" s="7">
        <f>IF(F237="","",F237&amp;"_"&amp;SUBSTITUTE(SUBSTITUTE(SUBSTITUTE(SUBSTITUTE(SUBSTITUTE(SUBSTITUTE(SUBSTITUTE(SUBSTITUTE(SUBSTITUTE(SUBSTITUTE(TRIM(G237)," ","-"),"/","-"),"\","-"),":","-"),"*","-"),"?","-"),"""","-"),"&lt;","-"),"&gt;","-"),"|","-")&amp;IF(H237="","","_Rev"&amp;H237))</f>
        <v/>
      </c>
      <c r="P237" s="7">
        <f>IF(D237="","",IF(L237="Superseded","99 Archive",IF(AND(D237="04",K237&lt;&gt;""),IFERROR(INDEX('Google Drive Map'!$B$4:$B$33,MATCH("04/"&amp;LEFT(K237,2),'Google Drive Map'!$A$4:$A$33,0)),"04 Trades &amp; Tenders/"&amp;K237),IFERROR(INDEX('Google Drive Map'!$B$4:$B$33,MATCH(D237,'Google Drive Map'!$A$4:$A$33,0)),""))))</f>
        <v/>
      </c>
      <c r="Q237" s="7">
        <f>IF(P237="","",IF(IFERROR(INDEX('Google Drive Map'!$G$4:$G$33,MATCH(P237,'Google Drive Map'!$B$4:$B$33,0))&amp;"","")="","",HYPERLINK(INDEX('Google Drive Map'!$G$4:$G$33,MATCH(P237,'Google Drive Map'!$B$4:$B$33,0)),"Open")))</f>
        <v/>
      </c>
      <c r="R237" s="7">
        <f>IF(AND(A237="",B237="",C237=""),"",TRIM(IF(AND(D237&lt;&gt;"",ISNA(MATCH(D237,'Google Drive Map'!$A$4:$A$33,0))),"Folder code isn't on the folder map. ","")&amp;IF(AND(C237&lt;&gt;"",NOT(ISNUMBER(C237))),"No. must be a whole number. ","")&amp;IF(AND(D237&lt;&gt;"",B237&lt;&gt;"",C237=""),"Type the next free no. ","")&amp;IF(AND(F237&lt;&gt;"",COUNTIF(F$4:F$303,F237)&gt;1),"Duplicate Doc ID. ","")))</f>
        <v/>
      </c>
      <c r="S237" s="22" t="n"/>
      <c r="T237" s="23" t="n"/>
    </row>
    <row r="238">
      <c r="A238" s="35" t="n"/>
      <c r="B238" s="22" t="n"/>
      <c r="C238" s="22" t="n"/>
      <c r="D238" s="7">
        <f>IF(A238="","",IF(ISNUMBER(A238),TEXT(A238,"00"),TRIM(A238)))</f>
        <v/>
      </c>
      <c r="E238" s="7">
        <f t="array" ref="E238">IF(OR(D238="",B238=""),"",MAX(IF((D$4:D$303=D238)*(B$4:B$303=B238)*ISNUMBER(C$4:C$303),C$4:C$303,0))+1)</f>
        <v/>
      </c>
      <c r="F238" s="7">
        <f>IF(OR(D238="",B238="",NOT(ISNUMBER(C238))),"",D238&amp;"-"&amp;B238&amp;"-"&amp;TEXT(C238,"000"))</f>
        <v/>
      </c>
      <c r="G238" s="23" t="n"/>
      <c r="H238" s="22" t="n"/>
      <c r="I238" s="24" t="n"/>
      <c r="J238" s="22" t="n"/>
      <c r="K238" s="22" t="n"/>
      <c r="L238" s="22" t="n"/>
      <c r="M238" s="22" t="n"/>
      <c r="N238" s="22" t="n"/>
      <c r="O238" s="7">
        <f>IF(F238="","",F238&amp;"_"&amp;SUBSTITUTE(SUBSTITUTE(SUBSTITUTE(SUBSTITUTE(SUBSTITUTE(SUBSTITUTE(SUBSTITUTE(SUBSTITUTE(SUBSTITUTE(SUBSTITUTE(TRIM(G238)," ","-"),"/","-"),"\","-"),":","-"),"*","-"),"?","-"),"""","-"),"&lt;","-"),"&gt;","-"),"|","-")&amp;IF(H238="","","_Rev"&amp;H238))</f>
        <v/>
      </c>
      <c r="P238" s="7">
        <f>IF(D238="","",IF(L238="Superseded","99 Archive",IF(AND(D238="04",K238&lt;&gt;""),IFERROR(INDEX('Google Drive Map'!$B$4:$B$33,MATCH("04/"&amp;LEFT(K238,2),'Google Drive Map'!$A$4:$A$33,0)),"04 Trades &amp; Tenders/"&amp;K238),IFERROR(INDEX('Google Drive Map'!$B$4:$B$33,MATCH(D238,'Google Drive Map'!$A$4:$A$33,0)),""))))</f>
        <v/>
      </c>
      <c r="Q238" s="7">
        <f>IF(P238="","",IF(IFERROR(INDEX('Google Drive Map'!$G$4:$G$33,MATCH(P238,'Google Drive Map'!$B$4:$B$33,0))&amp;"","")="","",HYPERLINK(INDEX('Google Drive Map'!$G$4:$G$33,MATCH(P238,'Google Drive Map'!$B$4:$B$33,0)),"Open")))</f>
        <v/>
      </c>
      <c r="R238" s="7">
        <f>IF(AND(A238="",B238="",C238=""),"",TRIM(IF(AND(D238&lt;&gt;"",ISNA(MATCH(D238,'Google Drive Map'!$A$4:$A$33,0))),"Folder code isn't on the folder map. ","")&amp;IF(AND(C238&lt;&gt;"",NOT(ISNUMBER(C238))),"No. must be a whole number. ","")&amp;IF(AND(D238&lt;&gt;"",B238&lt;&gt;"",C238=""),"Type the next free no. ","")&amp;IF(AND(F238&lt;&gt;"",COUNTIF(F$4:F$303,F238)&gt;1),"Duplicate Doc ID. ","")))</f>
        <v/>
      </c>
      <c r="S238" s="22" t="n"/>
      <c r="T238" s="23" t="n"/>
    </row>
    <row r="239">
      <c r="A239" s="35" t="n"/>
      <c r="B239" s="22" t="n"/>
      <c r="C239" s="22" t="n"/>
      <c r="D239" s="7">
        <f>IF(A239="","",IF(ISNUMBER(A239),TEXT(A239,"00"),TRIM(A239)))</f>
        <v/>
      </c>
      <c r="E239" s="7">
        <f t="array" ref="E239">IF(OR(D239="",B239=""),"",MAX(IF((D$4:D$303=D239)*(B$4:B$303=B239)*ISNUMBER(C$4:C$303),C$4:C$303,0))+1)</f>
        <v/>
      </c>
      <c r="F239" s="7">
        <f>IF(OR(D239="",B239="",NOT(ISNUMBER(C239))),"",D239&amp;"-"&amp;B239&amp;"-"&amp;TEXT(C239,"000"))</f>
        <v/>
      </c>
      <c r="G239" s="23" t="n"/>
      <c r="H239" s="22" t="n"/>
      <c r="I239" s="24" t="n"/>
      <c r="J239" s="22" t="n"/>
      <c r="K239" s="22" t="n"/>
      <c r="L239" s="22" t="n"/>
      <c r="M239" s="22" t="n"/>
      <c r="N239" s="22" t="n"/>
      <c r="O239" s="7">
        <f>IF(F239="","",F239&amp;"_"&amp;SUBSTITUTE(SUBSTITUTE(SUBSTITUTE(SUBSTITUTE(SUBSTITUTE(SUBSTITUTE(SUBSTITUTE(SUBSTITUTE(SUBSTITUTE(SUBSTITUTE(TRIM(G239)," ","-"),"/","-"),"\","-"),":","-"),"*","-"),"?","-"),"""","-"),"&lt;","-"),"&gt;","-"),"|","-")&amp;IF(H239="","","_Rev"&amp;H239))</f>
        <v/>
      </c>
      <c r="P239" s="7">
        <f>IF(D239="","",IF(L239="Superseded","99 Archive",IF(AND(D239="04",K239&lt;&gt;""),IFERROR(INDEX('Google Drive Map'!$B$4:$B$33,MATCH("04/"&amp;LEFT(K239,2),'Google Drive Map'!$A$4:$A$33,0)),"04 Trades &amp; Tenders/"&amp;K239),IFERROR(INDEX('Google Drive Map'!$B$4:$B$33,MATCH(D239,'Google Drive Map'!$A$4:$A$33,0)),""))))</f>
        <v/>
      </c>
      <c r="Q239" s="7">
        <f>IF(P239="","",IF(IFERROR(INDEX('Google Drive Map'!$G$4:$G$33,MATCH(P239,'Google Drive Map'!$B$4:$B$33,0))&amp;"","")="","",HYPERLINK(INDEX('Google Drive Map'!$G$4:$G$33,MATCH(P239,'Google Drive Map'!$B$4:$B$33,0)),"Open")))</f>
        <v/>
      </c>
      <c r="R239" s="7">
        <f>IF(AND(A239="",B239="",C239=""),"",TRIM(IF(AND(D239&lt;&gt;"",ISNA(MATCH(D239,'Google Drive Map'!$A$4:$A$33,0))),"Folder code isn't on the folder map. ","")&amp;IF(AND(C239&lt;&gt;"",NOT(ISNUMBER(C239))),"No. must be a whole number. ","")&amp;IF(AND(D239&lt;&gt;"",B239&lt;&gt;"",C239=""),"Type the next free no. ","")&amp;IF(AND(F239&lt;&gt;"",COUNTIF(F$4:F$303,F239)&gt;1),"Duplicate Doc ID. ","")))</f>
        <v/>
      </c>
      <c r="S239" s="22" t="n"/>
      <c r="T239" s="23" t="n"/>
    </row>
    <row r="240">
      <c r="A240" s="35" t="n"/>
      <c r="B240" s="22" t="n"/>
      <c r="C240" s="22" t="n"/>
      <c r="D240" s="7">
        <f>IF(A240="","",IF(ISNUMBER(A240),TEXT(A240,"00"),TRIM(A240)))</f>
        <v/>
      </c>
      <c r="E240" s="7">
        <f t="array" ref="E240">IF(OR(D240="",B240=""),"",MAX(IF((D$4:D$303=D240)*(B$4:B$303=B240)*ISNUMBER(C$4:C$303),C$4:C$303,0))+1)</f>
        <v/>
      </c>
      <c r="F240" s="7">
        <f>IF(OR(D240="",B240="",NOT(ISNUMBER(C240))),"",D240&amp;"-"&amp;B240&amp;"-"&amp;TEXT(C240,"000"))</f>
        <v/>
      </c>
      <c r="G240" s="23" t="n"/>
      <c r="H240" s="22" t="n"/>
      <c r="I240" s="24" t="n"/>
      <c r="J240" s="22" t="n"/>
      <c r="K240" s="22" t="n"/>
      <c r="L240" s="22" t="n"/>
      <c r="M240" s="22" t="n"/>
      <c r="N240" s="22" t="n"/>
      <c r="O240" s="7">
        <f>IF(F240="","",F240&amp;"_"&amp;SUBSTITUTE(SUBSTITUTE(SUBSTITUTE(SUBSTITUTE(SUBSTITUTE(SUBSTITUTE(SUBSTITUTE(SUBSTITUTE(SUBSTITUTE(SUBSTITUTE(TRIM(G240)," ","-"),"/","-"),"\","-"),":","-"),"*","-"),"?","-"),"""","-"),"&lt;","-"),"&gt;","-"),"|","-")&amp;IF(H240="","","_Rev"&amp;H240))</f>
        <v/>
      </c>
      <c r="P240" s="7">
        <f>IF(D240="","",IF(L240="Superseded","99 Archive",IF(AND(D240="04",K240&lt;&gt;""),IFERROR(INDEX('Google Drive Map'!$B$4:$B$33,MATCH("04/"&amp;LEFT(K240,2),'Google Drive Map'!$A$4:$A$33,0)),"04 Trades &amp; Tenders/"&amp;K240),IFERROR(INDEX('Google Drive Map'!$B$4:$B$33,MATCH(D240,'Google Drive Map'!$A$4:$A$33,0)),""))))</f>
        <v/>
      </c>
      <c r="Q240" s="7">
        <f>IF(P240="","",IF(IFERROR(INDEX('Google Drive Map'!$G$4:$G$33,MATCH(P240,'Google Drive Map'!$B$4:$B$33,0))&amp;"","")="","",HYPERLINK(INDEX('Google Drive Map'!$G$4:$G$33,MATCH(P240,'Google Drive Map'!$B$4:$B$33,0)),"Open")))</f>
        <v/>
      </c>
      <c r="R240" s="7">
        <f>IF(AND(A240="",B240="",C240=""),"",TRIM(IF(AND(D240&lt;&gt;"",ISNA(MATCH(D240,'Google Drive Map'!$A$4:$A$33,0))),"Folder code isn't on the folder map. ","")&amp;IF(AND(C240&lt;&gt;"",NOT(ISNUMBER(C240))),"No. must be a whole number. ","")&amp;IF(AND(D240&lt;&gt;"",B240&lt;&gt;"",C240=""),"Type the next free no. ","")&amp;IF(AND(F240&lt;&gt;"",COUNTIF(F$4:F$303,F240)&gt;1),"Duplicate Doc ID. ","")))</f>
        <v/>
      </c>
      <c r="S240" s="22" t="n"/>
      <c r="T240" s="23" t="n"/>
    </row>
    <row r="241">
      <c r="A241" s="35" t="n"/>
      <c r="B241" s="22" t="n"/>
      <c r="C241" s="22" t="n"/>
      <c r="D241" s="7">
        <f>IF(A241="","",IF(ISNUMBER(A241),TEXT(A241,"00"),TRIM(A241)))</f>
        <v/>
      </c>
      <c r="E241" s="7">
        <f t="array" ref="E241">IF(OR(D241="",B241=""),"",MAX(IF((D$4:D$303=D241)*(B$4:B$303=B241)*ISNUMBER(C$4:C$303),C$4:C$303,0))+1)</f>
        <v/>
      </c>
      <c r="F241" s="7">
        <f>IF(OR(D241="",B241="",NOT(ISNUMBER(C241))),"",D241&amp;"-"&amp;B241&amp;"-"&amp;TEXT(C241,"000"))</f>
        <v/>
      </c>
      <c r="G241" s="23" t="n"/>
      <c r="H241" s="22" t="n"/>
      <c r="I241" s="24" t="n"/>
      <c r="J241" s="22" t="n"/>
      <c r="K241" s="22" t="n"/>
      <c r="L241" s="22" t="n"/>
      <c r="M241" s="22" t="n"/>
      <c r="N241" s="22" t="n"/>
      <c r="O241" s="7">
        <f>IF(F241="","",F241&amp;"_"&amp;SUBSTITUTE(SUBSTITUTE(SUBSTITUTE(SUBSTITUTE(SUBSTITUTE(SUBSTITUTE(SUBSTITUTE(SUBSTITUTE(SUBSTITUTE(SUBSTITUTE(TRIM(G241)," ","-"),"/","-"),"\","-"),":","-"),"*","-"),"?","-"),"""","-"),"&lt;","-"),"&gt;","-"),"|","-")&amp;IF(H241="","","_Rev"&amp;H241))</f>
        <v/>
      </c>
      <c r="P241" s="7">
        <f>IF(D241="","",IF(L241="Superseded","99 Archive",IF(AND(D241="04",K241&lt;&gt;""),IFERROR(INDEX('Google Drive Map'!$B$4:$B$33,MATCH("04/"&amp;LEFT(K241,2),'Google Drive Map'!$A$4:$A$33,0)),"04 Trades &amp; Tenders/"&amp;K241),IFERROR(INDEX('Google Drive Map'!$B$4:$B$33,MATCH(D241,'Google Drive Map'!$A$4:$A$33,0)),""))))</f>
        <v/>
      </c>
      <c r="Q241" s="7">
        <f>IF(P241="","",IF(IFERROR(INDEX('Google Drive Map'!$G$4:$G$33,MATCH(P241,'Google Drive Map'!$B$4:$B$33,0))&amp;"","")="","",HYPERLINK(INDEX('Google Drive Map'!$G$4:$G$33,MATCH(P241,'Google Drive Map'!$B$4:$B$33,0)),"Open")))</f>
        <v/>
      </c>
      <c r="R241" s="7">
        <f>IF(AND(A241="",B241="",C241=""),"",TRIM(IF(AND(D241&lt;&gt;"",ISNA(MATCH(D241,'Google Drive Map'!$A$4:$A$33,0))),"Folder code isn't on the folder map. ","")&amp;IF(AND(C241&lt;&gt;"",NOT(ISNUMBER(C241))),"No. must be a whole number. ","")&amp;IF(AND(D241&lt;&gt;"",B241&lt;&gt;"",C241=""),"Type the next free no. ","")&amp;IF(AND(F241&lt;&gt;"",COUNTIF(F$4:F$303,F241)&gt;1),"Duplicate Doc ID. ","")))</f>
        <v/>
      </c>
      <c r="S241" s="22" t="n"/>
      <c r="T241" s="23" t="n"/>
    </row>
    <row r="242">
      <c r="A242" s="35" t="n"/>
      <c r="B242" s="22" t="n"/>
      <c r="C242" s="22" t="n"/>
      <c r="D242" s="7">
        <f>IF(A242="","",IF(ISNUMBER(A242),TEXT(A242,"00"),TRIM(A242)))</f>
        <v/>
      </c>
      <c r="E242" s="7">
        <f t="array" ref="E242">IF(OR(D242="",B242=""),"",MAX(IF((D$4:D$303=D242)*(B$4:B$303=B242)*ISNUMBER(C$4:C$303),C$4:C$303,0))+1)</f>
        <v/>
      </c>
      <c r="F242" s="7">
        <f>IF(OR(D242="",B242="",NOT(ISNUMBER(C242))),"",D242&amp;"-"&amp;B242&amp;"-"&amp;TEXT(C242,"000"))</f>
        <v/>
      </c>
      <c r="G242" s="23" t="n"/>
      <c r="H242" s="22" t="n"/>
      <c r="I242" s="24" t="n"/>
      <c r="J242" s="22" t="n"/>
      <c r="K242" s="22" t="n"/>
      <c r="L242" s="22" t="n"/>
      <c r="M242" s="22" t="n"/>
      <c r="N242" s="22" t="n"/>
      <c r="O242" s="7">
        <f>IF(F242="","",F242&amp;"_"&amp;SUBSTITUTE(SUBSTITUTE(SUBSTITUTE(SUBSTITUTE(SUBSTITUTE(SUBSTITUTE(SUBSTITUTE(SUBSTITUTE(SUBSTITUTE(SUBSTITUTE(TRIM(G242)," ","-"),"/","-"),"\","-"),":","-"),"*","-"),"?","-"),"""","-"),"&lt;","-"),"&gt;","-"),"|","-")&amp;IF(H242="","","_Rev"&amp;H242))</f>
        <v/>
      </c>
      <c r="P242" s="7">
        <f>IF(D242="","",IF(L242="Superseded","99 Archive",IF(AND(D242="04",K242&lt;&gt;""),IFERROR(INDEX('Google Drive Map'!$B$4:$B$33,MATCH("04/"&amp;LEFT(K242,2),'Google Drive Map'!$A$4:$A$33,0)),"04 Trades &amp; Tenders/"&amp;K242),IFERROR(INDEX('Google Drive Map'!$B$4:$B$33,MATCH(D242,'Google Drive Map'!$A$4:$A$33,0)),""))))</f>
        <v/>
      </c>
      <c r="Q242" s="7">
        <f>IF(P242="","",IF(IFERROR(INDEX('Google Drive Map'!$G$4:$G$33,MATCH(P242,'Google Drive Map'!$B$4:$B$33,0))&amp;"","")="","",HYPERLINK(INDEX('Google Drive Map'!$G$4:$G$33,MATCH(P242,'Google Drive Map'!$B$4:$B$33,0)),"Open")))</f>
        <v/>
      </c>
      <c r="R242" s="7">
        <f>IF(AND(A242="",B242="",C242=""),"",TRIM(IF(AND(D242&lt;&gt;"",ISNA(MATCH(D242,'Google Drive Map'!$A$4:$A$33,0))),"Folder code isn't on the folder map. ","")&amp;IF(AND(C242&lt;&gt;"",NOT(ISNUMBER(C242))),"No. must be a whole number. ","")&amp;IF(AND(D242&lt;&gt;"",B242&lt;&gt;"",C242=""),"Type the next free no. ","")&amp;IF(AND(F242&lt;&gt;"",COUNTIF(F$4:F$303,F242)&gt;1),"Duplicate Doc ID. ","")))</f>
        <v/>
      </c>
      <c r="S242" s="22" t="n"/>
      <c r="T242" s="23" t="n"/>
    </row>
    <row r="243">
      <c r="A243" s="35" t="n"/>
      <c r="B243" s="22" t="n"/>
      <c r="C243" s="22" t="n"/>
      <c r="D243" s="7">
        <f>IF(A243="","",IF(ISNUMBER(A243),TEXT(A243,"00"),TRIM(A243)))</f>
        <v/>
      </c>
      <c r="E243" s="7">
        <f t="array" ref="E243">IF(OR(D243="",B243=""),"",MAX(IF((D$4:D$303=D243)*(B$4:B$303=B243)*ISNUMBER(C$4:C$303),C$4:C$303,0))+1)</f>
        <v/>
      </c>
      <c r="F243" s="7">
        <f>IF(OR(D243="",B243="",NOT(ISNUMBER(C243))),"",D243&amp;"-"&amp;B243&amp;"-"&amp;TEXT(C243,"000"))</f>
        <v/>
      </c>
      <c r="G243" s="23" t="n"/>
      <c r="H243" s="22" t="n"/>
      <c r="I243" s="24" t="n"/>
      <c r="J243" s="22" t="n"/>
      <c r="K243" s="22" t="n"/>
      <c r="L243" s="22" t="n"/>
      <c r="M243" s="22" t="n"/>
      <c r="N243" s="22" t="n"/>
      <c r="O243" s="7">
        <f>IF(F243="","",F243&amp;"_"&amp;SUBSTITUTE(SUBSTITUTE(SUBSTITUTE(SUBSTITUTE(SUBSTITUTE(SUBSTITUTE(SUBSTITUTE(SUBSTITUTE(SUBSTITUTE(SUBSTITUTE(TRIM(G243)," ","-"),"/","-"),"\","-"),":","-"),"*","-"),"?","-"),"""","-"),"&lt;","-"),"&gt;","-"),"|","-")&amp;IF(H243="","","_Rev"&amp;H243))</f>
        <v/>
      </c>
      <c r="P243" s="7">
        <f>IF(D243="","",IF(L243="Superseded","99 Archive",IF(AND(D243="04",K243&lt;&gt;""),IFERROR(INDEX('Google Drive Map'!$B$4:$B$33,MATCH("04/"&amp;LEFT(K243,2),'Google Drive Map'!$A$4:$A$33,0)),"04 Trades &amp; Tenders/"&amp;K243),IFERROR(INDEX('Google Drive Map'!$B$4:$B$33,MATCH(D243,'Google Drive Map'!$A$4:$A$33,0)),""))))</f>
        <v/>
      </c>
      <c r="Q243" s="7">
        <f>IF(P243="","",IF(IFERROR(INDEX('Google Drive Map'!$G$4:$G$33,MATCH(P243,'Google Drive Map'!$B$4:$B$33,0))&amp;"","")="","",HYPERLINK(INDEX('Google Drive Map'!$G$4:$G$33,MATCH(P243,'Google Drive Map'!$B$4:$B$33,0)),"Open")))</f>
        <v/>
      </c>
      <c r="R243" s="7">
        <f>IF(AND(A243="",B243="",C243=""),"",TRIM(IF(AND(D243&lt;&gt;"",ISNA(MATCH(D243,'Google Drive Map'!$A$4:$A$33,0))),"Folder code isn't on the folder map. ","")&amp;IF(AND(C243&lt;&gt;"",NOT(ISNUMBER(C243))),"No. must be a whole number. ","")&amp;IF(AND(D243&lt;&gt;"",B243&lt;&gt;"",C243=""),"Type the next free no. ","")&amp;IF(AND(F243&lt;&gt;"",COUNTIF(F$4:F$303,F243)&gt;1),"Duplicate Doc ID. ","")))</f>
        <v/>
      </c>
      <c r="S243" s="22" t="n"/>
      <c r="T243" s="23" t="n"/>
    </row>
    <row r="244">
      <c r="A244" s="35" t="n"/>
      <c r="B244" s="22" t="n"/>
      <c r="C244" s="22" t="n"/>
      <c r="D244" s="7">
        <f>IF(A244="","",IF(ISNUMBER(A244),TEXT(A244,"00"),TRIM(A244)))</f>
        <v/>
      </c>
      <c r="E244" s="7">
        <f t="array" ref="E244">IF(OR(D244="",B244=""),"",MAX(IF((D$4:D$303=D244)*(B$4:B$303=B244)*ISNUMBER(C$4:C$303),C$4:C$303,0))+1)</f>
        <v/>
      </c>
      <c r="F244" s="7">
        <f>IF(OR(D244="",B244="",NOT(ISNUMBER(C244))),"",D244&amp;"-"&amp;B244&amp;"-"&amp;TEXT(C244,"000"))</f>
        <v/>
      </c>
      <c r="G244" s="23" t="n"/>
      <c r="H244" s="22" t="n"/>
      <c r="I244" s="24" t="n"/>
      <c r="J244" s="22" t="n"/>
      <c r="K244" s="22" t="n"/>
      <c r="L244" s="22" t="n"/>
      <c r="M244" s="22" t="n"/>
      <c r="N244" s="22" t="n"/>
      <c r="O244" s="7">
        <f>IF(F244="","",F244&amp;"_"&amp;SUBSTITUTE(SUBSTITUTE(SUBSTITUTE(SUBSTITUTE(SUBSTITUTE(SUBSTITUTE(SUBSTITUTE(SUBSTITUTE(SUBSTITUTE(SUBSTITUTE(TRIM(G244)," ","-"),"/","-"),"\","-"),":","-"),"*","-"),"?","-"),"""","-"),"&lt;","-"),"&gt;","-"),"|","-")&amp;IF(H244="","","_Rev"&amp;H244))</f>
        <v/>
      </c>
      <c r="P244" s="7">
        <f>IF(D244="","",IF(L244="Superseded","99 Archive",IF(AND(D244="04",K244&lt;&gt;""),IFERROR(INDEX('Google Drive Map'!$B$4:$B$33,MATCH("04/"&amp;LEFT(K244,2),'Google Drive Map'!$A$4:$A$33,0)),"04 Trades &amp; Tenders/"&amp;K244),IFERROR(INDEX('Google Drive Map'!$B$4:$B$33,MATCH(D244,'Google Drive Map'!$A$4:$A$33,0)),""))))</f>
        <v/>
      </c>
      <c r="Q244" s="7">
        <f>IF(P244="","",IF(IFERROR(INDEX('Google Drive Map'!$G$4:$G$33,MATCH(P244,'Google Drive Map'!$B$4:$B$33,0))&amp;"","")="","",HYPERLINK(INDEX('Google Drive Map'!$G$4:$G$33,MATCH(P244,'Google Drive Map'!$B$4:$B$33,0)),"Open")))</f>
        <v/>
      </c>
      <c r="R244" s="7">
        <f>IF(AND(A244="",B244="",C244=""),"",TRIM(IF(AND(D244&lt;&gt;"",ISNA(MATCH(D244,'Google Drive Map'!$A$4:$A$33,0))),"Folder code isn't on the folder map. ","")&amp;IF(AND(C244&lt;&gt;"",NOT(ISNUMBER(C244))),"No. must be a whole number. ","")&amp;IF(AND(D244&lt;&gt;"",B244&lt;&gt;"",C244=""),"Type the next free no. ","")&amp;IF(AND(F244&lt;&gt;"",COUNTIF(F$4:F$303,F244)&gt;1),"Duplicate Doc ID. ","")))</f>
        <v/>
      </c>
      <c r="S244" s="22" t="n"/>
      <c r="T244" s="23" t="n"/>
    </row>
    <row r="245">
      <c r="A245" s="35" t="n"/>
      <c r="B245" s="22" t="n"/>
      <c r="C245" s="22" t="n"/>
      <c r="D245" s="7">
        <f>IF(A245="","",IF(ISNUMBER(A245),TEXT(A245,"00"),TRIM(A245)))</f>
        <v/>
      </c>
      <c r="E245" s="7">
        <f t="array" ref="E245">IF(OR(D245="",B245=""),"",MAX(IF((D$4:D$303=D245)*(B$4:B$303=B245)*ISNUMBER(C$4:C$303),C$4:C$303,0))+1)</f>
        <v/>
      </c>
      <c r="F245" s="7">
        <f>IF(OR(D245="",B245="",NOT(ISNUMBER(C245))),"",D245&amp;"-"&amp;B245&amp;"-"&amp;TEXT(C245,"000"))</f>
        <v/>
      </c>
      <c r="G245" s="23" t="n"/>
      <c r="H245" s="22" t="n"/>
      <c r="I245" s="24" t="n"/>
      <c r="J245" s="22" t="n"/>
      <c r="K245" s="22" t="n"/>
      <c r="L245" s="22" t="n"/>
      <c r="M245" s="22" t="n"/>
      <c r="N245" s="22" t="n"/>
      <c r="O245" s="7">
        <f>IF(F245="","",F245&amp;"_"&amp;SUBSTITUTE(SUBSTITUTE(SUBSTITUTE(SUBSTITUTE(SUBSTITUTE(SUBSTITUTE(SUBSTITUTE(SUBSTITUTE(SUBSTITUTE(SUBSTITUTE(TRIM(G245)," ","-"),"/","-"),"\","-"),":","-"),"*","-"),"?","-"),"""","-"),"&lt;","-"),"&gt;","-"),"|","-")&amp;IF(H245="","","_Rev"&amp;H245))</f>
        <v/>
      </c>
      <c r="P245" s="7">
        <f>IF(D245="","",IF(L245="Superseded","99 Archive",IF(AND(D245="04",K245&lt;&gt;""),IFERROR(INDEX('Google Drive Map'!$B$4:$B$33,MATCH("04/"&amp;LEFT(K245,2),'Google Drive Map'!$A$4:$A$33,0)),"04 Trades &amp; Tenders/"&amp;K245),IFERROR(INDEX('Google Drive Map'!$B$4:$B$33,MATCH(D245,'Google Drive Map'!$A$4:$A$33,0)),""))))</f>
        <v/>
      </c>
      <c r="Q245" s="7">
        <f>IF(P245="","",IF(IFERROR(INDEX('Google Drive Map'!$G$4:$G$33,MATCH(P245,'Google Drive Map'!$B$4:$B$33,0))&amp;"","")="","",HYPERLINK(INDEX('Google Drive Map'!$G$4:$G$33,MATCH(P245,'Google Drive Map'!$B$4:$B$33,0)),"Open")))</f>
        <v/>
      </c>
      <c r="R245" s="7">
        <f>IF(AND(A245="",B245="",C245=""),"",TRIM(IF(AND(D245&lt;&gt;"",ISNA(MATCH(D245,'Google Drive Map'!$A$4:$A$33,0))),"Folder code isn't on the folder map. ","")&amp;IF(AND(C245&lt;&gt;"",NOT(ISNUMBER(C245))),"No. must be a whole number. ","")&amp;IF(AND(D245&lt;&gt;"",B245&lt;&gt;"",C245=""),"Type the next free no. ","")&amp;IF(AND(F245&lt;&gt;"",COUNTIF(F$4:F$303,F245)&gt;1),"Duplicate Doc ID. ","")))</f>
        <v/>
      </c>
      <c r="S245" s="22" t="n"/>
      <c r="T245" s="23" t="n"/>
    </row>
    <row r="246">
      <c r="A246" s="35" t="n"/>
      <c r="B246" s="22" t="n"/>
      <c r="C246" s="22" t="n"/>
      <c r="D246" s="7">
        <f>IF(A246="","",IF(ISNUMBER(A246),TEXT(A246,"00"),TRIM(A246)))</f>
        <v/>
      </c>
      <c r="E246" s="7">
        <f t="array" ref="E246">IF(OR(D246="",B246=""),"",MAX(IF((D$4:D$303=D246)*(B$4:B$303=B246)*ISNUMBER(C$4:C$303),C$4:C$303,0))+1)</f>
        <v/>
      </c>
      <c r="F246" s="7">
        <f>IF(OR(D246="",B246="",NOT(ISNUMBER(C246))),"",D246&amp;"-"&amp;B246&amp;"-"&amp;TEXT(C246,"000"))</f>
        <v/>
      </c>
      <c r="G246" s="23" t="n"/>
      <c r="H246" s="22" t="n"/>
      <c r="I246" s="24" t="n"/>
      <c r="J246" s="22" t="n"/>
      <c r="K246" s="22" t="n"/>
      <c r="L246" s="22" t="n"/>
      <c r="M246" s="22" t="n"/>
      <c r="N246" s="22" t="n"/>
      <c r="O246" s="7">
        <f>IF(F246="","",F246&amp;"_"&amp;SUBSTITUTE(SUBSTITUTE(SUBSTITUTE(SUBSTITUTE(SUBSTITUTE(SUBSTITUTE(SUBSTITUTE(SUBSTITUTE(SUBSTITUTE(SUBSTITUTE(TRIM(G246)," ","-"),"/","-"),"\","-"),":","-"),"*","-"),"?","-"),"""","-"),"&lt;","-"),"&gt;","-"),"|","-")&amp;IF(H246="","","_Rev"&amp;H246))</f>
        <v/>
      </c>
      <c r="P246" s="7">
        <f>IF(D246="","",IF(L246="Superseded","99 Archive",IF(AND(D246="04",K246&lt;&gt;""),IFERROR(INDEX('Google Drive Map'!$B$4:$B$33,MATCH("04/"&amp;LEFT(K246,2),'Google Drive Map'!$A$4:$A$33,0)),"04 Trades &amp; Tenders/"&amp;K246),IFERROR(INDEX('Google Drive Map'!$B$4:$B$33,MATCH(D246,'Google Drive Map'!$A$4:$A$33,0)),""))))</f>
        <v/>
      </c>
      <c r="Q246" s="7">
        <f>IF(P246="","",IF(IFERROR(INDEX('Google Drive Map'!$G$4:$G$33,MATCH(P246,'Google Drive Map'!$B$4:$B$33,0))&amp;"","")="","",HYPERLINK(INDEX('Google Drive Map'!$G$4:$G$33,MATCH(P246,'Google Drive Map'!$B$4:$B$33,0)),"Open")))</f>
        <v/>
      </c>
      <c r="R246" s="7">
        <f>IF(AND(A246="",B246="",C246=""),"",TRIM(IF(AND(D246&lt;&gt;"",ISNA(MATCH(D246,'Google Drive Map'!$A$4:$A$33,0))),"Folder code isn't on the folder map. ","")&amp;IF(AND(C246&lt;&gt;"",NOT(ISNUMBER(C246))),"No. must be a whole number. ","")&amp;IF(AND(D246&lt;&gt;"",B246&lt;&gt;"",C246=""),"Type the next free no. ","")&amp;IF(AND(F246&lt;&gt;"",COUNTIF(F$4:F$303,F246)&gt;1),"Duplicate Doc ID. ","")))</f>
        <v/>
      </c>
      <c r="S246" s="22" t="n"/>
      <c r="T246" s="23" t="n"/>
    </row>
    <row r="247">
      <c r="A247" s="35" t="n"/>
      <c r="B247" s="22" t="n"/>
      <c r="C247" s="22" t="n"/>
      <c r="D247" s="7">
        <f>IF(A247="","",IF(ISNUMBER(A247),TEXT(A247,"00"),TRIM(A247)))</f>
        <v/>
      </c>
      <c r="E247" s="7">
        <f t="array" ref="E247">IF(OR(D247="",B247=""),"",MAX(IF((D$4:D$303=D247)*(B$4:B$303=B247)*ISNUMBER(C$4:C$303),C$4:C$303,0))+1)</f>
        <v/>
      </c>
      <c r="F247" s="7">
        <f>IF(OR(D247="",B247="",NOT(ISNUMBER(C247))),"",D247&amp;"-"&amp;B247&amp;"-"&amp;TEXT(C247,"000"))</f>
        <v/>
      </c>
      <c r="G247" s="23" t="n"/>
      <c r="H247" s="22" t="n"/>
      <c r="I247" s="24" t="n"/>
      <c r="J247" s="22" t="n"/>
      <c r="K247" s="22" t="n"/>
      <c r="L247" s="22" t="n"/>
      <c r="M247" s="22" t="n"/>
      <c r="N247" s="22" t="n"/>
      <c r="O247" s="7">
        <f>IF(F247="","",F247&amp;"_"&amp;SUBSTITUTE(SUBSTITUTE(SUBSTITUTE(SUBSTITUTE(SUBSTITUTE(SUBSTITUTE(SUBSTITUTE(SUBSTITUTE(SUBSTITUTE(SUBSTITUTE(TRIM(G247)," ","-"),"/","-"),"\","-"),":","-"),"*","-"),"?","-"),"""","-"),"&lt;","-"),"&gt;","-"),"|","-")&amp;IF(H247="","","_Rev"&amp;H247))</f>
        <v/>
      </c>
      <c r="P247" s="7">
        <f>IF(D247="","",IF(L247="Superseded","99 Archive",IF(AND(D247="04",K247&lt;&gt;""),IFERROR(INDEX('Google Drive Map'!$B$4:$B$33,MATCH("04/"&amp;LEFT(K247,2),'Google Drive Map'!$A$4:$A$33,0)),"04 Trades &amp; Tenders/"&amp;K247),IFERROR(INDEX('Google Drive Map'!$B$4:$B$33,MATCH(D247,'Google Drive Map'!$A$4:$A$33,0)),""))))</f>
        <v/>
      </c>
      <c r="Q247" s="7">
        <f>IF(P247="","",IF(IFERROR(INDEX('Google Drive Map'!$G$4:$G$33,MATCH(P247,'Google Drive Map'!$B$4:$B$33,0))&amp;"","")="","",HYPERLINK(INDEX('Google Drive Map'!$G$4:$G$33,MATCH(P247,'Google Drive Map'!$B$4:$B$33,0)),"Open")))</f>
        <v/>
      </c>
      <c r="R247" s="7">
        <f>IF(AND(A247="",B247="",C247=""),"",TRIM(IF(AND(D247&lt;&gt;"",ISNA(MATCH(D247,'Google Drive Map'!$A$4:$A$33,0))),"Folder code isn't on the folder map. ","")&amp;IF(AND(C247&lt;&gt;"",NOT(ISNUMBER(C247))),"No. must be a whole number. ","")&amp;IF(AND(D247&lt;&gt;"",B247&lt;&gt;"",C247=""),"Type the next free no. ","")&amp;IF(AND(F247&lt;&gt;"",COUNTIF(F$4:F$303,F247)&gt;1),"Duplicate Doc ID. ","")))</f>
        <v/>
      </c>
      <c r="S247" s="22" t="n"/>
      <c r="T247" s="23" t="n"/>
    </row>
    <row r="248">
      <c r="A248" s="35" t="n"/>
      <c r="B248" s="22" t="n"/>
      <c r="C248" s="22" t="n"/>
      <c r="D248" s="7">
        <f>IF(A248="","",IF(ISNUMBER(A248),TEXT(A248,"00"),TRIM(A248)))</f>
        <v/>
      </c>
      <c r="E248" s="7">
        <f t="array" ref="E248">IF(OR(D248="",B248=""),"",MAX(IF((D$4:D$303=D248)*(B$4:B$303=B248)*ISNUMBER(C$4:C$303),C$4:C$303,0))+1)</f>
        <v/>
      </c>
      <c r="F248" s="7">
        <f>IF(OR(D248="",B248="",NOT(ISNUMBER(C248))),"",D248&amp;"-"&amp;B248&amp;"-"&amp;TEXT(C248,"000"))</f>
        <v/>
      </c>
      <c r="G248" s="23" t="n"/>
      <c r="H248" s="22" t="n"/>
      <c r="I248" s="24" t="n"/>
      <c r="J248" s="22" t="n"/>
      <c r="K248" s="22" t="n"/>
      <c r="L248" s="22" t="n"/>
      <c r="M248" s="22" t="n"/>
      <c r="N248" s="22" t="n"/>
      <c r="O248" s="7">
        <f>IF(F248="","",F248&amp;"_"&amp;SUBSTITUTE(SUBSTITUTE(SUBSTITUTE(SUBSTITUTE(SUBSTITUTE(SUBSTITUTE(SUBSTITUTE(SUBSTITUTE(SUBSTITUTE(SUBSTITUTE(TRIM(G248)," ","-"),"/","-"),"\","-"),":","-"),"*","-"),"?","-"),"""","-"),"&lt;","-"),"&gt;","-"),"|","-")&amp;IF(H248="","","_Rev"&amp;H248))</f>
        <v/>
      </c>
      <c r="P248" s="7">
        <f>IF(D248="","",IF(L248="Superseded","99 Archive",IF(AND(D248="04",K248&lt;&gt;""),IFERROR(INDEX('Google Drive Map'!$B$4:$B$33,MATCH("04/"&amp;LEFT(K248,2),'Google Drive Map'!$A$4:$A$33,0)),"04 Trades &amp; Tenders/"&amp;K248),IFERROR(INDEX('Google Drive Map'!$B$4:$B$33,MATCH(D248,'Google Drive Map'!$A$4:$A$33,0)),""))))</f>
        <v/>
      </c>
      <c r="Q248" s="7">
        <f>IF(P248="","",IF(IFERROR(INDEX('Google Drive Map'!$G$4:$G$33,MATCH(P248,'Google Drive Map'!$B$4:$B$33,0))&amp;"","")="","",HYPERLINK(INDEX('Google Drive Map'!$G$4:$G$33,MATCH(P248,'Google Drive Map'!$B$4:$B$33,0)),"Open")))</f>
        <v/>
      </c>
      <c r="R248" s="7">
        <f>IF(AND(A248="",B248="",C248=""),"",TRIM(IF(AND(D248&lt;&gt;"",ISNA(MATCH(D248,'Google Drive Map'!$A$4:$A$33,0))),"Folder code isn't on the folder map. ","")&amp;IF(AND(C248&lt;&gt;"",NOT(ISNUMBER(C248))),"No. must be a whole number. ","")&amp;IF(AND(D248&lt;&gt;"",B248&lt;&gt;"",C248=""),"Type the next free no. ","")&amp;IF(AND(F248&lt;&gt;"",COUNTIF(F$4:F$303,F248)&gt;1),"Duplicate Doc ID. ","")))</f>
        <v/>
      </c>
      <c r="S248" s="22" t="n"/>
      <c r="T248" s="23" t="n"/>
    </row>
    <row r="249">
      <c r="A249" s="35" t="n"/>
      <c r="B249" s="22" t="n"/>
      <c r="C249" s="22" t="n"/>
      <c r="D249" s="7">
        <f>IF(A249="","",IF(ISNUMBER(A249),TEXT(A249,"00"),TRIM(A249)))</f>
        <v/>
      </c>
      <c r="E249" s="7">
        <f t="array" ref="E249">IF(OR(D249="",B249=""),"",MAX(IF((D$4:D$303=D249)*(B$4:B$303=B249)*ISNUMBER(C$4:C$303),C$4:C$303,0))+1)</f>
        <v/>
      </c>
      <c r="F249" s="7">
        <f>IF(OR(D249="",B249="",NOT(ISNUMBER(C249))),"",D249&amp;"-"&amp;B249&amp;"-"&amp;TEXT(C249,"000"))</f>
        <v/>
      </c>
      <c r="G249" s="23" t="n"/>
      <c r="H249" s="22" t="n"/>
      <c r="I249" s="24" t="n"/>
      <c r="J249" s="22" t="n"/>
      <c r="K249" s="22" t="n"/>
      <c r="L249" s="22" t="n"/>
      <c r="M249" s="22" t="n"/>
      <c r="N249" s="22" t="n"/>
      <c r="O249" s="7">
        <f>IF(F249="","",F249&amp;"_"&amp;SUBSTITUTE(SUBSTITUTE(SUBSTITUTE(SUBSTITUTE(SUBSTITUTE(SUBSTITUTE(SUBSTITUTE(SUBSTITUTE(SUBSTITUTE(SUBSTITUTE(TRIM(G249)," ","-"),"/","-"),"\","-"),":","-"),"*","-"),"?","-"),"""","-"),"&lt;","-"),"&gt;","-"),"|","-")&amp;IF(H249="","","_Rev"&amp;H249))</f>
        <v/>
      </c>
      <c r="P249" s="7">
        <f>IF(D249="","",IF(L249="Superseded","99 Archive",IF(AND(D249="04",K249&lt;&gt;""),IFERROR(INDEX('Google Drive Map'!$B$4:$B$33,MATCH("04/"&amp;LEFT(K249,2),'Google Drive Map'!$A$4:$A$33,0)),"04 Trades &amp; Tenders/"&amp;K249),IFERROR(INDEX('Google Drive Map'!$B$4:$B$33,MATCH(D249,'Google Drive Map'!$A$4:$A$33,0)),""))))</f>
        <v/>
      </c>
      <c r="Q249" s="7">
        <f>IF(P249="","",IF(IFERROR(INDEX('Google Drive Map'!$G$4:$G$33,MATCH(P249,'Google Drive Map'!$B$4:$B$33,0))&amp;"","")="","",HYPERLINK(INDEX('Google Drive Map'!$G$4:$G$33,MATCH(P249,'Google Drive Map'!$B$4:$B$33,0)),"Open")))</f>
        <v/>
      </c>
      <c r="R249" s="7">
        <f>IF(AND(A249="",B249="",C249=""),"",TRIM(IF(AND(D249&lt;&gt;"",ISNA(MATCH(D249,'Google Drive Map'!$A$4:$A$33,0))),"Folder code isn't on the folder map. ","")&amp;IF(AND(C249&lt;&gt;"",NOT(ISNUMBER(C249))),"No. must be a whole number. ","")&amp;IF(AND(D249&lt;&gt;"",B249&lt;&gt;"",C249=""),"Type the next free no. ","")&amp;IF(AND(F249&lt;&gt;"",COUNTIF(F$4:F$303,F249)&gt;1),"Duplicate Doc ID. ","")))</f>
        <v/>
      </c>
      <c r="S249" s="22" t="n"/>
      <c r="T249" s="23" t="n"/>
    </row>
    <row r="250">
      <c r="A250" s="35" t="n"/>
      <c r="B250" s="22" t="n"/>
      <c r="C250" s="22" t="n"/>
      <c r="D250" s="7">
        <f>IF(A250="","",IF(ISNUMBER(A250),TEXT(A250,"00"),TRIM(A250)))</f>
        <v/>
      </c>
      <c r="E250" s="7">
        <f t="array" ref="E250">IF(OR(D250="",B250=""),"",MAX(IF((D$4:D$303=D250)*(B$4:B$303=B250)*ISNUMBER(C$4:C$303),C$4:C$303,0))+1)</f>
        <v/>
      </c>
      <c r="F250" s="7">
        <f>IF(OR(D250="",B250="",NOT(ISNUMBER(C250))),"",D250&amp;"-"&amp;B250&amp;"-"&amp;TEXT(C250,"000"))</f>
        <v/>
      </c>
      <c r="G250" s="23" t="n"/>
      <c r="H250" s="22" t="n"/>
      <c r="I250" s="24" t="n"/>
      <c r="J250" s="22" t="n"/>
      <c r="K250" s="22" t="n"/>
      <c r="L250" s="22" t="n"/>
      <c r="M250" s="22" t="n"/>
      <c r="N250" s="22" t="n"/>
      <c r="O250" s="7">
        <f>IF(F250="","",F250&amp;"_"&amp;SUBSTITUTE(SUBSTITUTE(SUBSTITUTE(SUBSTITUTE(SUBSTITUTE(SUBSTITUTE(SUBSTITUTE(SUBSTITUTE(SUBSTITUTE(SUBSTITUTE(TRIM(G250)," ","-"),"/","-"),"\","-"),":","-"),"*","-"),"?","-"),"""","-"),"&lt;","-"),"&gt;","-"),"|","-")&amp;IF(H250="","","_Rev"&amp;H250))</f>
        <v/>
      </c>
      <c r="P250" s="7">
        <f>IF(D250="","",IF(L250="Superseded","99 Archive",IF(AND(D250="04",K250&lt;&gt;""),IFERROR(INDEX('Google Drive Map'!$B$4:$B$33,MATCH("04/"&amp;LEFT(K250,2),'Google Drive Map'!$A$4:$A$33,0)),"04 Trades &amp; Tenders/"&amp;K250),IFERROR(INDEX('Google Drive Map'!$B$4:$B$33,MATCH(D250,'Google Drive Map'!$A$4:$A$33,0)),""))))</f>
        <v/>
      </c>
      <c r="Q250" s="7">
        <f>IF(P250="","",IF(IFERROR(INDEX('Google Drive Map'!$G$4:$G$33,MATCH(P250,'Google Drive Map'!$B$4:$B$33,0))&amp;"","")="","",HYPERLINK(INDEX('Google Drive Map'!$G$4:$G$33,MATCH(P250,'Google Drive Map'!$B$4:$B$33,0)),"Open")))</f>
        <v/>
      </c>
      <c r="R250" s="7">
        <f>IF(AND(A250="",B250="",C250=""),"",TRIM(IF(AND(D250&lt;&gt;"",ISNA(MATCH(D250,'Google Drive Map'!$A$4:$A$33,0))),"Folder code isn't on the folder map. ","")&amp;IF(AND(C250&lt;&gt;"",NOT(ISNUMBER(C250))),"No. must be a whole number. ","")&amp;IF(AND(D250&lt;&gt;"",B250&lt;&gt;"",C250=""),"Type the next free no. ","")&amp;IF(AND(F250&lt;&gt;"",COUNTIF(F$4:F$303,F250)&gt;1),"Duplicate Doc ID. ","")))</f>
        <v/>
      </c>
      <c r="S250" s="22" t="n"/>
      <c r="T250" s="23" t="n"/>
    </row>
    <row r="251">
      <c r="A251" s="35" t="n"/>
      <c r="B251" s="22" t="n"/>
      <c r="C251" s="22" t="n"/>
      <c r="D251" s="7">
        <f>IF(A251="","",IF(ISNUMBER(A251),TEXT(A251,"00"),TRIM(A251)))</f>
        <v/>
      </c>
      <c r="E251" s="7">
        <f t="array" ref="E251">IF(OR(D251="",B251=""),"",MAX(IF((D$4:D$303=D251)*(B$4:B$303=B251)*ISNUMBER(C$4:C$303),C$4:C$303,0))+1)</f>
        <v/>
      </c>
      <c r="F251" s="7">
        <f>IF(OR(D251="",B251="",NOT(ISNUMBER(C251))),"",D251&amp;"-"&amp;B251&amp;"-"&amp;TEXT(C251,"000"))</f>
        <v/>
      </c>
      <c r="G251" s="23" t="n"/>
      <c r="H251" s="22" t="n"/>
      <c r="I251" s="24" t="n"/>
      <c r="J251" s="22" t="n"/>
      <c r="K251" s="22" t="n"/>
      <c r="L251" s="22" t="n"/>
      <c r="M251" s="22" t="n"/>
      <c r="N251" s="22" t="n"/>
      <c r="O251" s="7">
        <f>IF(F251="","",F251&amp;"_"&amp;SUBSTITUTE(SUBSTITUTE(SUBSTITUTE(SUBSTITUTE(SUBSTITUTE(SUBSTITUTE(SUBSTITUTE(SUBSTITUTE(SUBSTITUTE(SUBSTITUTE(TRIM(G251)," ","-"),"/","-"),"\","-"),":","-"),"*","-"),"?","-"),"""","-"),"&lt;","-"),"&gt;","-"),"|","-")&amp;IF(H251="","","_Rev"&amp;H251))</f>
        <v/>
      </c>
      <c r="P251" s="7">
        <f>IF(D251="","",IF(L251="Superseded","99 Archive",IF(AND(D251="04",K251&lt;&gt;""),IFERROR(INDEX('Google Drive Map'!$B$4:$B$33,MATCH("04/"&amp;LEFT(K251,2),'Google Drive Map'!$A$4:$A$33,0)),"04 Trades &amp; Tenders/"&amp;K251),IFERROR(INDEX('Google Drive Map'!$B$4:$B$33,MATCH(D251,'Google Drive Map'!$A$4:$A$33,0)),""))))</f>
        <v/>
      </c>
      <c r="Q251" s="7">
        <f>IF(P251="","",IF(IFERROR(INDEX('Google Drive Map'!$G$4:$G$33,MATCH(P251,'Google Drive Map'!$B$4:$B$33,0))&amp;"","")="","",HYPERLINK(INDEX('Google Drive Map'!$G$4:$G$33,MATCH(P251,'Google Drive Map'!$B$4:$B$33,0)),"Open")))</f>
        <v/>
      </c>
      <c r="R251" s="7">
        <f>IF(AND(A251="",B251="",C251=""),"",TRIM(IF(AND(D251&lt;&gt;"",ISNA(MATCH(D251,'Google Drive Map'!$A$4:$A$33,0))),"Folder code isn't on the folder map. ","")&amp;IF(AND(C251&lt;&gt;"",NOT(ISNUMBER(C251))),"No. must be a whole number. ","")&amp;IF(AND(D251&lt;&gt;"",B251&lt;&gt;"",C251=""),"Type the next free no. ","")&amp;IF(AND(F251&lt;&gt;"",COUNTIF(F$4:F$303,F251)&gt;1),"Duplicate Doc ID. ","")))</f>
        <v/>
      </c>
      <c r="S251" s="22" t="n"/>
      <c r="T251" s="23" t="n"/>
    </row>
    <row r="252">
      <c r="A252" s="35" t="n"/>
      <c r="B252" s="22" t="n"/>
      <c r="C252" s="22" t="n"/>
      <c r="D252" s="7">
        <f>IF(A252="","",IF(ISNUMBER(A252),TEXT(A252,"00"),TRIM(A252)))</f>
        <v/>
      </c>
      <c r="E252" s="7">
        <f t="array" ref="E252">IF(OR(D252="",B252=""),"",MAX(IF((D$4:D$303=D252)*(B$4:B$303=B252)*ISNUMBER(C$4:C$303),C$4:C$303,0))+1)</f>
        <v/>
      </c>
      <c r="F252" s="7">
        <f>IF(OR(D252="",B252="",NOT(ISNUMBER(C252))),"",D252&amp;"-"&amp;B252&amp;"-"&amp;TEXT(C252,"000"))</f>
        <v/>
      </c>
      <c r="G252" s="23" t="n"/>
      <c r="H252" s="22" t="n"/>
      <c r="I252" s="24" t="n"/>
      <c r="J252" s="22" t="n"/>
      <c r="K252" s="22" t="n"/>
      <c r="L252" s="22" t="n"/>
      <c r="M252" s="22" t="n"/>
      <c r="N252" s="22" t="n"/>
      <c r="O252" s="7">
        <f>IF(F252="","",F252&amp;"_"&amp;SUBSTITUTE(SUBSTITUTE(SUBSTITUTE(SUBSTITUTE(SUBSTITUTE(SUBSTITUTE(SUBSTITUTE(SUBSTITUTE(SUBSTITUTE(SUBSTITUTE(TRIM(G252)," ","-"),"/","-"),"\","-"),":","-"),"*","-"),"?","-"),"""","-"),"&lt;","-"),"&gt;","-"),"|","-")&amp;IF(H252="","","_Rev"&amp;H252))</f>
        <v/>
      </c>
      <c r="P252" s="7">
        <f>IF(D252="","",IF(L252="Superseded","99 Archive",IF(AND(D252="04",K252&lt;&gt;""),IFERROR(INDEX('Google Drive Map'!$B$4:$B$33,MATCH("04/"&amp;LEFT(K252,2),'Google Drive Map'!$A$4:$A$33,0)),"04 Trades &amp; Tenders/"&amp;K252),IFERROR(INDEX('Google Drive Map'!$B$4:$B$33,MATCH(D252,'Google Drive Map'!$A$4:$A$33,0)),""))))</f>
        <v/>
      </c>
      <c r="Q252" s="7">
        <f>IF(P252="","",IF(IFERROR(INDEX('Google Drive Map'!$G$4:$G$33,MATCH(P252,'Google Drive Map'!$B$4:$B$33,0))&amp;"","")="","",HYPERLINK(INDEX('Google Drive Map'!$G$4:$G$33,MATCH(P252,'Google Drive Map'!$B$4:$B$33,0)),"Open")))</f>
        <v/>
      </c>
      <c r="R252" s="7">
        <f>IF(AND(A252="",B252="",C252=""),"",TRIM(IF(AND(D252&lt;&gt;"",ISNA(MATCH(D252,'Google Drive Map'!$A$4:$A$33,0))),"Folder code isn't on the folder map. ","")&amp;IF(AND(C252&lt;&gt;"",NOT(ISNUMBER(C252))),"No. must be a whole number. ","")&amp;IF(AND(D252&lt;&gt;"",B252&lt;&gt;"",C252=""),"Type the next free no. ","")&amp;IF(AND(F252&lt;&gt;"",COUNTIF(F$4:F$303,F252)&gt;1),"Duplicate Doc ID. ","")))</f>
        <v/>
      </c>
      <c r="S252" s="22" t="n"/>
      <c r="T252" s="23" t="n"/>
    </row>
    <row r="253">
      <c r="A253" s="35" t="n"/>
      <c r="B253" s="22" t="n"/>
      <c r="C253" s="22" t="n"/>
      <c r="D253" s="7">
        <f>IF(A253="","",IF(ISNUMBER(A253),TEXT(A253,"00"),TRIM(A253)))</f>
        <v/>
      </c>
      <c r="E253" s="7">
        <f t="array" ref="E253">IF(OR(D253="",B253=""),"",MAX(IF((D$4:D$303=D253)*(B$4:B$303=B253)*ISNUMBER(C$4:C$303),C$4:C$303,0))+1)</f>
        <v/>
      </c>
      <c r="F253" s="7">
        <f>IF(OR(D253="",B253="",NOT(ISNUMBER(C253))),"",D253&amp;"-"&amp;B253&amp;"-"&amp;TEXT(C253,"000"))</f>
        <v/>
      </c>
      <c r="G253" s="23" t="n"/>
      <c r="H253" s="22" t="n"/>
      <c r="I253" s="24" t="n"/>
      <c r="J253" s="22" t="n"/>
      <c r="K253" s="22" t="n"/>
      <c r="L253" s="22" t="n"/>
      <c r="M253" s="22" t="n"/>
      <c r="N253" s="22" t="n"/>
      <c r="O253" s="7">
        <f>IF(F253="","",F253&amp;"_"&amp;SUBSTITUTE(SUBSTITUTE(SUBSTITUTE(SUBSTITUTE(SUBSTITUTE(SUBSTITUTE(SUBSTITUTE(SUBSTITUTE(SUBSTITUTE(SUBSTITUTE(TRIM(G253)," ","-"),"/","-"),"\","-"),":","-"),"*","-"),"?","-"),"""","-"),"&lt;","-"),"&gt;","-"),"|","-")&amp;IF(H253="","","_Rev"&amp;H253))</f>
        <v/>
      </c>
      <c r="P253" s="7">
        <f>IF(D253="","",IF(L253="Superseded","99 Archive",IF(AND(D253="04",K253&lt;&gt;""),IFERROR(INDEX('Google Drive Map'!$B$4:$B$33,MATCH("04/"&amp;LEFT(K253,2),'Google Drive Map'!$A$4:$A$33,0)),"04 Trades &amp; Tenders/"&amp;K253),IFERROR(INDEX('Google Drive Map'!$B$4:$B$33,MATCH(D253,'Google Drive Map'!$A$4:$A$33,0)),""))))</f>
        <v/>
      </c>
      <c r="Q253" s="7">
        <f>IF(P253="","",IF(IFERROR(INDEX('Google Drive Map'!$G$4:$G$33,MATCH(P253,'Google Drive Map'!$B$4:$B$33,0))&amp;"","")="","",HYPERLINK(INDEX('Google Drive Map'!$G$4:$G$33,MATCH(P253,'Google Drive Map'!$B$4:$B$33,0)),"Open")))</f>
        <v/>
      </c>
      <c r="R253" s="7">
        <f>IF(AND(A253="",B253="",C253=""),"",TRIM(IF(AND(D253&lt;&gt;"",ISNA(MATCH(D253,'Google Drive Map'!$A$4:$A$33,0))),"Folder code isn't on the folder map. ","")&amp;IF(AND(C253&lt;&gt;"",NOT(ISNUMBER(C253))),"No. must be a whole number. ","")&amp;IF(AND(D253&lt;&gt;"",B253&lt;&gt;"",C253=""),"Type the next free no. ","")&amp;IF(AND(F253&lt;&gt;"",COUNTIF(F$4:F$303,F253)&gt;1),"Duplicate Doc ID. ","")))</f>
        <v/>
      </c>
      <c r="S253" s="22" t="n"/>
      <c r="T253" s="23" t="n"/>
    </row>
    <row r="254">
      <c r="A254" s="35" t="n"/>
      <c r="B254" s="22" t="n"/>
      <c r="C254" s="22" t="n"/>
      <c r="D254" s="7">
        <f>IF(A254="","",IF(ISNUMBER(A254),TEXT(A254,"00"),TRIM(A254)))</f>
        <v/>
      </c>
      <c r="E254" s="7">
        <f t="array" ref="E254">IF(OR(D254="",B254=""),"",MAX(IF((D$4:D$303=D254)*(B$4:B$303=B254)*ISNUMBER(C$4:C$303),C$4:C$303,0))+1)</f>
        <v/>
      </c>
      <c r="F254" s="7">
        <f>IF(OR(D254="",B254="",NOT(ISNUMBER(C254))),"",D254&amp;"-"&amp;B254&amp;"-"&amp;TEXT(C254,"000"))</f>
        <v/>
      </c>
      <c r="G254" s="23" t="n"/>
      <c r="H254" s="22" t="n"/>
      <c r="I254" s="24" t="n"/>
      <c r="J254" s="22" t="n"/>
      <c r="K254" s="22" t="n"/>
      <c r="L254" s="22" t="n"/>
      <c r="M254" s="22" t="n"/>
      <c r="N254" s="22" t="n"/>
      <c r="O254" s="7">
        <f>IF(F254="","",F254&amp;"_"&amp;SUBSTITUTE(SUBSTITUTE(SUBSTITUTE(SUBSTITUTE(SUBSTITUTE(SUBSTITUTE(SUBSTITUTE(SUBSTITUTE(SUBSTITUTE(SUBSTITUTE(TRIM(G254)," ","-"),"/","-"),"\","-"),":","-"),"*","-"),"?","-"),"""","-"),"&lt;","-"),"&gt;","-"),"|","-")&amp;IF(H254="","","_Rev"&amp;H254))</f>
        <v/>
      </c>
      <c r="P254" s="7">
        <f>IF(D254="","",IF(L254="Superseded","99 Archive",IF(AND(D254="04",K254&lt;&gt;""),IFERROR(INDEX('Google Drive Map'!$B$4:$B$33,MATCH("04/"&amp;LEFT(K254,2),'Google Drive Map'!$A$4:$A$33,0)),"04 Trades &amp; Tenders/"&amp;K254),IFERROR(INDEX('Google Drive Map'!$B$4:$B$33,MATCH(D254,'Google Drive Map'!$A$4:$A$33,0)),""))))</f>
        <v/>
      </c>
      <c r="Q254" s="7">
        <f>IF(P254="","",IF(IFERROR(INDEX('Google Drive Map'!$G$4:$G$33,MATCH(P254,'Google Drive Map'!$B$4:$B$33,0))&amp;"","")="","",HYPERLINK(INDEX('Google Drive Map'!$G$4:$G$33,MATCH(P254,'Google Drive Map'!$B$4:$B$33,0)),"Open")))</f>
        <v/>
      </c>
      <c r="R254" s="7">
        <f>IF(AND(A254="",B254="",C254=""),"",TRIM(IF(AND(D254&lt;&gt;"",ISNA(MATCH(D254,'Google Drive Map'!$A$4:$A$33,0))),"Folder code isn't on the folder map. ","")&amp;IF(AND(C254&lt;&gt;"",NOT(ISNUMBER(C254))),"No. must be a whole number. ","")&amp;IF(AND(D254&lt;&gt;"",B254&lt;&gt;"",C254=""),"Type the next free no. ","")&amp;IF(AND(F254&lt;&gt;"",COUNTIF(F$4:F$303,F254)&gt;1),"Duplicate Doc ID. ","")))</f>
        <v/>
      </c>
      <c r="S254" s="22" t="n"/>
      <c r="T254" s="23" t="n"/>
    </row>
    <row r="255">
      <c r="A255" s="35" t="n"/>
      <c r="B255" s="22" t="n"/>
      <c r="C255" s="22" t="n"/>
      <c r="D255" s="7">
        <f>IF(A255="","",IF(ISNUMBER(A255),TEXT(A255,"00"),TRIM(A255)))</f>
        <v/>
      </c>
      <c r="E255" s="7">
        <f t="array" ref="E255">IF(OR(D255="",B255=""),"",MAX(IF((D$4:D$303=D255)*(B$4:B$303=B255)*ISNUMBER(C$4:C$303),C$4:C$303,0))+1)</f>
        <v/>
      </c>
      <c r="F255" s="7">
        <f>IF(OR(D255="",B255="",NOT(ISNUMBER(C255))),"",D255&amp;"-"&amp;B255&amp;"-"&amp;TEXT(C255,"000"))</f>
        <v/>
      </c>
      <c r="G255" s="23" t="n"/>
      <c r="H255" s="22" t="n"/>
      <c r="I255" s="24" t="n"/>
      <c r="J255" s="22" t="n"/>
      <c r="K255" s="22" t="n"/>
      <c r="L255" s="22" t="n"/>
      <c r="M255" s="22" t="n"/>
      <c r="N255" s="22" t="n"/>
      <c r="O255" s="7">
        <f>IF(F255="","",F255&amp;"_"&amp;SUBSTITUTE(SUBSTITUTE(SUBSTITUTE(SUBSTITUTE(SUBSTITUTE(SUBSTITUTE(SUBSTITUTE(SUBSTITUTE(SUBSTITUTE(SUBSTITUTE(TRIM(G255)," ","-"),"/","-"),"\","-"),":","-"),"*","-"),"?","-"),"""","-"),"&lt;","-"),"&gt;","-"),"|","-")&amp;IF(H255="","","_Rev"&amp;H255))</f>
        <v/>
      </c>
      <c r="P255" s="7">
        <f>IF(D255="","",IF(L255="Superseded","99 Archive",IF(AND(D255="04",K255&lt;&gt;""),IFERROR(INDEX('Google Drive Map'!$B$4:$B$33,MATCH("04/"&amp;LEFT(K255,2),'Google Drive Map'!$A$4:$A$33,0)),"04 Trades &amp; Tenders/"&amp;K255),IFERROR(INDEX('Google Drive Map'!$B$4:$B$33,MATCH(D255,'Google Drive Map'!$A$4:$A$33,0)),""))))</f>
        <v/>
      </c>
      <c r="Q255" s="7">
        <f>IF(P255="","",IF(IFERROR(INDEX('Google Drive Map'!$G$4:$G$33,MATCH(P255,'Google Drive Map'!$B$4:$B$33,0))&amp;"","")="","",HYPERLINK(INDEX('Google Drive Map'!$G$4:$G$33,MATCH(P255,'Google Drive Map'!$B$4:$B$33,0)),"Open")))</f>
        <v/>
      </c>
      <c r="R255" s="7">
        <f>IF(AND(A255="",B255="",C255=""),"",TRIM(IF(AND(D255&lt;&gt;"",ISNA(MATCH(D255,'Google Drive Map'!$A$4:$A$33,0))),"Folder code isn't on the folder map. ","")&amp;IF(AND(C255&lt;&gt;"",NOT(ISNUMBER(C255))),"No. must be a whole number. ","")&amp;IF(AND(D255&lt;&gt;"",B255&lt;&gt;"",C255=""),"Type the next free no. ","")&amp;IF(AND(F255&lt;&gt;"",COUNTIF(F$4:F$303,F255)&gt;1),"Duplicate Doc ID. ","")))</f>
        <v/>
      </c>
      <c r="S255" s="22" t="n"/>
      <c r="T255" s="23" t="n"/>
    </row>
    <row r="256">
      <c r="A256" s="35" t="n"/>
      <c r="B256" s="22" t="n"/>
      <c r="C256" s="22" t="n"/>
      <c r="D256" s="7">
        <f>IF(A256="","",IF(ISNUMBER(A256),TEXT(A256,"00"),TRIM(A256)))</f>
        <v/>
      </c>
      <c r="E256" s="7">
        <f t="array" ref="E256">IF(OR(D256="",B256=""),"",MAX(IF((D$4:D$303=D256)*(B$4:B$303=B256)*ISNUMBER(C$4:C$303),C$4:C$303,0))+1)</f>
        <v/>
      </c>
      <c r="F256" s="7">
        <f>IF(OR(D256="",B256="",NOT(ISNUMBER(C256))),"",D256&amp;"-"&amp;B256&amp;"-"&amp;TEXT(C256,"000"))</f>
        <v/>
      </c>
      <c r="G256" s="23" t="n"/>
      <c r="H256" s="22" t="n"/>
      <c r="I256" s="24" t="n"/>
      <c r="J256" s="22" t="n"/>
      <c r="K256" s="22" t="n"/>
      <c r="L256" s="22" t="n"/>
      <c r="M256" s="22" t="n"/>
      <c r="N256" s="22" t="n"/>
      <c r="O256" s="7">
        <f>IF(F256="","",F256&amp;"_"&amp;SUBSTITUTE(SUBSTITUTE(SUBSTITUTE(SUBSTITUTE(SUBSTITUTE(SUBSTITUTE(SUBSTITUTE(SUBSTITUTE(SUBSTITUTE(SUBSTITUTE(TRIM(G256)," ","-"),"/","-"),"\","-"),":","-"),"*","-"),"?","-"),"""","-"),"&lt;","-"),"&gt;","-"),"|","-")&amp;IF(H256="","","_Rev"&amp;H256))</f>
        <v/>
      </c>
      <c r="P256" s="7">
        <f>IF(D256="","",IF(L256="Superseded","99 Archive",IF(AND(D256="04",K256&lt;&gt;""),IFERROR(INDEX('Google Drive Map'!$B$4:$B$33,MATCH("04/"&amp;LEFT(K256,2),'Google Drive Map'!$A$4:$A$33,0)),"04 Trades &amp; Tenders/"&amp;K256),IFERROR(INDEX('Google Drive Map'!$B$4:$B$33,MATCH(D256,'Google Drive Map'!$A$4:$A$33,0)),""))))</f>
        <v/>
      </c>
      <c r="Q256" s="7">
        <f>IF(P256="","",IF(IFERROR(INDEX('Google Drive Map'!$G$4:$G$33,MATCH(P256,'Google Drive Map'!$B$4:$B$33,0))&amp;"","")="","",HYPERLINK(INDEX('Google Drive Map'!$G$4:$G$33,MATCH(P256,'Google Drive Map'!$B$4:$B$33,0)),"Open")))</f>
        <v/>
      </c>
      <c r="R256" s="7">
        <f>IF(AND(A256="",B256="",C256=""),"",TRIM(IF(AND(D256&lt;&gt;"",ISNA(MATCH(D256,'Google Drive Map'!$A$4:$A$33,0))),"Folder code isn't on the folder map. ","")&amp;IF(AND(C256&lt;&gt;"",NOT(ISNUMBER(C256))),"No. must be a whole number. ","")&amp;IF(AND(D256&lt;&gt;"",B256&lt;&gt;"",C256=""),"Type the next free no. ","")&amp;IF(AND(F256&lt;&gt;"",COUNTIF(F$4:F$303,F256)&gt;1),"Duplicate Doc ID. ","")))</f>
        <v/>
      </c>
      <c r="S256" s="22" t="n"/>
      <c r="T256" s="23" t="n"/>
    </row>
    <row r="257">
      <c r="A257" s="35" t="n"/>
      <c r="B257" s="22" t="n"/>
      <c r="C257" s="22" t="n"/>
      <c r="D257" s="7">
        <f>IF(A257="","",IF(ISNUMBER(A257),TEXT(A257,"00"),TRIM(A257)))</f>
        <v/>
      </c>
      <c r="E257" s="7">
        <f t="array" ref="E257">IF(OR(D257="",B257=""),"",MAX(IF((D$4:D$303=D257)*(B$4:B$303=B257)*ISNUMBER(C$4:C$303),C$4:C$303,0))+1)</f>
        <v/>
      </c>
      <c r="F257" s="7">
        <f>IF(OR(D257="",B257="",NOT(ISNUMBER(C257))),"",D257&amp;"-"&amp;B257&amp;"-"&amp;TEXT(C257,"000"))</f>
        <v/>
      </c>
      <c r="G257" s="23" t="n"/>
      <c r="H257" s="22" t="n"/>
      <c r="I257" s="24" t="n"/>
      <c r="J257" s="22" t="n"/>
      <c r="K257" s="22" t="n"/>
      <c r="L257" s="22" t="n"/>
      <c r="M257" s="22" t="n"/>
      <c r="N257" s="22" t="n"/>
      <c r="O257" s="7">
        <f>IF(F257="","",F257&amp;"_"&amp;SUBSTITUTE(SUBSTITUTE(SUBSTITUTE(SUBSTITUTE(SUBSTITUTE(SUBSTITUTE(SUBSTITUTE(SUBSTITUTE(SUBSTITUTE(SUBSTITUTE(TRIM(G257)," ","-"),"/","-"),"\","-"),":","-"),"*","-"),"?","-"),"""","-"),"&lt;","-"),"&gt;","-"),"|","-")&amp;IF(H257="","","_Rev"&amp;H257))</f>
        <v/>
      </c>
      <c r="P257" s="7">
        <f>IF(D257="","",IF(L257="Superseded","99 Archive",IF(AND(D257="04",K257&lt;&gt;""),IFERROR(INDEX('Google Drive Map'!$B$4:$B$33,MATCH("04/"&amp;LEFT(K257,2),'Google Drive Map'!$A$4:$A$33,0)),"04 Trades &amp; Tenders/"&amp;K257),IFERROR(INDEX('Google Drive Map'!$B$4:$B$33,MATCH(D257,'Google Drive Map'!$A$4:$A$33,0)),""))))</f>
        <v/>
      </c>
      <c r="Q257" s="7">
        <f>IF(P257="","",IF(IFERROR(INDEX('Google Drive Map'!$G$4:$G$33,MATCH(P257,'Google Drive Map'!$B$4:$B$33,0))&amp;"","")="","",HYPERLINK(INDEX('Google Drive Map'!$G$4:$G$33,MATCH(P257,'Google Drive Map'!$B$4:$B$33,0)),"Open")))</f>
        <v/>
      </c>
      <c r="R257" s="7">
        <f>IF(AND(A257="",B257="",C257=""),"",TRIM(IF(AND(D257&lt;&gt;"",ISNA(MATCH(D257,'Google Drive Map'!$A$4:$A$33,0))),"Folder code isn't on the folder map. ","")&amp;IF(AND(C257&lt;&gt;"",NOT(ISNUMBER(C257))),"No. must be a whole number. ","")&amp;IF(AND(D257&lt;&gt;"",B257&lt;&gt;"",C257=""),"Type the next free no. ","")&amp;IF(AND(F257&lt;&gt;"",COUNTIF(F$4:F$303,F257)&gt;1),"Duplicate Doc ID. ","")))</f>
        <v/>
      </c>
      <c r="S257" s="22" t="n"/>
      <c r="T257" s="23" t="n"/>
    </row>
    <row r="258">
      <c r="A258" s="35" t="n"/>
      <c r="B258" s="22" t="n"/>
      <c r="C258" s="22" t="n"/>
      <c r="D258" s="7">
        <f>IF(A258="","",IF(ISNUMBER(A258),TEXT(A258,"00"),TRIM(A258)))</f>
        <v/>
      </c>
      <c r="E258" s="7">
        <f t="array" ref="E258">IF(OR(D258="",B258=""),"",MAX(IF((D$4:D$303=D258)*(B$4:B$303=B258)*ISNUMBER(C$4:C$303),C$4:C$303,0))+1)</f>
        <v/>
      </c>
      <c r="F258" s="7">
        <f>IF(OR(D258="",B258="",NOT(ISNUMBER(C258))),"",D258&amp;"-"&amp;B258&amp;"-"&amp;TEXT(C258,"000"))</f>
        <v/>
      </c>
      <c r="G258" s="23" t="n"/>
      <c r="H258" s="22" t="n"/>
      <c r="I258" s="24" t="n"/>
      <c r="J258" s="22" t="n"/>
      <c r="K258" s="22" t="n"/>
      <c r="L258" s="22" t="n"/>
      <c r="M258" s="22" t="n"/>
      <c r="N258" s="22" t="n"/>
      <c r="O258" s="7">
        <f>IF(F258="","",F258&amp;"_"&amp;SUBSTITUTE(SUBSTITUTE(SUBSTITUTE(SUBSTITUTE(SUBSTITUTE(SUBSTITUTE(SUBSTITUTE(SUBSTITUTE(SUBSTITUTE(SUBSTITUTE(TRIM(G258)," ","-"),"/","-"),"\","-"),":","-"),"*","-"),"?","-"),"""","-"),"&lt;","-"),"&gt;","-"),"|","-")&amp;IF(H258="","","_Rev"&amp;H258))</f>
        <v/>
      </c>
      <c r="P258" s="7">
        <f>IF(D258="","",IF(L258="Superseded","99 Archive",IF(AND(D258="04",K258&lt;&gt;""),IFERROR(INDEX('Google Drive Map'!$B$4:$B$33,MATCH("04/"&amp;LEFT(K258,2),'Google Drive Map'!$A$4:$A$33,0)),"04 Trades &amp; Tenders/"&amp;K258),IFERROR(INDEX('Google Drive Map'!$B$4:$B$33,MATCH(D258,'Google Drive Map'!$A$4:$A$33,0)),""))))</f>
        <v/>
      </c>
      <c r="Q258" s="7">
        <f>IF(P258="","",IF(IFERROR(INDEX('Google Drive Map'!$G$4:$G$33,MATCH(P258,'Google Drive Map'!$B$4:$B$33,0))&amp;"","")="","",HYPERLINK(INDEX('Google Drive Map'!$G$4:$G$33,MATCH(P258,'Google Drive Map'!$B$4:$B$33,0)),"Open")))</f>
        <v/>
      </c>
      <c r="R258" s="7">
        <f>IF(AND(A258="",B258="",C258=""),"",TRIM(IF(AND(D258&lt;&gt;"",ISNA(MATCH(D258,'Google Drive Map'!$A$4:$A$33,0))),"Folder code isn't on the folder map. ","")&amp;IF(AND(C258&lt;&gt;"",NOT(ISNUMBER(C258))),"No. must be a whole number. ","")&amp;IF(AND(D258&lt;&gt;"",B258&lt;&gt;"",C258=""),"Type the next free no. ","")&amp;IF(AND(F258&lt;&gt;"",COUNTIF(F$4:F$303,F258)&gt;1),"Duplicate Doc ID. ","")))</f>
        <v/>
      </c>
      <c r="S258" s="22" t="n"/>
      <c r="T258" s="23" t="n"/>
    </row>
    <row r="259">
      <c r="A259" s="35" t="n"/>
      <c r="B259" s="22" t="n"/>
      <c r="C259" s="22" t="n"/>
      <c r="D259" s="7">
        <f>IF(A259="","",IF(ISNUMBER(A259),TEXT(A259,"00"),TRIM(A259)))</f>
        <v/>
      </c>
      <c r="E259" s="7">
        <f t="array" ref="E259">IF(OR(D259="",B259=""),"",MAX(IF((D$4:D$303=D259)*(B$4:B$303=B259)*ISNUMBER(C$4:C$303),C$4:C$303,0))+1)</f>
        <v/>
      </c>
      <c r="F259" s="7">
        <f>IF(OR(D259="",B259="",NOT(ISNUMBER(C259))),"",D259&amp;"-"&amp;B259&amp;"-"&amp;TEXT(C259,"000"))</f>
        <v/>
      </c>
      <c r="G259" s="23" t="n"/>
      <c r="H259" s="22" t="n"/>
      <c r="I259" s="24" t="n"/>
      <c r="J259" s="22" t="n"/>
      <c r="K259" s="22" t="n"/>
      <c r="L259" s="22" t="n"/>
      <c r="M259" s="22" t="n"/>
      <c r="N259" s="22" t="n"/>
      <c r="O259" s="7">
        <f>IF(F259="","",F259&amp;"_"&amp;SUBSTITUTE(SUBSTITUTE(SUBSTITUTE(SUBSTITUTE(SUBSTITUTE(SUBSTITUTE(SUBSTITUTE(SUBSTITUTE(SUBSTITUTE(SUBSTITUTE(TRIM(G259)," ","-"),"/","-"),"\","-"),":","-"),"*","-"),"?","-"),"""","-"),"&lt;","-"),"&gt;","-"),"|","-")&amp;IF(H259="","","_Rev"&amp;H259))</f>
        <v/>
      </c>
      <c r="P259" s="7">
        <f>IF(D259="","",IF(L259="Superseded","99 Archive",IF(AND(D259="04",K259&lt;&gt;""),IFERROR(INDEX('Google Drive Map'!$B$4:$B$33,MATCH("04/"&amp;LEFT(K259,2),'Google Drive Map'!$A$4:$A$33,0)),"04 Trades &amp; Tenders/"&amp;K259),IFERROR(INDEX('Google Drive Map'!$B$4:$B$33,MATCH(D259,'Google Drive Map'!$A$4:$A$33,0)),""))))</f>
        <v/>
      </c>
      <c r="Q259" s="7">
        <f>IF(P259="","",IF(IFERROR(INDEX('Google Drive Map'!$G$4:$G$33,MATCH(P259,'Google Drive Map'!$B$4:$B$33,0))&amp;"","")="","",HYPERLINK(INDEX('Google Drive Map'!$G$4:$G$33,MATCH(P259,'Google Drive Map'!$B$4:$B$33,0)),"Open")))</f>
        <v/>
      </c>
      <c r="R259" s="7">
        <f>IF(AND(A259="",B259="",C259=""),"",TRIM(IF(AND(D259&lt;&gt;"",ISNA(MATCH(D259,'Google Drive Map'!$A$4:$A$33,0))),"Folder code isn't on the folder map. ","")&amp;IF(AND(C259&lt;&gt;"",NOT(ISNUMBER(C259))),"No. must be a whole number. ","")&amp;IF(AND(D259&lt;&gt;"",B259&lt;&gt;"",C259=""),"Type the next free no. ","")&amp;IF(AND(F259&lt;&gt;"",COUNTIF(F$4:F$303,F259)&gt;1),"Duplicate Doc ID. ","")))</f>
        <v/>
      </c>
      <c r="S259" s="22" t="n"/>
      <c r="T259" s="23" t="n"/>
    </row>
    <row r="260">
      <c r="A260" s="35" t="n"/>
      <c r="B260" s="22" t="n"/>
      <c r="C260" s="22" t="n"/>
      <c r="D260" s="7">
        <f>IF(A260="","",IF(ISNUMBER(A260),TEXT(A260,"00"),TRIM(A260)))</f>
        <v/>
      </c>
      <c r="E260" s="7">
        <f t="array" ref="E260">IF(OR(D260="",B260=""),"",MAX(IF((D$4:D$303=D260)*(B$4:B$303=B260)*ISNUMBER(C$4:C$303),C$4:C$303,0))+1)</f>
        <v/>
      </c>
      <c r="F260" s="7">
        <f>IF(OR(D260="",B260="",NOT(ISNUMBER(C260))),"",D260&amp;"-"&amp;B260&amp;"-"&amp;TEXT(C260,"000"))</f>
        <v/>
      </c>
      <c r="G260" s="23" t="n"/>
      <c r="H260" s="22" t="n"/>
      <c r="I260" s="24" t="n"/>
      <c r="J260" s="22" t="n"/>
      <c r="K260" s="22" t="n"/>
      <c r="L260" s="22" t="n"/>
      <c r="M260" s="22" t="n"/>
      <c r="N260" s="22" t="n"/>
      <c r="O260" s="7">
        <f>IF(F260="","",F260&amp;"_"&amp;SUBSTITUTE(SUBSTITUTE(SUBSTITUTE(SUBSTITUTE(SUBSTITUTE(SUBSTITUTE(SUBSTITUTE(SUBSTITUTE(SUBSTITUTE(SUBSTITUTE(TRIM(G260)," ","-"),"/","-"),"\","-"),":","-"),"*","-"),"?","-"),"""","-"),"&lt;","-"),"&gt;","-"),"|","-")&amp;IF(H260="","","_Rev"&amp;H260))</f>
        <v/>
      </c>
      <c r="P260" s="7">
        <f>IF(D260="","",IF(L260="Superseded","99 Archive",IF(AND(D260="04",K260&lt;&gt;""),IFERROR(INDEX('Google Drive Map'!$B$4:$B$33,MATCH("04/"&amp;LEFT(K260,2),'Google Drive Map'!$A$4:$A$33,0)),"04 Trades &amp; Tenders/"&amp;K260),IFERROR(INDEX('Google Drive Map'!$B$4:$B$33,MATCH(D260,'Google Drive Map'!$A$4:$A$33,0)),""))))</f>
        <v/>
      </c>
      <c r="Q260" s="7">
        <f>IF(P260="","",IF(IFERROR(INDEX('Google Drive Map'!$G$4:$G$33,MATCH(P260,'Google Drive Map'!$B$4:$B$33,0))&amp;"","")="","",HYPERLINK(INDEX('Google Drive Map'!$G$4:$G$33,MATCH(P260,'Google Drive Map'!$B$4:$B$33,0)),"Open")))</f>
        <v/>
      </c>
      <c r="R260" s="7">
        <f>IF(AND(A260="",B260="",C260=""),"",TRIM(IF(AND(D260&lt;&gt;"",ISNA(MATCH(D260,'Google Drive Map'!$A$4:$A$33,0))),"Folder code isn't on the folder map. ","")&amp;IF(AND(C260&lt;&gt;"",NOT(ISNUMBER(C260))),"No. must be a whole number. ","")&amp;IF(AND(D260&lt;&gt;"",B260&lt;&gt;"",C260=""),"Type the next free no. ","")&amp;IF(AND(F260&lt;&gt;"",COUNTIF(F$4:F$303,F260)&gt;1),"Duplicate Doc ID. ","")))</f>
        <v/>
      </c>
      <c r="S260" s="22" t="n"/>
      <c r="T260" s="23" t="n"/>
    </row>
    <row r="261">
      <c r="A261" s="35" t="n"/>
      <c r="B261" s="22" t="n"/>
      <c r="C261" s="22" t="n"/>
      <c r="D261" s="7">
        <f>IF(A261="","",IF(ISNUMBER(A261),TEXT(A261,"00"),TRIM(A261)))</f>
        <v/>
      </c>
      <c r="E261" s="7">
        <f t="array" ref="E261">IF(OR(D261="",B261=""),"",MAX(IF((D$4:D$303=D261)*(B$4:B$303=B261)*ISNUMBER(C$4:C$303),C$4:C$303,0))+1)</f>
        <v/>
      </c>
      <c r="F261" s="7">
        <f>IF(OR(D261="",B261="",NOT(ISNUMBER(C261))),"",D261&amp;"-"&amp;B261&amp;"-"&amp;TEXT(C261,"000"))</f>
        <v/>
      </c>
      <c r="G261" s="23" t="n"/>
      <c r="H261" s="22" t="n"/>
      <c r="I261" s="24" t="n"/>
      <c r="J261" s="22" t="n"/>
      <c r="K261" s="22" t="n"/>
      <c r="L261" s="22" t="n"/>
      <c r="M261" s="22" t="n"/>
      <c r="N261" s="22" t="n"/>
      <c r="O261" s="7">
        <f>IF(F261="","",F261&amp;"_"&amp;SUBSTITUTE(SUBSTITUTE(SUBSTITUTE(SUBSTITUTE(SUBSTITUTE(SUBSTITUTE(SUBSTITUTE(SUBSTITUTE(SUBSTITUTE(SUBSTITUTE(TRIM(G261)," ","-"),"/","-"),"\","-"),":","-"),"*","-"),"?","-"),"""","-"),"&lt;","-"),"&gt;","-"),"|","-")&amp;IF(H261="","","_Rev"&amp;H261))</f>
        <v/>
      </c>
      <c r="P261" s="7">
        <f>IF(D261="","",IF(L261="Superseded","99 Archive",IF(AND(D261="04",K261&lt;&gt;""),IFERROR(INDEX('Google Drive Map'!$B$4:$B$33,MATCH("04/"&amp;LEFT(K261,2),'Google Drive Map'!$A$4:$A$33,0)),"04 Trades &amp; Tenders/"&amp;K261),IFERROR(INDEX('Google Drive Map'!$B$4:$B$33,MATCH(D261,'Google Drive Map'!$A$4:$A$33,0)),""))))</f>
        <v/>
      </c>
      <c r="Q261" s="7">
        <f>IF(P261="","",IF(IFERROR(INDEX('Google Drive Map'!$G$4:$G$33,MATCH(P261,'Google Drive Map'!$B$4:$B$33,0))&amp;"","")="","",HYPERLINK(INDEX('Google Drive Map'!$G$4:$G$33,MATCH(P261,'Google Drive Map'!$B$4:$B$33,0)),"Open")))</f>
        <v/>
      </c>
      <c r="R261" s="7">
        <f>IF(AND(A261="",B261="",C261=""),"",TRIM(IF(AND(D261&lt;&gt;"",ISNA(MATCH(D261,'Google Drive Map'!$A$4:$A$33,0))),"Folder code isn't on the folder map. ","")&amp;IF(AND(C261&lt;&gt;"",NOT(ISNUMBER(C261))),"No. must be a whole number. ","")&amp;IF(AND(D261&lt;&gt;"",B261&lt;&gt;"",C261=""),"Type the next free no. ","")&amp;IF(AND(F261&lt;&gt;"",COUNTIF(F$4:F$303,F261)&gt;1),"Duplicate Doc ID. ","")))</f>
        <v/>
      </c>
      <c r="S261" s="22" t="n"/>
      <c r="T261" s="23" t="n"/>
    </row>
    <row r="262">
      <c r="A262" s="35" t="n"/>
      <c r="B262" s="22" t="n"/>
      <c r="C262" s="22" t="n"/>
      <c r="D262" s="7">
        <f>IF(A262="","",IF(ISNUMBER(A262),TEXT(A262,"00"),TRIM(A262)))</f>
        <v/>
      </c>
      <c r="E262" s="7">
        <f t="array" ref="E262">IF(OR(D262="",B262=""),"",MAX(IF((D$4:D$303=D262)*(B$4:B$303=B262)*ISNUMBER(C$4:C$303),C$4:C$303,0))+1)</f>
        <v/>
      </c>
      <c r="F262" s="7">
        <f>IF(OR(D262="",B262="",NOT(ISNUMBER(C262))),"",D262&amp;"-"&amp;B262&amp;"-"&amp;TEXT(C262,"000"))</f>
        <v/>
      </c>
      <c r="G262" s="23" t="n"/>
      <c r="H262" s="22" t="n"/>
      <c r="I262" s="24" t="n"/>
      <c r="J262" s="22" t="n"/>
      <c r="K262" s="22" t="n"/>
      <c r="L262" s="22" t="n"/>
      <c r="M262" s="22" t="n"/>
      <c r="N262" s="22" t="n"/>
      <c r="O262" s="7">
        <f>IF(F262="","",F262&amp;"_"&amp;SUBSTITUTE(SUBSTITUTE(SUBSTITUTE(SUBSTITUTE(SUBSTITUTE(SUBSTITUTE(SUBSTITUTE(SUBSTITUTE(SUBSTITUTE(SUBSTITUTE(TRIM(G262)," ","-"),"/","-"),"\","-"),":","-"),"*","-"),"?","-"),"""","-"),"&lt;","-"),"&gt;","-"),"|","-")&amp;IF(H262="","","_Rev"&amp;H262))</f>
        <v/>
      </c>
      <c r="P262" s="7">
        <f>IF(D262="","",IF(L262="Superseded","99 Archive",IF(AND(D262="04",K262&lt;&gt;""),IFERROR(INDEX('Google Drive Map'!$B$4:$B$33,MATCH("04/"&amp;LEFT(K262,2),'Google Drive Map'!$A$4:$A$33,0)),"04 Trades &amp; Tenders/"&amp;K262),IFERROR(INDEX('Google Drive Map'!$B$4:$B$33,MATCH(D262,'Google Drive Map'!$A$4:$A$33,0)),""))))</f>
        <v/>
      </c>
      <c r="Q262" s="7">
        <f>IF(P262="","",IF(IFERROR(INDEX('Google Drive Map'!$G$4:$G$33,MATCH(P262,'Google Drive Map'!$B$4:$B$33,0))&amp;"","")="","",HYPERLINK(INDEX('Google Drive Map'!$G$4:$G$33,MATCH(P262,'Google Drive Map'!$B$4:$B$33,0)),"Open")))</f>
        <v/>
      </c>
      <c r="R262" s="7">
        <f>IF(AND(A262="",B262="",C262=""),"",TRIM(IF(AND(D262&lt;&gt;"",ISNA(MATCH(D262,'Google Drive Map'!$A$4:$A$33,0))),"Folder code isn't on the folder map. ","")&amp;IF(AND(C262&lt;&gt;"",NOT(ISNUMBER(C262))),"No. must be a whole number. ","")&amp;IF(AND(D262&lt;&gt;"",B262&lt;&gt;"",C262=""),"Type the next free no. ","")&amp;IF(AND(F262&lt;&gt;"",COUNTIF(F$4:F$303,F262)&gt;1),"Duplicate Doc ID. ","")))</f>
        <v/>
      </c>
      <c r="S262" s="22" t="n"/>
      <c r="T262" s="23" t="n"/>
    </row>
    <row r="263">
      <c r="A263" s="35" t="n"/>
      <c r="B263" s="22" t="n"/>
      <c r="C263" s="22" t="n"/>
      <c r="D263" s="7">
        <f>IF(A263="","",IF(ISNUMBER(A263),TEXT(A263,"00"),TRIM(A263)))</f>
        <v/>
      </c>
      <c r="E263" s="7">
        <f t="array" ref="E263">IF(OR(D263="",B263=""),"",MAX(IF((D$4:D$303=D263)*(B$4:B$303=B263)*ISNUMBER(C$4:C$303),C$4:C$303,0))+1)</f>
        <v/>
      </c>
      <c r="F263" s="7">
        <f>IF(OR(D263="",B263="",NOT(ISNUMBER(C263))),"",D263&amp;"-"&amp;B263&amp;"-"&amp;TEXT(C263,"000"))</f>
        <v/>
      </c>
      <c r="G263" s="23" t="n"/>
      <c r="H263" s="22" t="n"/>
      <c r="I263" s="24" t="n"/>
      <c r="J263" s="22" t="n"/>
      <c r="K263" s="22" t="n"/>
      <c r="L263" s="22" t="n"/>
      <c r="M263" s="22" t="n"/>
      <c r="N263" s="22" t="n"/>
      <c r="O263" s="7">
        <f>IF(F263="","",F263&amp;"_"&amp;SUBSTITUTE(SUBSTITUTE(SUBSTITUTE(SUBSTITUTE(SUBSTITUTE(SUBSTITUTE(SUBSTITUTE(SUBSTITUTE(SUBSTITUTE(SUBSTITUTE(TRIM(G263)," ","-"),"/","-"),"\","-"),":","-"),"*","-"),"?","-"),"""","-"),"&lt;","-"),"&gt;","-"),"|","-")&amp;IF(H263="","","_Rev"&amp;H263))</f>
        <v/>
      </c>
      <c r="P263" s="7">
        <f>IF(D263="","",IF(L263="Superseded","99 Archive",IF(AND(D263="04",K263&lt;&gt;""),IFERROR(INDEX('Google Drive Map'!$B$4:$B$33,MATCH("04/"&amp;LEFT(K263,2),'Google Drive Map'!$A$4:$A$33,0)),"04 Trades &amp; Tenders/"&amp;K263),IFERROR(INDEX('Google Drive Map'!$B$4:$B$33,MATCH(D263,'Google Drive Map'!$A$4:$A$33,0)),""))))</f>
        <v/>
      </c>
      <c r="Q263" s="7">
        <f>IF(P263="","",IF(IFERROR(INDEX('Google Drive Map'!$G$4:$G$33,MATCH(P263,'Google Drive Map'!$B$4:$B$33,0))&amp;"","")="","",HYPERLINK(INDEX('Google Drive Map'!$G$4:$G$33,MATCH(P263,'Google Drive Map'!$B$4:$B$33,0)),"Open")))</f>
        <v/>
      </c>
      <c r="R263" s="7">
        <f>IF(AND(A263="",B263="",C263=""),"",TRIM(IF(AND(D263&lt;&gt;"",ISNA(MATCH(D263,'Google Drive Map'!$A$4:$A$33,0))),"Folder code isn't on the folder map. ","")&amp;IF(AND(C263&lt;&gt;"",NOT(ISNUMBER(C263))),"No. must be a whole number. ","")&amp;IF(AND(D263&lt;&gt;"",B263&lt;&gt;"",C263=""),"Type the next free no. ","")&amp;IF(AND(F263&lt;&gt;"",COUNTIF(F$4:F$303,F263)&gt;1),"Duplicate Doc ID. ","")))</f>
        <v/>
      </c>
      <c r="S263" s="22" t="n"/>
      <c r="T263" s="23" t="n"/>
    </row>
    <row r="264">
      <c r="A264" s="35" t="n"/>
      <c r="B264" s="22" t="n"/>
      <c r="C264" s="22" t="n"/>
      <c r="D264" s="7">
        <f>IF(A264="","",IF(ISNUMBER(A264),TEXT(A264,"00"),TRIM(A264)))</f>
        <v/>
      </c>
      <c r="E264" s="7">
        <f t="array" ref="E264">IF(OR(D264="",B264=""),"",MAX(IF((D$4:D$303=D264)*(B$4:B$303=B264)*ISNUMBER(C$4:C$303),C$4:C$303,0))+1)</f>
        <v/>
      </c>
      <c r="F264" s="7">
        <f>IF(OR(D264="",B264="",NOT(ISNUMBER(C264))),"",D264&amp;"-"&amp;B264&amp;"-"&amp;TEXT(C264,"000"))</f>
        <v/>
      </c>
      <c r="G264" s="23" t="n"/>
      <c r="H264" s="22" t="n"/>
      <c r="I264" s="24" t="n"/>
      <c r="J264" s="22" t="n"/>
      <c r="K264" s="22" t="n"/>
      <c r="L264" s="22" t="n"/>
      <c r="M264" s="22" t="n"/>
      <c r="N264" s="22" t="n"/>
      <c r="O264" s="7">
        <f>IF(F264="","",F264&amp;"_"&amp;SUBSTITUTE(SUBSTITUTE(SUBSTITUTE(SUBSTITUTE(SUBSTITUTE(SUBSTITUTE(SUBSTITUTE(SUBSTITUTE(SUBSTITUTE(SUBSTITUTE(TRIM(G264)," ","-"),"/","-"),"\","-"),":","-"),"*","-"),"?","-"),"""","-"),"&lt;","-"),"&gt;","-"),"|","-")&amp;IF(H264="","","_Rev"&amp;H264))</f>
        <v/>
      </c>
      <c r="P264" s="7">
        <f>IF(D264="","",IF(L264="Superseded","99 Archive",IF(AND(D264="04",K264&lt;&gt;""),IFERROR(INDEX('Google Drive Map'!$B$4:$B$33,MATCH("04/"&amp;LEFT(K264,2),'Google Drive Map'!$A$4:$A$33,0)),"04 Trades &amp; Tenders/"&amp;K264),IFERROR(INDEX('Google Drive Map'!$B$4:$B$33,MATCH(D264,'Google Drive Map'!$A$4:$A$33,0)),""))))</f>
        <v/>
      </c>
      <c r="Q264" s="7">
        <f>IF(P264="","",IF(IFERROR(INDEX('Google Drive Map'!$G$4:$G$33,MATCH(P264,'Google Drive Map'!$B$4:$B$33,0))&amp;"","")="","",HYPERLINK(INDEX('Google Drive Map'!$G$4:$G$33,MATCH(P264,'Google Drive Map'!$B$4:$B$33,0)),"Open")))</f>
        <v/>
      </c>
      <c r="R264" s="7">
        <f>IF(AND(A264="",B264="",C264=""),"",TRIM(IF(AND(D264&lt;&gt;"",ISNA(MATCH(D264,'Google Drive Map'!$A$4:$A$33,0))),"Folder code isn't on the folder map. ","")&amp;IF(AND(C264&lt;&gt;"",NOT(ISNUMBER(C264))),"No. must be a whole number. ","")&amp;IF(AND(D264&lt;&gt;"",B264&lt;&gt;"",C264=""),"Type the next free no. ","")&amp;IF(AND(F264&lt;&gt;"",COUNTIF(F$4:F$303,F264)&gt;1),"Duplicate Doc ID. ","")))</f>
        <v/>
      </c>
      <c r="S264" s="22" t="n"/>
      <c r="T264" s="23" t="n"/>
    </row>
    <row r="265">
      <c r="A265" s="35" t="n"/>
      <c r="B265" s="22" t="n"/>
      <c r="C265" s="22" t="n"/>
      <c r="D265" s="7">
        <f>IF(A265="","",IF(ISNUMBER(A265),TEXT(A265,"00"),TRIM(A265)))</f>
        <v/>
      </c>
      <c r="E265" s="7">
        <f t="array" ref="E265">IF(OR(D265="",B265=""),"",MAX(IF((D$4:D$303=D265)*(B$4:B$303=B265)*ISNUMBER(C$4:C$303),C$4:C$303,0))+1)</f>
        <v/>
      </c>
      <c r="F265" s="7">
        <f>IF(OR(D265="",B265="",NOT(ISNUMBER(C265))),"",D265&amp;"-"&amp;B265&amp;"-"&amp;TEXT(C265,"000"))</f>
        <v/>
      </c>
      <c r="G265" s="23" t="n"/>
      <c r="H265" s="22" t="n"/>
      <c r="I265" s="24" t="n"/>
      <c r="J265" s="22" t="n"/>
      <c r="K265" s="22" t="n"/>
      <c r="L265" s="22" t="n"/>
      <c r="M265" s="22" t="n"/>
      <c r="N265" s="22" t="n"/>
      <c r="O265" s="7">
        <f>IF(F265="","",F265&amp;"_"&amp;SUBSTITUTE(SUBSTITUTE(SUBSTITUTE(SUBSTITUTE(SUBSTITUTE(SUBSTITUTE(SUBSTITUTE(SUBSTITUTE(SUBSTITUTE(SUBSTITUTE(TRIM(G265)," ","-"),"/","-"),"\","-"),":","-"),"*","-"),"?","-"),"""","-"),"&lt;","-"),"&gt;","-"),"|","-")&amp;IF(H265="","","_Rev"&amp;H265))</f>
        <v/>
      </c>
      <c r="P265" s="7">
        <f>IF(D265="","",IF(L265="Superseded","99 Archive",IF(AND(D265="04",K265&lt;&gt;""),IFERROR(INDEX('Google Drive Map'!$B$4:$B$33,MATCH("04/"&amp;LEFT(K265,2),'Google Drive Map'!$A$4:$A$33,0)),"04 Trades &amp; Tenders/"&amp;K265),IFERROR(INDEX('Google Drive Map'!$B$4:$B$33,MATCH(D265,'Google Drive Map'!$A$4:$A$33,0)),""))))</f>
        <v/>
      </c>
      <c r="Q265" s="7">
        <f>IF(P265="","",IF(IFERROR(INDEX('Google Drive Map'!$G$4:$G$33,MATCH(P265,'Google Drive Map'!$B$4:$B$33,0))&amp;"","")="","",HYPERLINK(INDEX('Google Drive Map'!$G$4:$G$33,MATCH(P265,'Google Drive Map'!$B$4:$B$33,0)),"Open")))</f>
        <v/>
      </c>
      <c r="R265" s="7">
        <f>IF(AND(A265="",B265="",C265=""),"",TRIM(IF(AND(D265&lt;&gt;"",ISNA(MATCH(D265,'Google Drive Map'!$A$4:$A$33,0))),"Folder code isn't on the folder map. ","")&amp;IF(AND(C265&lt;&gt;"",NOT(ISNUMBER(C265))),"No. must be a whole number. ","")&amp;IF(AND(D265&lt;&gt;"",B265&lt;&gt;"",C265=""),"Type the next free no. ","")&amp;IF(AND(F265&lt;&gt;"",COUNTIF(F$4:F$303,F265)&gt;1),"Duplicate Doc ID. ","")))</f>
        <v/>
      </c>
      <c r="S265" s="22" t="n"/>
      <c r="T265" s="23" t="n"/>
    </row>
    <row r="266">
      <c r="A266" s="35" t="n"/>
      <c r="B266" s="22" t="n"/>
      <c r="C266" s="22" t="n"/>
      <c r="D266" s="7">
        <f>IF(A266="","",IF(ISNUMBER(A266),TEXT(A266,"00"),TRIM(A266)))</f>
        <v/>
      </c>
      <c r="E266" s="7">
        <f t="array" ref="E266">IF(OR(D266="",B266=""),"",MAX(IF((D$4:D$303=D266)*(B$4:B$303=B266)*ISNUMBER(C$4:C$303),C$4:C$303,0))+1)</f>
        <v/>
      </c>
      <c r="F266" s="7">
        <f>IF(OR(D266="",B266="",NOT(ISNUMBER(C266))),"",D266&amp;"-"&amp;B266&amp;"-"&amp;TEXT(C266,"000"))</f>
        <v/>
      </c>
      <c r="G266" s="23" t="n"/>
      <c r="H266" s="22" t="n"/>
      <c r="I266" s="24" t="n"/>
      <c r="J266" s="22" t="n"/>
      <c r="K266" s="22" t="n"/>
      <c r="L266" s="22" t="n"/>
      <c r="M266" s="22" t="n"/>
      <c r="N266" s="22" t="n"/>
      <c r="O266" s="7">
        <f>IF(F266="","",F266&amp;"_"&amp;SUBSTITUTE(SUBSTITUTE(SUBSTITUTE(SUBSTITUTE(SUBSTITUTE(SUBSTITUTE(SUBSTITUTE(SUBSTITUTE(SUBSTITUTE(SUBSTITUTE(TRIM(G266)," ","-"),"/","-"),"\","-"),":","-"),"*","-"),"?","-"),"""","-"),"&lt;","-"),"&gt;","-"),"|","-")&amp;IF(H266="","","_Rev"&amp;H266))</f>
        <v/>
      </c>
      <c r="P266" s="7">
        <f>IF(D266="","",IF(L266="Superseded","99 Archive",IF(AND(D266="04",K266&lt;&gt;""),IFERROR(INDEX('Google Drive Map'!$B$4:$B$33,MATCH("04/"&amp;LEFT(K266,2),'Google Drive Map'!$A$4:$A$33,0)),"04 Trades &amp; Tenders/"&amp;K266),IFERROR(INDEX('Google Drive Map'!$B$4:$B$33,MATCH(D266,'Google Drive Map'!$A$4:$A$33,0)),""))))</f>
        <v/>
      </c>
      <c r="Q266" s="7">
        <f>IF(P266="","",IF(IFERROR(INDEX('Google Drive Map'!$G$4:$G$33,MATCH(P266,'Google Drive Map'!$B$4:$B$33,0))&amp;"","")="","",HYPERLINK(INDEX('Google Drive Map'!$G$4:$G$33,MATCH(P266,'Google Drive Map'!$B$4:$B$33,0)),"Open")))</f>
        <v/>
      </c>
      <c r="R266" s="7">
        <f>IF(AND(A266="",B266="",C266=""),"",TRIM(IF(AND(D266&lt;&gt;"",ISNA(MATCH(D266,'Google Drive Map'!$A$4:$A$33,0))),"Folder code isn't on the folder map. ","")&amp;IF(AND(C266&lt;&gt;"",NOT(ISNUMBER(C266))),"No. must be a whole number. ","")&amp;IF(AND(D266&lt;&gt;"",B266&lt;&gt;"",C266=""),"Type the next free no. ","")&amp;IF(AND(F266&lt;&gt;"",COUNTIF(F$4:F$303,F266)&gt;1),"Duplicate Doc ID. ","")))</f>
        <v/>
      </c>
      <c r="S266" s="22" t="n"/>
      <c r="T266" s="23" t="n"/>
    </row>
    <row r="267">
      <c r="A267" s="35" t="n"/>
      <c r="B267" s="22" t="n"/>
      <c r="C267" s="22" t="n"/>
      <c r="D267" s="7">
        <f>IF(A267="","",IF(ISNUMBER(A267),TEXT(A267,"00"),TRIM(A267)))</f>
        <v/>
      </c>
      <c r="E267" s="7">
        <f t="array" ref="E267">IF(OR(D267="",B267=""),"",MAX(IF((D$4:D$303=D267)*(B$4:B$303=B267)*ISNUMBER(C$4:C$303),C$4:C$303,0))+1)</f>
        <v/>
      </c>
      <c r="F267" s="7">
        <f>IF(OR(D267="",B267="",NOT(ISNUMBER(C267))),"",D267&amp;"-"&amp;B267&amp;"-"&amp;TEXT(C267,"000"))</f>
        <v/>
      </c>
      <c r="G267" s="23" t="n"/>
      <c r="H267" s="22" t="n"/>
      <c r="I267" s="24" t="n"/>
      <c r="J267" s="22" t="n"/>
      <c r="K267" s="22" t="n"/>
      <c r="L267" s="22" t="n"/>
      <c r="M267" s="22" t="n"/>
      <c r="N267" s="22" t="n"/>
      <c r="O267" s="7">
        <f>IF(F267="","",F267&amp;"_"&amp;SUBSTITUTE(SUBSTITUTE(SUBSTITUTE(SUBSTITUTE(SUBSTITUTE(SUBSTITUTE(SUBSTITUTE(SUBSTITUTE(SUBSTITUTE(SUBSTITUTE(TRIM(G267)," ","-"),"/","-"),"\","-"),":","-"),"*","-"),"?","-"),"""","-"),"&lt;","-"),"&gt;","-"),"|","-")&amp;IF(H267="","","_Rev"&amp;H267))</f>
        <v/>
      </c>
      <c r="P267" s="7">
        <f>IF(D267="","",IF(L267="Superseded","99 Archive",IF(AND(D267="04",K267&lt;&gt;""),IFERROR(INDEX('Google Drive Map'!$B$4:$B$33,MATCH("04/"&amp;LEFT(K267,2),'Google Drive Map'!$A$4:$A$33,0)),"04 Trades &amp; Tenders/"&amp;K267),IFERROR(INDEX('Google Drive Map'!$B$4:$B$33,MATCH(D267,'Google Drive Map'!$A$4:$A$33,0)),""))))</f>
        <v/>
      </c>
      <c r="Q267" s="7">
        <f>IF(P267="","",IF(IFERROR(INDEX('Google Drive Map'!$G$4:$G$33,MATCH(P267,'Google Drive Map'!$B$4:$B$33,0))&amp;"","")="","",HYPERLINK(INDEX('Google Drive Map'!$G$4:$G$33,MATCH(P267,'Google Drive Map'!$B$4:$B$33,0)),"Open")))</f>
        <v/>
      </c>
      <c r="R267" s="7">
        <f>IF(AND(A267="",B267="",C267=""),"",TRIM(IF(AND(D267&lt;&gt;"",ISNA(MATCH(D267,'Google Drive Map'!$A$4:$A$33,0))),"Folder code isn't on the folder map. ","")&amp;IF(AND(C267&lt;&gt;"",NOT(ISNUMBER(C267))),"No. must be a whole number. ","")&amp;IF(AND(D267&lt;&gt;"",B267&lt;&gt;"",C267=""),"Type the next free no. ","")&amp;IF(AND(F267&lt;&gt;"",COUNTIF(F$4:F$303,F267)&gt;1),"Duplicate Doc ID. ","")))</f>
        <v/>
      </c>
      <c r="S267" s="22" t="n"/>
      <c r="T267" s="23" t="n"/>
    </row>
    <row r="268">
      <c r="A268" s="35" t="n"/>
      <c r="B268" s="22" t="n"/>
      <c r="C268" s="22" t="n"/>
      <c r="D268" s="7">
        <f>IF(A268="","",IF(ISNUMBER(A268),TEXT(A268,"00"),TRIM(A268)))</f>
        <v/>
      </c>
      <c r="E268" s="7">
        <f t="array" ref="E268">IF(OR(D268="",B268=""),"",MAX(IF((D$4:D$303=D268)*(B$4:B$303=B268)*ISNUMBER(C$4:C$303),C$4:C$303,0))+1)</f>
        <v/>
      </c>
      <c r="F268" s="7">
        <f>IF(OR(D268="",B268="",NOT(ISNUMBER(C268))),"",D268&amp;"-"&amp;B268&amp;"-"&amp;TEXT(C268,"000"))</f>
        <v/>
      </c>
      <c r="G268" s="23" t="n"/>
      <c r="H268" s="22" t="n"/>
      <c r="I268" s="24" t="n"/>
      <c r="J268" s="22" t="n"/>
      <c r="K268" s="22" t="n"/>
      <c r="L268" s="22" t="n"/>
      <c r="M268" s="22" t="n"/>
      <c r="N268" s="22" t="n"/>
      <c r="O268" s="7">
        <f>IF(F268="","",F268&amp;"_"&amp;SUBSTITUTE(SUBSTITUTE(SUBSTITUTE(SUBSTITUTE(SUBSTITUTE(SUBSTITUTE(SUBSTITUTE(SUBSTITUTE(SUBSTITUTE(SUBSTITUTE(TRIM(G268)," ","-"),"/","-"),"\","-"),":","-"),"*","-"),"?","-"),"""","-"),"&lt;","-"),"&gt;","-"),"|","-")&amp;IF(H268="","","_Rev"&amp;H268))</f>
        <v/>
      </c>
      <c r="P268" s="7">
        <f>IF(D268="","",IF(L268="Superseded","99 Archive",IF(AND(D268="04",K268&lt;&gt;""),IFERROR(INDEX('Google Drive Map'!$B$4:$B$33,MATCH("04/"&amp;LEFT(K268,2),'Google Drive Map'!$A$4:$A$33,0)),"04 Trades &amp; Tenders/"&amp;K268),IFERROR(INDEX('Google Drive Map'!$B$4:$B$33,MATCH(D268,'Google Drive Map'!$A$4:$A$33,0)),""))))</f>
        <v/>
      </c>
      <c r="Q268" s="7">
        <f>IF(P268="","",IF(IFERROR(INDEX('Google Drive Map'!$G$4:$G$33,MATCH(P268,'Google Drive Map'!$B$4:$B$33,0))&amp;"","")="","",HYPERLINK(INDEX('Google Drive Map'!$G$4:$G$33,MATCH(P268,'Google Drive Map'!$B$4:$B$33,0)),"Open")))</f>
        <v/>
      </c>
      <c r="R268" s="7">
        <f>IF(AND(A268="",B268="",C268=""),"",TRIM(IF(AND(D268&lt;&gt;"",ISNA(MATCH(D268,'Google Drive Map'!$A$4:$A$33,0))),"Folder code isn't on the folder map. ","")&amp;IF(AND(C268&lt;&gt;"",NOT(ISNUMBER(C268))),"No. must be a whole number. ","")&amp;IF(AND(D268&lt;&gt;"",B268&lt;&gt;"",C268=""),"Type the next free no. ","")&amp;IF(AND(F268&lt;&gt;"",COUNTIF(F$4:F$303,F268)&gt;1),"Duplicate Doc ID. ","")))</f>
        <v/>
      </c>
      <c r="S268" s="22" t="n"/>
      <c r="T268" s="23" t="n"/>
    </row>
    <row r="269">
      <c r="A269" s="35" t="n"/>
      <c r="B269" s="22" t="n"/>
      <c r="C269" s="22" t="n"/>
      <c r="D269" s="7">
        <f>IF(A269="","",IF(ISNUMBER(A269),TEXT(A269,"00"),TRIM(A269)))</f>
        <v/>
      </c>
      <c r="E269" s="7">
        <f t="array" ref="E269">IF(OR(D269="",B269=""),"",MAX(IF((D$4:D$303=D269)*(B$4:B$303=B269)*ISNUMBER(C$4:C$303),C$4:C$303,0))+1)</f>
        <v/>
      </c>
      <c r="F269" s="7">
        <f>IF(OR(D269="",B269="",NOT(ISNUMBER(C269))),"",D269&amp;"-"&amp;B269&amp;"-"&amp;TEXT(C269,"000"))</f>
        <v/>
      </c>
      <c r="G269" s="23" t="n"/>
      <c r="H269" s="22" t="n"/>
      <c r="I269" s="24" t="n"/>
      <c r="J269" s="22" t="n"/>
      <c r="K269" s="22" t="n"/>
      <c r="L269" s="22" t="n"/>
      <c r="M269" s="22" t="n"/>
      <c r="N269" s="22" t="n"/>
      <c r="O269" s="7">
        <f>IF(F269="","",F269&amp;"_"&amp;SUBSTITUTE(SUBSTITUTE(SUBSTITUTE(SUBSTITUTE(SUBSTITUTE(SUBSTITUTE(SUBSTITUTE(SUBSTITUTE(SUBSTITUTE(SUBSTITUTE(TRIM(G269)," ","-"),"/","-"),"\","-"),":","-"),"*","-"),"?","-"),"""","-"),"&lt;","-"),"&gt;","-"),"|","-")&amp;IF(H269="","","_Rev"&amp;H269))</f>
        <v/>
      </c>
      <c r="P269" s="7">
        <f>IF(D269="","",IF(L269="Superseded","99 Archive",IF(AND(D269="04",K269&lt;&gt;""),IFERROR(INDEX('Google Drive Map'!$B$4:$B$33,MATCH("04/"&amp;LEFT(K269,2),'Google Drive Map'!$A$4:$A$33,0)),"04 Trades &amp; Tenders/"&amp;K269),IFERROR(INDEX('Google Drive Map'!$B$4:$B$33,MATCH(D269,'Google Drive Map'!$A$4:$A$33,0)),""))))</f>
        <v/>
      </c>
      <c r="Q269" s="7">
        <f>IF(P269="","",IF(IFERROR(INDEX('Google Drive Map'!$G$4:$G$33,MATCH(P269,'Google Drive Map'!$B$4:$B$33,0))&amp;"","")="","",HYPERLINK(INDEX('Google Drive Map'!$G$4:$G$33,MATCH(P269,'Google Drive Map'!$B$4:$B$33,0)),"Open")))</f>
        <v/>
      </c>
      <c r="R269" s="7">
        <f>IF(AND(A269="",B269="",C269=""),"",TRIM(IF(AND(D269&lt;&gt;"",ISNA(MATCH(D269,'Google Drive Map'!$A$4:$A$33,0))),"Folder code isn't on the folder map. ","")&amp;IF(AND(C269&lt;&gt;"",NOT(ISNUMBER(C269))),"No. must be a whole number. ","")&amp;IF(AND(D269&lt;&gt;"",B269&lt;&gt;"",C269=""),"Type the next free no. ","")&amp;IF(AND(F269&lt;&gt;"",COUNTIF(F$4:F$303,F269)&gt;1),"Duplicate Doc ID. ","")))</f>
        <v/>
      </c>
      <c r="S269" s="22" t="n"/>
      <c r="T269" s="23" t="n"/>
    </row>
    <row r="270">
      <c r="A270" s="35" t="n"/>
      <c r="B270" s="22" t="n"/>
      <c r="C270" s="22" t="n"/>
      <c r="D270" s="7">
        <f>IF(A270="","",IF(ISNUMBER(A270),TEXT(A270,"00"),TRIM(A270)))</f>
        <v/>
      </c>
      <c r="E270" s="7">
        <f t="array" ref="E270">IF(OR(D270="",B270=""),"",MAX(IF((D$4:D$303=D270)*(B$4:B$303=B270)*ISNUMBER(C$4:C$303),C$4:C$303,0))+1)</f>
        <v/>
      </c>
      <c r="F270" s="7">
        <f>IF(OR(D270="",B270="",NOT(ISNUMBER(C270))),"",D270&amp;"-"&amp;B270&amp;"-"&amp;TEXT(C270,"000"))</f>
        <v/>
      </c>
      <c r="G270" s="23" t="n"/>
      <c r="H270" s="22" t="n"/>
      <c r="I270" s="24" t="n"/>
      <c r="J270" s="22" t="n"/>
      <c r="K270" s="22" t="n"/>
      <c r="L270" s="22" t="n"/>
      <c r="M270" s="22" t="n"/>
      <c r="N270" s="22" t="n"/>
      <c r="O270" s="7">
        <f>IF(F270="","",F270&amp;"_"&amp;SUBSTITUTE(SUBSTITUTE(SUBSTITUTE(SUBSTITUTE(SUBSTITUTE(SUBSTITUTE(SUBSTITUTE(SUBSTITUTE(SUBSTITUTE(SUBSTITUTE(TRIM(G270)," ","-"),"/","-"),"\","-"),":","-"),"*","-"),"?","-"),"""","-"),"&lt;","-"),"&gt;","-"),"|","-")&amp;IF(H270="","","_Rev"&amp;H270))</f>
        <v/>
      </c>
      <c r="P270" s="7">
        <f>IF(D270="","",IF(L270="Superseded","99 Archive",IF(AND(D270="04",K270&lt;&gt;""),IFERROR(INDEX('Google Drive Map'!$B$4:$B$33,MATCH("04/"&amp;LEFT(K270,2),'Google Drive Map'!$A$4:$A$33,0)),"04 Trades &amp; Tenders/"&amp;K270),IFERROR(INDEX('Google Drive Map'!$B$4:$B$33,MATCH(D270,'Google Drive Map'!$A$4:$A$33,0)),""))))</f>
        <v/>
      </c>
      <c r="Q270" s="7">
        <f>IF(P270="","",IF(IFERROR(INDEX('Google Drive Map'!$G$4:$G$33,MATCH(P270,'Google Drive Map'!$B$4:$B$33,0))&amp;"","")="","",HYPERLINK(INDEX('Google Drive Map'!$G$4:$G$33,MATCH(P270,'Google Drive Map'!$B$4:$B$33,0)),"Open")))</f>
        <v/>
      </c>
      <c r="R270" s="7">
        <f>IF(AND(A270="",B270="",C270=""),"",TRIM(IF(AND(D270&lt;&gt;"",ISNA(MATCH(D270,'Google Drive Map'!$A$4:$A$33,0))),"Folder code isn't on the folder map. ","")&amp;IF(AND(C270&lt;&gt;"",NOT(ISNUMBER(C270))),"No. must be a whole number. ","")&amp;IF(AND(D270&lt;&gt;"",B270&lt;&gt;"",C270=""),"Type the next free no. ","")&amp;IF(AND(F270&lt;&gt;"",COUNTIF(F$4:F$303,F270)&gt;1),"Duplicate Doc ID. ","")))</f>
        <v/>
      </c>
      <c r="S270" s="22" t="n"/>
      <c r="T270" s="23" t="n"/>
    </row>
    <row r="271">
      <c r="A271" s="35" t="n"/>
      <c r="B271" s="22" t="n"/>
      <c r="C271" s="22" t="n"/>
      <c r="D271" s="7">
        <f>IF(A271="","",IF(ISNUMBER(A271),TEXT(A271,"00"),TRIM(A271)))</f>
        <v/>
      </c>
      <c r="E271" s="7">
        <f t="array" ref="E271">IF(OR(D271="",B271=""),"",MAX(IF((D$4:D$303=D271)*(B$4:B$303=B271)*ISNUMBER(C$4:C$303),C$4:C$303,0))+1)</f>
        <v/>
      </c>
      <c r="F271" s="7">
        <f>IF(OR(D271="",B271="",NOT(ISNUMBER(C271))),"",D271&amp;"-"&amp;B271&amp;"-"&amp;TEXT(C271,"000"))</f>
        <v/>
      </c>
      <c r="G271" s="23" t="n"/>
      <c r="H271" s="22" t="n"/>
      <c r="I271" s="24" t="n"/>
      <c r="J271" s="22" t="n"/>
      <c r="K271" s="22" t="n"/>
      <c r="L271" s="22" t="n"/>
      <c r="M271" s="22" t="n"/>
      <c r="N271" s="22" t="n"/>
      <c r="O271" s="7">
        <f>IF(F271="","",F271&amp;"_"&amp;SUBSTITUTE(SUBSTITUTE(SUBSTITUTE(SUBSTITUTE(SUBSTITUTE(SUBSTITUTE(SUBSTITUTE(SUBSTITUTE(SUBSTITUTE(SUBSTITUTE(TRIM(G271)," ","-"),"/","-"),"\","-"),":","-"),"*","-"),"?","-"),"""","-"),"&lt;","-"),"&gt;","-"),"|","-")&amp;IF(H271="","","_Rev"&amp;H271))</f>
        <v/>
      </c>
      <c r="P271" s="7">
        <f>IF(D271="","",IF(L271="Superseded","99 Archive",IF(AND(D271="04",K271&lt;&gt;""),IFERROR(INDEX('Google Drive Map'!$B$4:$B$33,MATCH("04/"&amp;LEFT(K271,2),'Google Drive Map'!$A$4:$A$33,0)),"04 Trades &amp; Tenders/"&amp;K271),IFERROR(INDEX('Google Drive Map'!$B$4:$B$33,MATCH(D271,'Google Drive Map'!$A$4:$A$33,0)),""))))</f>
        <v/>
      </c>
      <c r="Q271" s="7">
        <f>IF(P271="","",IF(IFERROR(INDEX('Google Drive Map'!$G$4:$G$33,MATCH(P271,'Google Drive Map'!$B$4:$B$33,0))&amp;"","")="","",HYPERLINK(INDEX('Google Drive Map'!$G$4:$G$33,MATCH(P271,'Google Drive Map'!$B$4:$B$33,0)),"Open")))</f>
        <v/>
      </c>
      <c r="R271" s="7">
        <f>IF(AND(A271="",B271="",C271=""),"",TRIM(IF(AND(D271&lt;&gt;"",ISNA(MATCH(D271,'Google Drive Map'!$A$4:$A$33,0))),"Folder code isn't on the folder map. ","")&amp;IF(AND(C271&lt;&gt;"",NOT(ISNUMBER(C271))),"No. must be a whole number. ","")&amp;IF(AND(D271&lt;&gt;"",B271&lt;&gt;"",C271=""),"Type the next free no. ","")&amp;IF(AND(F271&lt;&gt;"",COUNTIF(F$4:F$303,F271)&gt;1),"Duplicate Doc ID. ","")))</f>
        <v/>
      </c>
      <c r="S271" s="22" t="n"/>
      <c r="T271" s="23" t="n"/>
    </row>
    <row r="272">
      <c r="A272" s="35" t="n"/>
      <c r="B272" s="22" t="n"/>
      <c r="C272" s="22" t="n"/>
      <c r="D272" s="7">
        <f>IF(A272="","",IF(ISNUMBER(A272),TEXT(A272,"00"),TRIM(A272)))</f>
        <v/>
      </c>
      <c r="E272" s="7">
        <f t="array" ref="E272">IF(OR(D272="",B272=""),"",MAX(IF((D$4:D$303=D272)*(B$4:B$303=B272)*ISNUMBER(C$4:C$303),C$4:C$303,0))+1)</f>
        <v/>
      </c>
      <c r="F272" s="7">
        <f>IF(OR(D272="",B272="",NOT(ISNUMBER(C272))),"",D272&amp;"-"&amp;B272&amp;"-"&amp;TEXT(C272,"000"))</f>
        <v/>
      </c>
      <c r="G272" s="23" t="n"/>
      <c r="H272" s="22" t="n"/>
      <c r="I272" s="24" t="n"/>
      <c r="J272" s="22" t="n"/>
      <c r="K272" s="22" t="n"/>
      <c r="L272" s="22" t="n"/>
      <c r="M272" s="22" t="n"/>
      <c r="N272" s="22" t="n"/>
      <c r="O272" s="7">
        <f>IF(F272="","",F272&amp;"_"&amp;SUBSTITUTE(SUBSTITUTE(SUBSTITUTE(SUBSTITUTE(SUBSTITUTE(SUBSTITUTE(SUBSTITUTE(SUBSTITUTE(SUBSTITUTE(SUBSTITUTE(TRIM(G272)," ","-"),"/","-"),"\","-"),":","-"),"*","-"),"?","-"),"""","-"),"&lt;","-"),"&gt;","-"),"|","-")&amp;IF(H272="","","_Rev"&amp;H272))</f>
        <v/>
      </c>
      <c r="P272" s="7">
        <f>IF(D272="","",IF(L272="Superseded","99 Archive",IF(AND(D272="04",K272&lt;&gt;""),IFERROR(INDEX('Google Drive Map'!$B$4:$B$33,MATCH("04/"&amp;LEFT(K272,2),'Google Drive Map'!$A$4:$A$33,0)),"04 Trades &amp; Tenders/"&amp;K272),IFERROR(INDEX('Google Drive Map'!$B$4:$B$33,MATCH(D272,'Google Drive Map'!$A$4:$A$33,0)),""))))</f>
        <v/>
      </c>
      <c r="Q272" s="7">
        <f>IF(P272="","",IF(IFERROR(INDEX('Google Drive Map'!$G$4:$G$33,MATCH(P272,'Google Drive Map'!$B$4:$B$33,0))&amp;"","")="","",HYPERLINK(INDEX('Google Drive Map'!$G$4:$G$33,MATCH(P272,'Google Drive Map'!$B$4:$B$33,0)),"Open")))</f>
        <v/>
      </c>
      <c r="R272" s="7">
        <f>IF(AND(A272="",B272="",C272=""),"",TRIM(IF(AND(D272&lt;&gt;"",ISNA(MATCH(D272,'Google Drive Map'!$A$4:$A$33,0))),"Folder code isn't on the folder map. ","")&amp;IF(AND(C272&lt;&gt;"",NOT(ISNUMBER(C272))),"No. must be a whole number. ","")&amp;IF(AND(D272&lt;&gt;"",B272&lt;&gt;"",C272=""),"Type the next free no. ","")&amp;IF(AND(F272&lt;&gt;"",COUNTIF(F$4:F$303,F272)&gt;1),"Duplicate Doc ID. ","")))</f>
        <v/>
      </c>
      <c r="S272" s="22" t="n"/>
      <c r="T272" s="23" t="n"/>
    </row>
    <row r="273">
      <c r="A273" s="35" t="n"/>
      <c r="B273" s="22" t="n"/>
      <c r="C273" s="22" t="n"/>
      <c r="D273" s="7">
        <f>IF(A273="","",IF(ISNUMBER(A273),TEXT(A273,"00"),TRIM(A273)))</f>
        <v/>
      </c>
      <c r="E273" s="7">
        <f t="array" ref="E273">IF(OR(D273="",B273=""),"",MAX(IF((D$4:D$303=D273)*(B$4:B$303=B273)*ISNUMBER(C$4:C$303),C$4:C$303,0))+1)</f>
        <v/>
      </c>
      <c r="F273" s="7">
        <f>IF(OR(D273="",B273="",NOT(ISNUMBER(C273))),"",D273&amp;"-"&amp;B273&amp;"-"&amp;TEXT(C273,"000"))</f>
        <v/>
      </c>
      <c r="G273" s="23" t="n"/>
      <c r="H273" s="22" t="n"/>
      <c r="I273" s="24" t="n"/>
      <c r="J273" s="22" t="n"/>
      <c r="K273" s="22" t="n"/>
      <c r="L273" s="22" t="n"/>
      <c r="M273" s="22" t="n"/>
      <c r="N273" s="22" t="n"/>
      <c r="O273" s="7">
        <f>IF(F273="","",F273&amp;"_"&amp;SUBSTITUTE(SUBSTITUTE(SUBSTITUTE(SUBSTITUTE(SUBSTITUTE(SUBSTITUTE(SUBSTITUTE(SUBSTITUTE(SUBSTITUTE(SUBSTITUTE(TRIM(G273)," ","-"),"/","-"),"\","-"),":","-"),"*","-"),"?","-"),"""","-"),"&lt;","-"),"&gt;","-"),"|","-")&amp;IF(H273="","","_Rev"&amp;H273))</f>
        <v/>
      </c>
      <c r="P273" s="7">
        <f>IF(D273="","",IF(L273="Superseded","99 Archive",IF(AND(D273="04",K273&lt;&gt;""),IFERROR(INDEX('Google Drive Map'!$B$4:$B$33,MATCH("04/"&amp;LEFT(K273,2),'Google Drive Map'!$A$4:$A$33,0)),"04 Trades &amp; Tenders/"&amp;K273),IFERROR(INDEX('Google Drive Map'!$B$4:$B$33,MATCH(D273,'Google Drive Map'!$A$4:$A$33,0)),""))))</f>
        <v/>
      </c>
      <c r="Q273" s="7">
        <f>IF(P273="","",IF(IFERROR(INDEX('Google Drive Map'!$G$4:$G$33,MATCH(P273,'Google Drive Map'!$B$4:$B$33,0))&amp;"","")="","",HYPERLINK(INDEX('Google Drive Map'!$G$4:$G$33,MATCH(P273,'Google Drive Map'!$B$4:$B$33,0)),"Open")))</f>
        <v/>
      </c>
      <c r="R273" s="7">
        <f>IF(AND(A273="",B273="",C273=""),"",TRIM(IF(AND(D273&lt;&gt;"",ISNA(MATCH(D273,'Google Drive Map'!$A$4:$A$33,0))),"Folder code isn't on the folder map. ","")&amp;IF(AND(C273&lt;&gt;"",NOT(ISNUMBER(C273))),"No. must be a whole number. ","")&amp;IF(AND(D273&lt;&gt;"",B273&lt;&gt;"",C273=""),"Type the next free no. ","")&amp;IF(AND(F273&lt;&gt;"",COUNTIF(F$4:F$303,F273)&gt;1),"Duplicate Doc ID. ","")))</f>
        <v/>
      </c>
      <c r="S273" s="22" t="n"/>
      <c r="T273" s="23" t="n"/>
    </row>
    <row r="274">
      <c r="A274" s="35" t="n"/>
      <c r="B274" s="22" t="n"/>
      <c r="C274" s="22" t="n"/>
      <c r="D274" s="7">
        <f>IF(A274="","",IF(ISNUMBER(A274),TEXT(A274,"00"),TRIM(A274)))</f>
        <v/>
      </c>
      <c r="E274" s="7">
        <f t="array" ref="E274">IF(OR(D274="",B274=""),"",MAX(IF((D$4:D$303=D274)*(B$4:B$303=B274)*ISNUMBER(C$4:C$303),C$4:C$303,0))+1)</f>
        <v/>
      </c>
      <c r="F274" s="7">
        <f>IF(OR(D274="",B274="",NOT(ISNUMBER(C274))),"",D274&amp;"-"&amp;B274&amp;"-"&amp;TEXT(C274,"000"))</f>
        <v/>
      </c>
      <c r="G274" s="23" t="n"/>
      <c r="H274" s="22" t="n"/>
      <c r="I274" s="24" t="n"/>
      <c r="J274" s="22" t="n"/>
      <c r="K274" s="22" t="n"/>
      <c r="L274" s="22" t="n"/>
      <c r="M274" s="22" t="n"/>
      <c r="N274" s="22" t="n"/>
      <c r="O274" s="7">
        <f>IF(F274="","",F274&amp;"_"&amp;SUBSTITUTE(SUBSTITUTE(SUBSTITUTE(SUBSTITUTE(SUBSTITUTE(SUBSTITUTE(SUBSTITUTE(SUBSTITUTE(SUBSTITUTE(SUBSTITUTE(TRIM(G274)," ","-"),"/","-"),"\","-"),":","-"),"*","-"),"?","-"),"""","-"),"&lt;","-"),"&gt;","-"),"|","-")&amp;IF(H274="","","_Rev"&amp;H274))</f>
        <v/>
      </c>
      <c r="P274" s="7">
        <f>IF(D274="","",IF(L274="Superseded","99 Archive",IF(AND(D274="04",K274&lt;&gt;""),IFERROR(INDEX('Google Drive Map'!$B$4:$B$33,MATCH("04/"&amp;LEFT(K274,2),'Google Drive Map'!$A$4:$A$33,0)),"04 Trades &amp; Tenders/"&amp;K274),IFERROR(INDEX('Google Drive Map'!$B$4:$B$33,MATCH(D274,'Google Drive Map'!$A$4:$A$33,0)),""))))</f>
        <v/>
      </c>
      <c r="Q274" s="7">
        <f>IF(P274="","",IF(IFERROR(INDEX('Google Drive Map'!$G$4:$G$33,MATCH(P274,'Google Drive Map'!$B$4:$B$33,0))&amp;"","")="","",HYPERLINK(INDEX('Google Drive Map'!$G$4:$G$33,MATCH(P274,'Google Drive Map'!$B$4:$B$33,0)),"Open")))</f>
        <v/>
      </c>
      <c r="R274" s="7">
        <f>IF(AND(A274="",B274="",C274=""),"",TRIM(IF(AND(D274&lt;&gt;"",ISNA(MATCH(D274,'Google Drive Map'!$A$4:$A$33,0))),"Folder code isn't on the folder map. ","")&amp;IF(AND(C274&lt;&gt;"",NOT(ISNUMBER(C274))),"No. must be a whole number. ","")&amp;IF(AND(D274&lt;&gt;"",B274&lt;&gt;"",C274=""),"Type the next free no. ","")&amp;IF(AND(F274&lt;&gt;"",COUNTIF(F$4:F$303,F274)&gt;1),"Duplicate Doc ID. ","")))</f>
        <v/>
      </c>
      <c r="S274" s="22" t="n"/>
      <c r="T274" s="23" t="n"/>
    </row>
    <row r="275">
      <c r="A275" s="35" t="n"/>
      <c r="B275" s="22" t="n"/>
      <c r="C275" s="22" t="n"/>
      <c r="D275" s="7">
        <f>IF(A275="","",IF(ISNUMBER(A275),TEXT(A275,"00"),TRIM(A275)))</f>
        <v/>
      </c>
      <c r="E275" s="7">
        <f t="array" ref="E275">IF(OR(D275="",B275=""),"",MAX(IF((D$4:D$303=D275)*(B$4:B$303=B275)*ISNUMBER(C$4:C$303),C$4:C$303,0))+1)</f>
        <v/>
      </c>
      <c r="F275" s="7">
        <f>IF(OR(D275="",B275="",NOT(ISNUMBER(C275))),"",D275&amp;"-"&amp;B275&amp;"-"&amp;TEXT(C275,"000"))</f>
        <v/>
      </c>
      <c r="G275" s="23" t="n"/>
      <c r="H275" s="22" t="n"/>
      <c r="I275" s="24" t="n"/>
      <c r="J275" s="22" t="n"/>
      <c r="K275" s="22" t="n"/>
      <c r="L275" s="22" t="n"/>
      <c r="M275" s="22" t="n"/>
      <c r="N275" s="22" t="n"/>
      <c r="O275" s="7">
        <f>IF(F275="","",F275&amp;"_"&amp;SUBSTITUTE(SUBSTITUTE(SUBSTITUTE(SUBSTITUTE(SUBSTITUTE(SUBSTITUTE(SUBSTITUTE(SUBSTITUTE(SUBSTITUTE(SUBSTITUTE(TRIM(G275)," ","-"),"/","-"),"\","-"),":","-"),"*","-"),"?","-"),"""","-"),"&lt;","-"),"&gt;","-"),"|","-")&amp;IF(H275="","","_Rev"&amp;H275))</f>
        <v/>
      </c>
      <c r="P275" s="7">
        <f>IF(D275="","",IF(L275="Superseded","99 Archive",IF(AND(D275="04",K275&lt;&gt;""),IFERROR(INDEX('Google Drive Map'!$B$4:$B$33,MATCH("04/"&amp;LEFT(K275,2),'Google Drive Map'!$A$4:$A$33,0)),"04 Trades &amp; Tenders/"&amp;K275),IFERROR(INDEX('Google Drive Map'!$B$4:$B$33,MATCH(D275,'Google Drive Map'!$A$4:$A$33,0)),""))))</f>
        <v/>
      </c>
      <c r="Q275" s="7">
        <f>IF(P275="","",IF(IFERROR(INDEX('Google Drive Map'!$G$4:$G$33,MATCH(P275,'Google Drive Map'!$B$4:$B$33,0))&amp;"","")="","",HYPERLINK(INDEX('Google Drive Map'!$G$4:$G$33,MATCH(P275,'Google Drive Map'!$B$4:$B$33,0)),"Open")))</f>
        <v/>
      </c>
      <c r="R275" s="7">
        <f>IF(AND(A275="",B275="",C275=""),"",TRIM(IF(AND(D275&lt;&gt;"",ISNA(MATCH(D275,'Google Drive Map'!$A$4:$A$33,0))),"Folder code isn't on the folder map. ","")&amp;IF(AND(C275&lt;&gt;"",NOT(ISNUMBER(C275))),"No. must be a whole number. ","")&amp;IF(AND(D275&lt;&gt;"",B275&lt;&gt;"",C275=""),"Type the next free no. ","")&amp;IF(AND(F275&lt;&gt;"",COUNTIF(F$4:F$303,F275)&gt;1),"Duplicate Doc ID. ","")))</f>
        <v/>
      </c>
      <c r="S275" s="22" t="n"/>
      <c r="T275" s="23" t="n"/>
    </row>
    <row r="276">
      <c r="A276" s="35" t="n"/>
      <c r="B276" s="22" t="n"/>
      <c r="C276" s="22" t="n"/>
      <c r="D276" s="7">
        <f>IF(A276="","",IF(ISNUMBER(A276),TEXT(A276,"00"),TRIM(A276)))</f>
        <v/>
      </c>
      <c r="E276" s="7">
        <f t="array" ref="E276">IF(OR(D276="",B276=""),"",MAX(IF((D$4:D$303=D276)*(B$4:B$303=B276)*ISNUMBER(C$4:C$303),C$4:C$303,0))+1)</f>
        <v/>
      </c>
      <c r="F276" s="7">
        <f>IF(OR(D276="",B276="",NOT(ISNUMBER(C276))),"",D276&amp;"-"&amp;B276&amp;"-"&amp;TEXT(C276,"000"))</f>
        <v/>
      </c>
      <c r="G276" s="23" t="n"/>
      <c r="H276" s="22" t="n"/>
      <c r="I276" s="24" t="n"/>
      <c r="J276" s="22" t="n"/>
      <c r="K276" s="22" t="n"/>
      <c r="L276" s="22" t="n"/>
      <c r="M276" s="22" t="n"/>
      <c r="N276" s="22" t="n"/>
      <c r="O276" s="7">
        <f>IF(F276="","",F276&amp;"_"&amp;SUBSTITUTE(SUBSTITUTE(SUBSTITUTE(SUBSTITUTE(SUBSTITUTE(SUBSTITUTE(SUBSTITUTE(SUBSTITUTE(SUBSTITUTE(SUBSTITUTE(TRIM(G276)," ","-"),"/","-"),"\","-"),":","-"),"*","-"),"?","-"),"""","-"),"&lt;","-"),"&gt;","-"),"|","-")&amp;IF(H276="","","_Rev"&amp;H276))</f>
        <v/>
      </c>
      <c r="P276" s="7">
        <f>IF(D276="","",IF(L276="Superseded","99 Archive",IF(AND(D276="04",K276&lt;&gt;""),IFERROR(INDEX('Google Drive Map'!$B$4:$B$33,MATCH("04/"&amp;LEFT(K276,2),'Google Drive Map'!$A$4:$A$33,0)),"04 Trades &amp; Tenders/"&amp;K276),IFERROR(INDEX('Google Drive Map'!$B$4:$B$33,MATCH(D276,'Google Drive Map'!$A$4:$A$33,0)),""))))</f>
        <v/>
      </c>
      <c r="Q276" s="7">
        <f>IF(P276="","",IF(IFERROR(INDEX('Google Drive Map'!$G$4:$G$33,MATCH(P276,'Google Drive Map'!$B$4:$B$33,0))&amp;"","")="","",HYPERLINK(INDEX('Google Drive Map'!$G$4:$G$33,MATCH(P276,'Google Drive Map'!$B$4:$B$33,0)),"Open")))</f>
        <v/>
      </c>
      <c r="R276" s="7">
        <f>IF(AND(A276="",B276="",C276=""),"",TRIM(IF(AND(D276&lt;&gt;"",ISNA(MATCH(D276,'Google Drive Map'!$A$4:$A$33,0))),"Folder code isn't on the folder map. ","")&amp;IF(AND(C276&lt;&gt;"",NOT(ISNUMBER(C276))),"No. must be a whole number. ","")&amp;IF(AND(D276&lt;&gt;"",B276&lt;&gt;"",C276=""),"Type the next free no. ","")&amp;IF(AND(F276&lt;&gt;"",COUNTIF(F$4:F$303,F276)&gt;1),"Duplicate Doc ID. ","")))</f>
        <v/>
      </c>
      <c r="S276" s="22" t="n"/>
      <c r="T276" s="23" t="n"/>
    </row>
    <row r="277">
      <c r="A277" s="35" t="n"/>
      <c r="B277" s="22" t="n"/>
      <c r="C277" s="22" t="n"/>
      <c r="D277" s="7">
        <f>IF(A277="","",IF(ISNUMBER(A277),TEXT(A277,"00"),TRIM(A277)))</f>
        <v/>
      </c>
      <c r="E277" s="7">
        <f t="array" ref="E277">IF(OR(D277="",B277=""),"",MAX(IF((D$4:D$303=D277)*(B$4:B$303=B277)*ISNUMBER(C$4:C$303),C$4:C$303,0))+1)</f>
        <v/>
      </c>
      <c r="F277" s="7">
        <f>IF(OR(D277="",B277="",NOT(ISNUMBER(C277))),"",D277&amp;"-"&amp;B277&amp;"-"&amp;TEXT(C277,"000"))</f>
        <v/>
      </c>
      <c r="G277" s="23" t="n"/>
      <c r="H277" s="22" t="n"/>
      <c r="I277" s="24" t="n"/>
      <c r="J277" s="22" t="n"/>
      <c r="K277" s="22" t="n"/>
      <c r="L277" s="22" t="n"/>
      <c r="M277" s="22" t="n"/>
      <c r="N277" s="22" t="n"/>
      <c r="O277" s="7">
        <f>IF(F277="","",F277&amp;"_"&amp;SUBSTITUTE(SUBSTITUTE(SUBSTITUTE(SUBSTITUTE(SUBSTITUTE(SUBSTITUTE(SUBSTITUTE(SUBSTITUTE(SUBSTITUTE(SUBSTITUTE(TRIM(G277)," ","-"),"/","-"),"\","-"),":","-"),"*","-"),"?","-"),"""","-"),"&lt;","-"),"&gt;","-"),"|","-")&amp;IF(H277="","","_Rev"&amp;H277))</f>
        <v/>
      </c>
      <c r="P277" s="7">
        <f>IF(D277="","",IF(L277="Superseded","99 Archive",IF(AND(D277="04",K277&lt;&gt;""),IFERROR(INDEX('Google Drive Map'!$B$4:$B$33,MATCH("04/"&amp;LEFT(K277,2),'Google Drive Map'!$A$4:$A$33,0)),"04 Trades &amp; Tenders/"&amp;K277),IFERROR(INDEX('Google Drive Map'!$B$4:$B$33,MATCH(D277,'Google Drive Map'!$A$4:$A$33,0)),""))))</f>
        <v/>
      </c>
      <c r="Q277" s="7">
        <f>IF(P277="","",IF(IFERROR(INDEX('Google Drive Map'!$G$4:$G$33,MATCH(P277,'Google Drive Map'!$B$4:$B$33,0))&amp;"","")="","",HYPERLINK(INDEX('Google Drive Map'!$G$4:$G$33,MATCH(P277,'Google Drive Map'!$B$4:$B$33,0)),"Open")))</f>
        <v/>
      </c>
      <c r="R277" s="7">
        <f>IF(AND(A277="",B277="",C277=""),"",TRIM(IF(AND(D277&lt;&gt;"",ISNA(MATCH(D277,'Google Drive Map'!$A$4:$A$33,0))),"Folder code isn't on the folder map. ","")&amp;IF(AND(C277&lt;&gt;"",NOT(ISNUMBER(C277))),"No. must be a whole number. ","")&amp;IF(AND(D277&lt;&gt;"",B277&lt;&gt;"",C277=""),"Type the next free no. ","")&amp;IF(AND(F277&lt;&gt;"",COUNTIF(F$4:F$303,F277)&gt;1),"Duplicate Doc ID. ","")))</f>
        <v/>
      </c>
      <c r="S277" s="22" t="n"/>
      <c r="T277" s="23" t="n"/>
    </row>
    <row r="278">
      <c r="A278" s="35" t="n"/>
      <c r="B278" s="22" t="n"/>
      <c r="C278" s="22" t="n"/>
      <c r="D278" s="7">
        <f>IF(A278="","",IF(ISNUMBER(A278),TEXT(A278,"00"),TRIM(A278)))</f>
        <v/>
      </c>
      <c r="E278" s="7">
        <f t="array" ref="E278">IF(OR(D278="",B278=""),"",MAX(IF((D$4:D$303=D278)*(B$4:B$303=B278)*ISNUMBER(C$4:C$303),C$4:C$303,0))+1)</f>
        <v/>
      </c>
      <c r="F278" s="7">
        <f>IF(OR(D278="",B278="",NOT(ISNUMBER(C278))),"",D278&amp;"-"&amp;B278&amp;"-"&amp;TEXT(C278,"000"))</f>
        <v/>
      </c>
      <c r="G278" s="23" t="n"/>
      <c r="H278" s="22" t="n"/>
      <c r="I278" s="24" t="n"/>
      <c r="J278" s="22" t="n"/>
      <c r="K278" s="22" t="n"/>
      <c r="L278" s="22" t="n"/>
      <c r="M278" s="22" t="n"/>
      <c r="N278" s="22" t="n"/>
      <c r="O278" s="7">
        <f>IF(F278="","",F278&amp;"_"&amp;SUBSTITUTE(SUBSTITUTE(SUBSTITUTE(SUBSTITUTE(SUBSTITUTE(SUBSTITUTE(SUBSTITUTE(SUBSTITUTE(SUBSTITUTE(SUBSTITUTE(TRIM(G278)," ","-"),"/","-"),"\","-"),":","-"),"*","-"),"?","-"),"""","-"),"&lt;","-"),"&gt;","-"),"|","-")&amp;IF(H278="","","_Rev"&amp;H278))</f>
        <v/>
      </c>
      <c r="P278" s="7">
        <f>IF(D278="","",IF(L278="Superseded","99 Archive",IF(AND(D278="04",K278&lt;&gt;""),IFERROR(INDEX('Google Drive Map'!$B$4:$B$33,MATCH("04/"&amp;LEFT(K278,2),'Google Drive Map'!$A$4:$A$33,0)),"04 Trades &amp; Tenders/"&amp;K278),IFERROR(INDEX('Google Drive Map'!$B$4:$B$33,MATCH(D278,'Google Drive Map'!$A$4:$A$33,0)),""))))</f>
        <v/>
      </c>
      <c r="Q278" s="7">
        <f>IF(P278="","",IF(IFERROR(INDEX('Google Drive Map'!$G$4:$G$33,MATCH(P278,'Google Drive Map'!$B$4:$B$33,0))&amp;"","")="","",HYPERLINK(INDEX('Google Drive Map'!$G$4:$G$33,MATCH(P278,'Google Drive Map'!$B$4:$B$33,0)),"Open")))</f>
        <v/>
      </c>
      <c r="R278" s="7">
        <f>IF(AND(A278="",B278="",C278=""),"",TRIM(IF(AND(D278&lt;&gt;"",ISNA(MATCH(D278,'Google Drive Map'!$A$4:$A$33,0))),"Folder code isn't on the folder map. ","")&amp;IF(AND(C278&lt;&gt;"",NOT(ISNUMBER(C278))),"No. must be a whole number. ","")&amp;IF(AND(D278&lt;&gt;"",B278&lt;&gt;"",C278=""),"Type the next free no. ","")&amp;IF(AND(F278&lt;&gt;"",COUNTIF(F$4:F$303,F278)&gt;1),"Duplicate Doc ID. ","")))</f>
        <v/>
      </c>
      <c r="S278" s="22" t="n"/>
      <c r="T278" s="23" t="n"/>
    </row>
    <row r="279">
      <c r="A279" s="35" t="n"/>
      <c r="B279" s="22" t="n"/>
      <c r="C279" s="22" t="n"/>
      <c r="D279" s="7">
        <f>IF(A279="","",IF(ISNUMBER(A279),TEXT(A279,"00"),TRIM(A279)))</f>
        <v/>
      </c>
      <c r="E279" s="7">
        <f t="array" ref="E279">IF(OR(D279="",B279=""),"",MAX(IF((D$4:D$303=D279)*(B$4:B$303=B279)*ISNUMBER(C$4:C$303),C$4:C$303,0))+1)</f>
        <v/>
      </c>
      <c r="F279" s="7">
        <f>IF(OR(D279="",B279="",NOT(ISNUMBER(C279))),"",D279&amp;"-"&amp;B279&amp;"-"&amp;TEXT(C279,"000"))</f>
        <v/>
      </c>
      <c r="G279" s="23" t="n"/>
      <c r="H279" s="22" t="n"/>
      <c r="I279" s="24" t="n"/>
      <c r="J279" s="22" t="n"/>
      <c r="K279" s="22" t="n"/>
      <c r="L279" s="22" t="n"/>
      <c r="M279" s="22" t="n"/>
      <c r="N279" s="22" t="n"/>
      <c r="O279" s="7">
        <f>IF(F279="","",F279&amp;"_"&amp;SUBSTITUTE(SUBSTITUTE(SUBSTITUTE(SUBSTITUTE(SUBSTITUTE(SUBSTITUTE(SUBSTITUTE(SUBSTITUTE(SUBSTITUTE(SUBSTITUTE(TRIM(G279)," ","-"),"/","-"),"\","-"),":","-"),"*","-"),"?","-"),"""","-"),"&lt;","-"),"&gt;","-"),"|","-")&amp;IF(H279="","","_Rev"&amp;H279))</f>
        <v/>
      </c>
      <c r="P279" s="7">
        <f>IF(D279="","",IF(L279="Superseded","99 Archive",IF(AND(D279="04",K279&lt;&gt;""),IFERROR(INDEX('Google Drive Map'!$B$4:$B$33,MATCH("04/"&amp;LEFT(K279,2),'Google Drive Map'!$A$4:$A$33,0)),"04 Trades &amp; Tenders/"&amp;K279),IFERROR(INDEX('Google Drive Map'!$B$4:$B$33,MATCH(D279,'Google Drive Map'!$A$4:$A$33,0)),""))))</f>
        <v/>
      </c>
      <c r="Q279" s="7">
        <f>IF(P279="","",IF(IFERROR(INDEX('Google Drive Map'!$G$4:$G$33,MATCH(P279,'Google Drive Map'!$B$4:$B$33,0))&amp;"","")="","",HYPERLINK(INDEX('Google Drive Map'!$G$4:$G$33,MATCH(P279,'Google Drive Map'!$B$4:$B$33,0)),"Open")))</f>
        <v/>
      </c>
      <c r="R279" s="7">
        <f>IF(AND(A279="",B279="",C279=""),"",TRIM(IF(AND(D279&lt;&gt;"",ISNA(MATCH(D279,'Google Drive Map'!$A$4:$A$33,0))),"Folder code isn't on the folder map. ","")&amp;IF(AND(C279&lt;&gt;"",NOT(ISNUMBER(C279))),"No. must be a whole number. ","")&amp;IF(AND(D279&lt;&gt;"",B279&lt;&gt;"",C279=""),"Type the next free no. ","")&amp;IF(AND(F279&lt;&gt;"",COUNTIF(F$4:F$303,F279)&gt;1),"Duplicate Doc ID. ","")))</f>
        <v/>
      </c>
      <c r="S279" s="22" t="n"/>
      <c r="T279" s="23" t="n"/>
    </row>
    <row r="280">
      <c r="A280" s="35" t="n"/>
      <c r="B280" s="22" t="n"/>
      <c r="C280" s="22" t="n"/>
      <c r="D280" s="7">
        <f>IF(A280="","",IF(ISNUMBER(A280),TEXT(A280,"00"),TRIM(A280)))</f>
        <v/>
      </c>
      <c r="E280" s="7">
        <f t="array" ref="E280">IF(OR(D280="",B280=""),"",MAX(IF((D$4:D$303=D280)*(B$4:B$303=B280)*ISNUMBER(C$4:C$303),C$4:C$303,0))+1)</f>
        <v/>
      </c>
      <c r="F280" s="7">
        <f>IF(OR(D280="",B280="",NOT(ISNUMBER(C280))),"",D280&amp;"-"&amp;B280&amp;"-"&amp;TEXT(C280,"000"))</f>
        <v/>
      </c>
      <c r="G280" s="23" t="n"/>
      <c r="H280" s="22" t="n"/>
      <c r="I280" s="24" t="n"/>
      <c r="J280" s="22" t="n"/>
      <c r="K280" s="22" t="n"/>
      <c r="L280" s="22" t="n"/>
      <c r="M280" s="22" t="n"/>
      <c r="N280" s="22" t="n"/>
      <c r="O280" s="7">
        <f>IF(F280="","",F280&amp;"_"&amp;SUBSTITUTE(SUBSTITUTE(SUBSTITUTE(SUBSTITUTE(SUBSTITUTE(SUBSTITUTE(SUBSTITUTE(SUBSTITUTE(SUBSTITUTE(SUBSTITUTE(TRIM(G280)," ","-"),"/","-"),"\","-"),":","-"),"*","-"),"?","-"),"""","-"),"&lt;","-"),"&gt;","-"),"|","-")&amp;IF(H280="","","_Rev"&amp;H280))</f>
        <v/>
      </c>
      <c r="P280" s="7">
        <f>IF(D280="","",IF(L280="Superseded","99 Archive",IF(AND(D280="04",K280&lt;&gt;""),IFERROR(INDEX('Google Drive Map'!$B$4:$B$33,MATCH("04/"&amp;LEFT(K280,2),'Google Drive Map'!$A$4:$A$33,0)),"04 Trades &amp; Tenders/"&amp;K280),IFERROR(INDEX('Google Drive Map'!$B$4:$B$33,MATCH(D280,'Google Drive Map'!$A$4:$A$33,0)),""))))</f>
        <v/>
      </c>
      <c r="Q280" s="7">
        <f>IF(P280="","",IF(IFERROR(INDEX('Google Drive Map'!$G$4:$G$33,MATCH(P280,'Google Drive Map'!$B$4:$B$33,0))&amp;"","")="","",HYPERLINK(INDEX('Google Drive Map'!$G$4:$G$33,MATCH(P280,'Google Drive Map'!$B$4:$B$33,0)),"Open")))</f>
        <v/>
      </c>
      <c r="R280" s="7">
        <f>IF(AND(A280="",B280="",C280=""),"",TRIM(IF(AND(D280&lt;&gt;"",ISNA(MATCH(D280,'Google Drive Map'!$A$4:$A$33,0))),"Folder code isn't on the folder map. ","")&amp;IF(AND(C280&lt;&gt;"",NOT(ISNUMBER(C280))),"No. must be a whole number. ","")&amp;IF(AND(D280&lt;&gt;"",B280&lt;&gt;"",C280=""),"Type the next free no. ","")&amp;IF(AND(F280&lt;&gt;"",COUNTIF(F$4:F$303,F280)&gt;1),"Duplicate Doc ID. ","")))</f>
        <v/>
      </c>
      <c r="S280" s="22" t="n"/>
      <c r="T280" s="23" t="n"/>
    </row>
    <row r="281">
      <c r="A281" s="35" t="n"/>
      <c r="B281" s="22" t="n"/>
      <c r="C281" s="22" t="n"/>
      <c r="D281" s="7">
        <f>IF(A281="","",IF(ISNUMBER(A281),TEXT(A281,"00"),TRIM(A281)))</f>
        <v/>
      </c>
      <c r="E281" s="7">
        <f t="array" ref="E281">IF(OR(D281="",B281=""),"",MAX(IF((D$4:D$303=D281)*(B$4:B$303=B281)*ISNUMBER(C$4:C$303),C$4:C$303,0))+1)</f>
        <v/>
      </c>
      <c r="F281" s="7">
        <f>IF(OR(D281="",B281="",NOT(ISNUMBER(C281))),"",D281&amp;"-"&amp;B281&amp;"-"&amp;TEXT(C281,"000"))</f>
        <v/>
      </c>
      <c r="G281" s="23" t="n"/>
      <c r="H281" s="22" t="n"/>
      <c r="I281" s="24" t="n"/>
      <c r="J281" s="22" t="n"/>
      <c r="K281" s="22" t="n"/>
      <c r="L281" s="22" t="n"/>
      <c r="M281" s="22" t="n"/>
      <c r="N281" s="22" t="n"/>
      <c r="O281" s="7">
        <f>IF(F281="","",F281&amp;"_"&amp;SUBSTITUTE(SUBSTITUTE(SUBSTITUTE(SUBSTITUTE(SUBSTITUTE(SUBSTITUTE(SUBSTITUTE(SUBSTITUTE(SUBSTITUTE(SUBSTITUTE(TRIM(G281)," ","-"),"/","-"),"\","-"),":","-"),"*","-"),"?","-"),"""","-"),"&lt;","-"),"&gt;","-"),"|","-")&amp;IF(H281="","","_Rev"&amp;H281))</f>
        <v/>
      </c>
      <c r="P281" s="7">
        <f>IF(D281="","",IF(L281="Superseded","99 Archive",IF(AND(D281="04",K281&lt;&gt;""),IFERROR(INDEX('Google Drive Map'!$B$4:$B$33,MATCH("04/"&amp;LEFT(K281,2),'Google Drive Map'!$A$4:$A$33,0)),"04 Trades &amp; Tenders/"&amp;K281),IFERROR(INDEX('Google Drive Map'!$B$4:$B$33,MATCH(D281,'Google Drive Map'!$A$4:$A$33,0)),""))))</f>
        <v/>
      </c>
      <c r="Q281" s="7">
        <f>IF(P281="","",IF(IFERROR(INDEX('Google Drive Map'!$G$4:$G$33,MATCH(P281,'Google Drive Map'!$B$4:$B$33,0))&amp;"","")="","",HYPERLINK(INDEX('Google Drive Map'!$G$4:$G$33,MATCH(P281,'Google Drive Map'!$B$4:$B$33,0)),"Open")))</f>
        <v/>
      </c>
      <c r="R281" s="7">
        <f>IF(AND(A281="",B281="",C281=""),"",TRIM(IF(AND(D281&lt;&gt;"",ISNA(MATCH(D281,'Google Drive Map'!$A$4:$A$33,0))),"Folder code isn't on the folder map. ","")&amp;IF(AND(C281&lt;&gt;"",NOT(ISNUMBER(C281))),"No. must be a whole number. ","")&amp;IF(AND(D281&lt;&gt;"",B281&lt;&gt;"",C281=""),"Type the next free no. ","")&amp;IF(AND(F281&lt;&gt;"",COUNTIF(F$4:F$303,F281)&gt;1),"Duplicate Doc ID. ","")))</f>
        <v/>
      </c>
      <c r="S281" s="22" t="n"/>
      <c r="T281" s="23" t="n"/>
    </row>
    <row r="282">
      <c r="A282" s="35" t="n"/>
      <c r="B282" s="22" t="n"/>
      <c r="C282" s="22" t="n"/>
      <c r="D282" s="7">
        <f>IF(A282="","",IF(ISNUMBER(A282),TEXT(A282,"00"),TRIM(A282)))</f>
        <v/>
      </c>
      <c r="E282" s="7">
        <f t="array" ref="E282">IF(OR(D282="",B282=""),"",MAX(IF((D$4:D$303=D282)*(B$4:B$303=B282)*ISNUMBER(C$4:C$303),C$4:C$303,0))+1)</f>
        <v/>
      </c>
      <c r="F282" s="7">
        <f>IF(OR(D282="",B282="",NOT(ISNUMBER(C282))),"",D282&amp;"-"&amp;B282&amp;"-"&amp;TEXT(C282,"000"))</f>
        <v/>
      </c>
      <c r="G282" s="23" t="n"/>
      <c r="H282" s="22" t="n"/>
      <c r="I282" s="24" t="n"/>
      <c r="J282" s="22" t="n"/>
      <c r="K282" s="22" t="n"/>
      <c r="L282" s="22" t="n"/>
      <c r="M282" s="22" t="n"/>
      <c r="N282" s="22" t="n"/>
      <c r="O282" s="7">
        <f>IF(F282="","",F282&amp;"_"&amp;SUBSTITUTE(SUBSTITUTE(SUBSTITUTE(SUBSTITUTE(SUBSTITUTE(SUBSTITUTE(SUBSTITUTE(SUBSTITUTE(SUBSTITUTE(SUBSTITUTE(TRIM(G282)," ","-"),"/","-"),"\","-"),":","-"),"*","-"),"?","-"),"""","-"),"&lt;","-"),"&gt;","-"),"|","-")&amp;IF(H282="","","_Rev"&amp;H282))</f>
        <v/>
      </c>
      <c r="P282" s="7">
        <f>IF(D282="","",IF(L282="Superseded","99 Archive",IF(AND(D282="04",K282&lt;&gt;""),IFERROR(INDEX('Google Drive Map'!$B$4:$B$33,MATCH("04/"&amp;LEFT(K282,2),'Google Drive Map'!$A$4:$A$33,0)),"04 Trades &amp; Tenders/"&amp;K282),IFERROR(INDEX('Google Drive Map'!$B$4:$B$33,MATCH(D282,'Google Drive Map'!$A$4:$A$33,0)),""))))</f>
        <v/>
      </c>
      <c r="Q282" s="7">
        <f>IF(P282="","",IF(IFERROR(INDEX('Google Drive Map'!$G$4:$G$33,MATCH(P282,'Google Drive Map'!$B$4:$B$33,0))&amp;"","")="","",HYPERLINK(INDEX('Google Drive Map'!$G$4:$G$33,MATCH(P282,'Google Drive Map'!$B$4:$B$33,0)),"Open")))</f>
        <v/>
      </c>
      <c r="R282" s="7">
        <f>IF(AND(A282="",B282="",C282=""),"",TRIM(IF(AND(D282&lt;&gt;"",ISNA(MATCH(D282,'Google Drive Map'!$A$4:$A$33,0))),"Folder code isn't on the folder map. ","")&amp;IF(AND(C282&lt;&gt;"",NOT(ISNUMBER(C282))),"No. must be a whole number. ","")&amp;IF(AND(D282&lt;&gt;"",B282&lt;&gt;"",C282=""),"Type the next free no. ","")&amp;IF(AND(F282&lt;&gt;"",COUNTIF(F$4:F$303,F282)&gt;1),"Duplicate Doc ID. ","")))</f>
        <v/>
      </c>
      <c r="S282" s="22" t="n"/>
      <c r="T282" s="23" t="n"/>
    </row>
    <row r="283">
      <c r="A283" s="35" t="n"/>
      <c r="B283" s="22" t="n"/>
      <c r="C283" s="22" t="n"/>
      <c r="D283" s="7">
        <f>IF(A283="","",IF(ISNUMBER(A283),TEXT(A283,"00"),TRIM(A283)))</f>
        <v/>
      </c>
      <c r="E283" s="7">
        <f t="array" ref="E283">IF(OR(D283="",B283=""),"",MAX(IF((D$4:D$303=D283)*(B$4:B$303=B283)*ISNUMBER(C$4:C$303),C$4:C$303,0))+1)</f>
        <v/>
      </c>
      <c r="F283" s="7">
        <f>IF(OR(D283="",B283="",NOT(ISNUMBER(C283))),"",D283&amp;"-"&amp;B283&amp;"-"&amp;TEXT(C283,"000"))</f>
        <v/>
      </c>
      <c r="G283" s="23" t="n"/>
      <c r="H283" s="22" t="n"/>
      <c r="I283" s="24" t="n"/>
      <c r="J283" s="22" t="n"/>
      <c r="K283" s="22" t="n"/>
      <c r="L283" s="22" t="n"/>
      <c r="M283" s="22" t="n"/>
      <c r="N283" s="22" t="n"/>
      <c r="O283" s="7">
        <f>IF(F283="","",F283&amp;"_"&amp;SUBSTITUTE(SUBSTITUTE(SUBSTITUTE(SUBSTITUTE(SUBSTITUTE(SUBSTITUTE(SUBSTITUTE(SUBSTITUTE(SUBSTITUTE(SUBSTITUTE(TRIM(G283)," ","-"),"/","-"),"\","-"),":","-"),"*","-"),"?","-"),"""","-"),"&lt;","-"),"&gt;","-"),"|","-")&amp;IF(H283="","","_Rev"&amp;H283))</f>
        <v/>
      </c>
      <c r="P283" s="7">
        <f>IF(D283="","",IF(L283="Superseded","99 Archive",IF(AND(D283="04",K283&lt;&gt;""),IFERROR(INDEX('Google Drive Map'!$B$4:$B$33,MATCH("04/"&amp;LEFT(K283,2),'Google Drive Map'!$A$4:$A$33,0)),"04 Trades &amp; Tenders/"&amp;K283),IFERROR(INDEX('Google Drive Map'!$B$4:$B$33,MATCH(D283,'Google Drive Map'!$A$4:$A$33,0)),""))))</f>
        <v/>
      </c>
      <c r="Q283" s="7">
        <f>IF(P283="","",IF(IFERROR(INDEX('Google Drive Map'!$G$4:$G$33,MATCH(P283,'Google Drive Map'!$B$4:$B$33,0))&amp;"","")="","",HYPERLINK(INDEX('Google Drive Map'!$G$4:$G$33,MATCH(P283,'Google Drive Map'!$B$4:$B$33,0)),"Open")))</f>
        <v/>
      </c>
      <c r="R283" s="7">
        <f>IF(AND(A283="",B283="",C283=""),"",TRIM(IF(AND(D283&lt;&gt;"",ISNA(MATCH(D283,'Google Drive Map'!$A$4:$A$33,0))),"Folder code isn't on the folder map. ","")&amp;IF(AND(C283&lt;&gt;"",NOT(ISNUMBER(C283))),"No. must be a whole number. ","")&amp;IF(AND(D283&lt;&gt;"",B283&lt;&gt;"",C283=""),"Type the next free no. ","")&amp;IF(AND(F283&lt;&gt;"",COUNTIF(F$4:F$303,F283)&gt;1),"Duplicate Doc ID. ","")))</f>
        <v/>
      </c>
      <c r="S283" s="22" t="n"/>
      <c r="T283" s="23" t="n"/>
    </row>
    <row r="284">
      <c r="A284" s="35" t="n"/>
      <c r="B284" s="22" t="n"/>
      <c r="C284" s="22" t="n"/>
      <c r="D284" s="7">
        <f>IF(A284="","",IF(ISNUMBER(A284),TEXT(A284,"00"),TRIM(A284)))</f>
        <v/>
      </c>
      <c r="E284" s="7">
        <f t="array" ref="E284">IF(OR(D284="",B284=""),"",MAX(IF((D$4:D$303=D284)*(B$4:B$303=B284)*ISNUMBER(C$4:C$303),C$4:C$303,0))+1)</f>
        <v/>
      </c>
      <c r="F284" s="7">
        <f>IF(OR(D284="",B284="",NOT(ISNUMBER(C284))),"",D284&amp;"-"&amp;B284&amp;"-"&amp;TEXT(C284,"000"))</f>
        <v/>
      </c>
      <c r="G284" s="23" t="n"/>
      <c r="H284" s="22" t="n"/>
      <c r="I284" s="24" t="n"/>
      <c r="J284" s="22" t="n"/>
      <c r="K284" s="22" t="n"/>
      <c r="L284" s="22" t="n"/>
      <c r="M284" s="22" t="n"/>
      <c r="N284" s="22" t="n"/>
      <c r="O284" s="7">
        <f>IF(F284="","",F284&amp;"_"&amp;SUBSTITUTE(SUBSTITUTE(SUBSTITUTE(SUBSTITUTE(SUBSTITUTE(SUBSTITUTE(SUBSTITUTE(SUBSTITUTE(SUBSTITUTE(SUBSTITUTE(TRIM(G284)," ","-"),"/","-"),"\","-"),":","-"),"*","-"),"?","-"),"""","-"),"&lt;","-"),"&gt;","-"),"|","-")&amp;IF(H284="","","_Rev"&amp;H284))</f>
        <v/>
      </c>
      <c r="P284" s="7">
        <f>IF(D284="","",IF(L284="Superseded","99 Archive",IF(AND(D284="04",K284&lt;&gt;""),IFERROR(INDEX('Google Drive Map'!$B$4:$B$33,MATCH("04/"&amp;LEFT(K284,2),'Google Drive Map'!$A$4:$A$33,0)),"04 Trades &amp; Tenders/"&amp;K284),IFERROR(INDEX('Google Drive Map'!$B$4:$B$33,MATCH(D284,'Google Drive Map'!$A$4:$A$33,0)),""))))</f>
        <v/>
      </c>
      <c r="Q284" s="7">
        <f>IF(P284="","",IF(IFERROR(INDEX('Google Drive Map'!$G$4:$G$33,MATCH(P284,'Google Drive Map'!$B$4:$B$33,0))&amp;"","")="","",HYPERLINK(INDEX('Google Drive Map'!$G$4:$G$33,MATCH(P284,'Google Drive Map'!$B$4:$B$33,0)),"Open")))</f>
        <v/>
      </c>
      <c r="R284" s="7">
        <f>IF(AND(A284="",B284="",C284=""),"",TRIM(IF(AND(D284&lt;&gt;"",ISNA(MATCH(D284,'Google Drive Map'!$A$4:$A$33,0))),"Folder code isn't on the folder map. ","")&amp;IF(AND(C284&lt;&gt;"",NOT(ISNUMBER(C284))),"No. must be a whole number. ","")&amp;IF(AND(D284&lt;&gt;"",B284&lt;&gt;"",C284=""),"Type the next free no. ","")&amp;IF(AND(F284&lt;&gt;"",COUNTIF(F$4:F$303,F284)&gt;1),"Duplicate Doc ID. ","")))</f>
        <v/>
      </c>
      <c r="S284" s="22" t="n"/>
      <c r="T284" s="23" t="n"/>
    </row>
    <row r="285">
      <c r="A285" s="35" t="n"/>
      <c r="B285" s="22" t="n"/>
      <c r="C285" s="22" t="n"/>
      <c r="D285" s="7">
        <f>IF(A285="","",IF(ISNUMBER(A285),TEXT(A285,"00"),TRIM(A285)))</f>
        <v/>
      </c>
      <c r="E285" s="7">
        <f t="array" ref="E285">IF(OR(D285="",B285=""),"",MAX(IF((D$4:D$303=D285)*(B$4:B$303=B285)*ISNUMBER(C$4:C$303),C$4:C$303,0))+1)</f>
        <v/>
      </c>
      <c r="F285" s="7">
        <f>IF(OR(D285="",B285="",NOT(ISNUMBER(C285))),"",D285&amp;"-"&amp;B285&amp;"-"&amp;TEXT(C285,"000"))</f>
        <v/>
      </c>
      <c r="G285" s="23" t="n"/>
      <c r="H285" s="22" t="n"/>
      <c r="I285" s="24" t="n"/>
      <c r="J285" s="22" t="n"/>
      <c r="K285" s="22" t="n"/>
      <c r="L285" s="22" t="n"/>
      <c r="M285" s="22" t="n"/>
      <c r="N285" s="22" t="n"/>
      <c r="O285" s="7">
        <f>IF(F285="","",F285&amp;"_"&amp;SUBSTITUTE(SUBSTITUTE(SUBSTITUTE(SUBSTITUTE(SUBSTITUTE(SUBSTITUTE(SUBSTITUTE(SUBSTITUTE(SUBSTITUTE(SUBSTITUTE(TRIM(G285)," ","-"),"/","-"),"\","-"),":","-"),"*","-"),"?","-"),"""","-"),"&lt;","-"),"&gt;","-"),"|","-")&amp;IF(H285="","","_Rev"&amp;H285))</f>
        <v/>
      </c>
      <c r="P285" s="7">
        <f>IF(D285="","",IF(L285="Superseded","99 Archive",IF(AND(D285="04",K285&lt;&gt;""),IFERROR(INDEX('Google Drive Map'!$B$4:$B$33,MATCH("04/"&amp;LEFT(K285,2),'Google Drive Map'!$A$4:$A$33,0)),"04 Trades &amp; Tenders/"&amp;K285),IFERROR(INDEX('Google Drive Map'!$B$4:$B$33,MATCH(D285,'Google Drive Map'!$A$4:$A$33,0)),""))))</f>
        <v/>
      </c>
      <c r="Q285" s="7">
        <f>IF(P285="","",IF(IFERROR(INDEX('Google Drive Map'!$G$4:$G$33,MATCH(P285,'Google Drive Map'!$B$4:$B$33,0))&amp;"","")="","",HYPERLINK(INDEX('Google Drive Map'!$G$4:$G$33,MATCH(P285,'Google Drive Map'!$B$4:$B$33,0)),"Open")))</f>
        <v/>
      </c>
      <c r="R285" s="7">
        <f>IF(AND(A285="",B285="",C285=""),"",TRIM(IF(AND(D285&lt;&gt;"",ISNA(MATCH(D285,'Google Drive Map'!$A$4:$A$33,0))),"Folder code isn't on the folder map. ","")&amp;IF(AND(C285&lt;&gt;"",NOT(ISNUMBER(C285))),"No. must be a whole number. ","")&amp;IF(AND(D285&lt;&gt;"",B285&lt;&gt;"",C285=""),"Type the next free no. ","")&amp;IF(AND(F285&lt;&gt;"",COUNTIF(F$4:F$303,F285)&gt;1),"Duplicate Doc ID. ","")))</f>
        <v/>
      </c>
      <c r="S285" s="22" t="n"/>
      <c r="T285" s="23" t="n"/>
    </row>
    <row r="286">
      <c r="A286" s="35" t="n"/>
      <c r="B286" s="22" t="n"/>
      <c r="C286" s="22" t="n"/>
      <c r="D286" s="7">
        <f>IF(A286="","",IF(ISNUMBER(A286),TEXT(A286,"00"),TRIM(A286)))</f>
        <v/>
      </c>
      <c r="E286" s="7">
        <f t="array" ref="E286">IF(OR(D286="",B286=""),"",MAX(IF((D$4:D$303=D286)*(B$4:B$303=B286)*ISNUMBER(C$4:C$303),C$4:C$303,0))+1)</f>
        <v/>
      </c>
      <c r="F286" s="7">
        <f>IF(OR(D286="",B286="",NOT(ISNUMBER(C286))),"",D286&amp;"-"&amp;B286&amp;"-"&amp;TEXT(C286,"000"))</f>
        <v/>
      </c>
      <c r="G286" s="23" t="n"/>
      <c r="H286" s="22" t="n"/>
      <c r="I286" s="24" t="n"/>
      <c r="J286" s="22" t="n"/>
      <c r="K286" s="22" t="n"/>
      <c r="L286" s="22" t="n"/>
      <c r="M286" s="22" t="n"/>
      <c r="N286" s="22" t="n"/>
      <c r="O286" s="7">
        <f>IF(F286="","",F286&amp;"_"&amp;SUBSTITUTE(SUBSTITUTE(SUBSTITUTE(SUBSTITUTE(SUBSTITUTE(SUBSTITUTE(SUBSTITUTE(SUBSTITUTE(SUBSTITUTE(SUBSTITUTE(TRIM(G286)," ","-"),"/","-"),"\","-"),":","-"),"*","-"),"?","-"),"""","-"),"&lt;","-"),"&gt;","-"),"|","-")&amp;IF(H286="","","_Rev"&amp;H286))</f>
        <v/>
      </c>
      <c r="P286" s="7">
        <f>IF(D286="","",IF(L286="Superseded","99 Archive",IF(AND(D286="04",K286&lt;&gt;""),IFERROR(INDEX('Google Drive Map'!$B$4:$B$33,MATCH("04/"&amp;LEFT(K286,2),'Google Drive Map'!$A$4:$A$33,0)),"04 Trades &amp; Tenders/"&amp;K286),IFERROR(INDEX('Google Drive Map'!$B$4:$B$33,MATCH(D286,'Google Drive Map'!$A$4:$A$33,0)),""))))</f>
        <v/>
      </c>
      <c r="Q286" s="7">
        <f>IF(P286="","",IF(IFERROR(INDEX('Google Drive Map'!$G$4:$G$33,MATCH(P286,'Google Drive Map'!$B$4:$B$33,0))&amp;"","")="","",HYPERLINK(INDEX('Google Drive Map'!$G$4:$G$33,MATCH(P286,'Google Drive Map'!$B$4:$B$33,0)),"Open")))</f>
        <v/>
      </c>
      <c r="R286" s="7">
        <f>IF(AND(A286="",B286="",C286=""),"",TRIM(IF(AND(D286&lt;&gt;"",ISNA(MATCH(D286,'Google Drive Map'!$A$4:$A$33,0))),"Folder code isn't on the folder map. ","")&amp;IF(AND(C286&lt;&gt;"",NOT(ISNUMBER(C286))),"No. must be a whole number. ","")&amp;IF(AND(D286&lt;&gt;"",B286&lt;&gt;"",C286=""),"Type the next free no. ","")&amp;IF(AND(F286&lt;&gt;"",COUNTIF(F$4:F$303,F286)&gt;1),"Duplicate Doc ID. ","")))</f>
        <v/>
      </c>
      <c r="S286" s="22" t="n"/>
      <c r="T286" s="23" t="n"/>
    </row>
    <row r="287">
      <c r="A287" s="35" t="n"/>
      <c r="B287" s="22" t="n"/>
      <c r="C287" s="22" t="n"/>
      <c r="D287" s="7">
        <f>IF(A287="","",IF(ISNUMBER(A287),TEXT(A287,"00"),TRIM(A287)))</f>
        <v/>
      </c>
      <c r="E287" s="7">
        <f t="array" ref="E287">IF(OR(D287="",B287=""),"",MAX(IF((D$4:D$303=D287)*(B$4:B$303=B287)*ISNUMBER(C$4:C$303),C$4:C$303,0))+1)</f>
        <v/>
      </c>
      <c r="F287" s="7">
        <f>IF(OR(D287="",B287="",NOT(ISNUMBER(C287))),"",D287&amp;"-"&amp;B287&amp;"-"&amp;TEXT(C287,"000"))</f>
        <v/>
      </c>
      <c r="G287" s="23" t="n"/>
      <c r="H287" s="22" t="n"/>
      <c r="I287" s="24" t="n"/>
      <c r="J287" s="22" t="n"/>
      <c r="K287" s="22" t="n"/>
      <c r="L287" s="22" t="n"/>
      <c r="M287" s="22" t="n"/>
      <c r="N287" s="22" t="n"/>
      <c r="O287" s="7">
        <f>IF(F287="","",F287&amp;"_"&amp;SUBSTITUTE(SUBSTITUTE(SUBSTITUTE(SUBSTITUTE(SUBSTITUTE(SUBSTITUTE(SUBSTITUTE(SUBSTITUTE(SUBSTITUTE(SUBSTITUTE(TRIM(G287)," ","-"),"/","-"),"\","-"),":","-"),"*","-"),"?","-"),"""","-"),"&lt;","-"),"&gt;","-"),"|","-")&amp;IF(H287="","","_Rev"&amp;H287))</f>
        <v/>
      </c>
      <c r="P287" s="7">
        <f>IF(D287="","",IF(L287="Superseded","99 Archive",IF(AND(D287="04",K287&lt;&gt;""),IFERROR(INDEX('Google Drive Map'!$B$4:$B$33,MATCH("04/"&amp;LEFT(K287,2),'Google Drive Map'!$A$4:$A$33,0)),"04 Trades &amp; Tenders/"&amp;K287),IFERROR(INDEX('Google Drive Map'!$B$4:$B$33,MATCH(D287,'Google Drive Map'!$A$4:$A$33,0)),""))))</f>
        <v/>
      </c>
      <c r="Q287" s="7">
        <f>IF(P287="","",IF(IFERROR(INDEX('Google Drive Map'!$G$4:$G$33,MATCH(P287,'Google Drive Map'!$B$4:$B$33,0))&amp;"","")="","",HYPERLINK(INDEX('Google Drive Map'!$G$4:$G$33,MATCH(P287,'Google Drive Map'!$B$4:$B$33,0)),"Open")))</f>
        <v/>
      </c>
      <c r="R287" s="7">
        <f>IF(AND(A287="",B287="",C287=""),"",TRIM(IF(AND(D287&lt;&gt;"",ISNA(MATCH(D287,'Google Drive Map'!$A$4:$A$33,0))),"Folder code isn't on the folder map. ","")&amp;IF(AND(C287&lt;&gt;"",NOT(ISNUMBER(C287))),"No. must be a whole number. ","")&amp;IF(AND(D287&lt;&gt;"",B287&lt;&gt;"",C287=""),"Type the next free no. ","")&amp;IF(AND(F287&lt;&gt;"",COUNTIF(F$4:F$303,F287)&gt;1),"Duplicate Doc ID. ","")))</f>
        <v/>
      </c>
      <c r="S287" s="22" t="n"/>
      <c r="T287" s="23" t="n"/>
    </row>
    <row r="288">
      <c r="A288" s="35" t="n"/>
      <c r="B288" s="22" t="n"/>
      <c r="C288" s="22" t="n"/>
      <c r="D288" s="7">
        <f>IF(A288="","",IF(ISNUMBER(A288),TEXT(A288,"00"),TRIM(A288)))</f>
        <v/>
      </c>
      <c r="E288" s="7">
        <f t="array" ref="E288">IF(OR(D288="",B288=""),"",MAX(IF((D$4:D$303=D288)*(B$4:B$303=B288)*ISNUMBER(C$4:C$303),C$4:C$303,0))+1)</f>
        <v/>
      </c>
      <c r="F288" s="7">
        <f>IF(OR(D288="",B288="",NOT(ISNUMBER(C288))),"",D288&amp;"-"&amp;B288&amp;"-"&amp;TEXT(C288,"000"))</f>
        <v/>
      </c>
      <c r="G288" s="23" t="n"/>
      <c r="H288" s="22" t="n"/>
      <c r="I288" s="24" t="n"/>
      <c r="J288" s="22" t="n"/>
      <c r="K288" s="22" t="n"/>
      <c r="L288" s="22" t="n"/>
      <c r="M288" s="22" t="n"/>
      <c r="N288" s="22" t="n"/>
      <c r="O288" s="7">
        <f>IF(F288="","",F288&amp;"_"&amp;SUBSTITUTE(SUBSTITUTE(SUBSTITUTE(SUBSTITUTE(SUBSTITUTE(SUBSTITUTE(SUBSTITUTE(SUBSTITUTE(SUBSTITUTE(SUBSTITUTE(TRIM(G288)," ","-"),"/","-"),"\","-"),":","-"),"*","-"),"?","-"),"""","-"),"&lt;","-"),"&gt;","-"),"|","-")&amp;IF(H288="","","_Rev"&amp;H288))</f>
        <v/>
      </c>
      <c r="P288" s="7">
        <f>IF(D288="","",IF(L288="Superseded","99 Archive",IF(AND(D288="04",K288&lt;&gt;""),IFERROR(INDEX('Google Drive Map'!$B$4:$B$33,MATCH("04/"&amp;LEFT(K288,2),'Google Drive Map'!$A$4:$A$33,0)),"04 Trades &amp; Tenders/"&amp;K288),IFERROR(INDEX('Google Drive Map'!$B$4:$B$33,MATCH(D288,'Google Drive Map'!$A$4:$A$33,0)),""))))</f>
        <v/>
      </c>
      <c r="Q288" s="7">
        <f>IF(P288="","",IF(IFERROR(INDEX('Google Drive Map'!$G$4:$G$33,MATCH(P288,'Google Drive Map'!$B$4:$B$33,0))&amp;"","")="","",HYPERLINK(INDEX('Google Drive Map'!$G$4:$G$33,MATCH(P288,'Google Drive Map'!$B$4:$B$33,0)),"Open")))</f>
        <v/>
      </c>
      <c r="R288" s="7">
        <f>IF(AND(A288="",B288="",C288=""),"",TRIM(IF(AND(D288&lt;&gt;"",ISNA(MATCH(D288,'Google Drive Map'!$A$4:$A$33,0))),"Folder code isn't on the folder map. ","")&amp;IF(AND(C288&lt;&gt;"",NOT(ISNUMBER(C288))),"No. must be a whole number. ","")&amp;IF(AND(D288&lt;&gt;"",B288&lt;&gt;"",C288=""),"Type the next free no. ","")&amp;IF(AND(F288&lt;&gt;"",COUNTIF(F$4:F$303,F288)&gt;1),"Duplicate Doc ID. ","")))</f>
        <v/>
      </c>
      <c r="S288" s="22" t="n"/>
      <c r="T288" s="23" t="n"/>
    </row>
    <row r="289">
      <c r="A289" s="35" t="n"/>
      <c r="B289" s="22" t="n"/>
      <c r="C289" s="22" t="n"/>
      <c r="D289" s="7">
        <f>IF(A289="","",IF(ISNUMBER(A289),TEXT(A289,"00"),TRIM(A289)))</f>
        <v/>
      </c>
      <c r="E289" s="7">
        <f t="array" ref="E289">IF(OR(D289="",B289=""),"",MAX(IF((D$4:D$303=D289)*(B$4:B$303=B289)*ISNUMBER(C$4:C$303),C$4:C$303,0))+1)</f>
        <v/>
      </c>
      <c r="F289" s="7">
        <f>IF(OR(D289="",B289="",NOT(ISNUMBER(C289))),"",D289&amp;"-"&amp;B289&amp;"-"&amp;TEXT(C289,"000"))</f>
        <v/>
      </c>
      <c r="G289" s="23" t="n"/>
      <c r="H289" s="22" t="n"/>
      <c r="I289" s="24" t="n"/>
      <c r="J289" s="22" t="n"/>
      <c r="K289" s="22" t="n"/>
      <c r="L289" s="22" t="n"/>
      <c r="M289" s="22" t="n"/>
      <c r="N289" s="22" t="n"/>
      <c r="O289" s="7">
        <f>IF(F289="","",F289&amp;"_"&amp;SUBSTITUTE(SUBSTITUTE(SUBSTITUTE(SUBSTITUTE(SUBSTITUTE(SUBSTITUTE(SUBSTITUTE(SUBSTITUTE(SUBSTITUTE(SUBSTITUTE(TRIM(G289)," ","-"),"/","-"),"\","-"),":","-"),"*","-"),"?","-"),"""","-"),"&lt;","-"),"&gt;","-"),"|","-")&amp;IF(H289="","","_Rev"&amp;H289))</f>
        <v/>
      </c>
      <c r="P289" s="7">
        <f>IF(D289="","",IF(L289="Superseded","99 Archive",IF(AND(D289="04",K289&lt;&gt;""),IFERROR(INDEX('Google Drive Map'!$B$4:$B$33,MATCH("04/"&amp;LEFT(K289,2),'Google Drive Map'!$A$4:$A$33,0)),"04 Trades &amp; Tenders/"&amp;K289),IFERROR(INDEX('Google Drive Map'!$B$4:$B$33,MATCH(D289,'Google Drive Map'!$A$4:$A$33,0)),""))))</f>
        <v/>
      </c>
      <c r="Q289" s="7">
        <f>IF(P289="","",IF(IFERROR(INDEX('Google Drive Map'!$G$4:$G$33,MATCH(P289,'Google Drive Map'!$B$4:$B$33,0))&amp;"","")="","",HYPERLINK(INDEX('Google Drive Map'!$G$4:$G$33,MATCH(P289,'Google Drive Map'!$B$4:$B$33,0)),"Open")))</f>
        <v/>
      </c>
      <c r="R289" s="7">
        <f>IF(AND(A289="",B289="",C289=""),"",TRIM(IF(AND(D289&lt;&gt;"",ISNA(MATCH(D289,'Google Drive Map'!$A$4:$A$33,0))),"Folder code isn't on the folder map. ","")&amp;IF(AND(C289&lt;&gt;"",NOT(ISNUMBER(C289))),"No. must be a whole number. ","")&amp;IF(AND(D289&lt;&gt;"",B289&lt;&gt;"",C289=""),"Type the next free no. ","")&amp;IF(AND(F289&lt;&gt;"",COUNTIF(F$4:F$303,F289)&gt;1),"Duplicate Doc ID. ","")))</f>
        <v/>
      </c>
      <c r="S289" s="22" t="n"/>
      <c r="T289" s="23" t="n"/>
    </row>
    <row r="290">
      <c r="A290" s="35" t="n"/>
      <c r="B290" s="22" t="n"/>
      <c r="C290" s="22" t="n"/>
      <c r="D290" s="7">
        <f>IF(A290="","",IF(ISNUMBER(A290),TEXT(A290,"00"),TRIM(A290)))</f>
        <v/>
      </c>
      <c r="E290" s="7">
        <f t="array" ref="E290">IF(OR(D290="",B290=""),"",MAX(IF((D$4:D$303=D290)*(B$4:B$303=B290)*ISNUMBER(C$4:C$303),C$4:C$303,0))+1)</f>
        <v/>
      </c>
      <c r="F290" s="7">
        <f>IF(OR(D290="",B290="",NOT(ISNUMBER(C290))),"",D290&amp;"-"&amp;B290&amp;"-"&amp;TEXT(C290,"000"))</f>
        <v/>
      </c>
      <c r="G290" s="23" t="n"/>
      <c r="H290" s="22" t="n"/>
      <c r="I290" s="24" t="n"/>
      <c r="J290" s="22" t="n"/>
      <c r="K290" s="22" t="n"/>
      <c r="L290" s="22" t="n"/>
      <c r="M290" s="22" t="n"/>
      <c r="N290" s="22" t="n"/>
      <c r="O290" s="7">
        <f>IF(F290="","",F290&amp;"_"&amp;SUBSTITUTE(SUBSTITUTE(SUBSTITUTE(SUBSTITUTE(SUBSTITUTE(SUBSTITUTE(SUBSTITUTE(SUBSTITUTE(SUBSTITUTE(SUBSTITUTE(TRIM(G290)," ","-"),"/","-"),"\","-"),":","-"),"*","-"),"?","-"),"""","-"),"&lt;","-"),"&gt;","-"),"|","-")&amp;IF(H290="","","_Rev"&amp;H290))</f>
        <v/>
      </c>
      <c r="P290" s="7">
        <f>IF(D290="","",IF(L290="Superseded","99 Archive",IF(AND(D290="04",K290&lt;&gt;""),IFERROR(INDEX('Google Drive Map'!$B$4:$B$33,MATCH("04/"&amp;LEFT(K290,2),'Google Drive Map'!$A$4:$A$33,0)),"04 Trades &amp; Tenders/"&amp;K290),IFERROR(INDEX('Google Drive Map'!$B$4:$B$33,MATCH(D290,'Google Drive Map'!$A$4:$A$33,0)),""))))</f>
        <v/>
      </c>
      <c r="Q290" s="7">
        <f>IF(P290="","",IF(IFERROR(INDEX('Google Drive Map'!$G$4:$G$33,MATCH(P290,'Google Drive Map'!$B$4:$B$33,0))&amp;"","")="","",HYPERLINK(INDEX('Google Drive Map'!$G$4:$G$33,MATCH(P290,'Google Drive Map'!$B$4:$B$33,0)),"Open")))</f>
        <v/>
      </c>
      <c r="R290" s="7">
        <f>IF(AND(A290="",B290="",C290=""),"",TRIM(IF(AND(D290&lt;&gt;"",ISNA(MATCH(D290,'Google Drive Map'!$A$4:$A$33,0))),"Folder code isn't on the folder map. ","")&amp;IF(AND(C290&lt;&gt;"",NOT(ISNUMBER(C290))),"No. must be a whole number. ","")&amp;IF(AND(D290&lt;&gt;"",B290&lt;&gt;"",C290=""),"Type the next free no. ","")&amp;IF(AND(F290&lt;&gt;"",COUNTIF(F$4:F$303,F290)&gt;1),"Duplicate Doc ID. ","")))</f>
        <v/>
      </c>
      <c r="S290" s="22" t="n"/>
      <c r="T290" s="23" t="n"/>
    </row>
    <row r="291">
      <c r="A291" s="35" t="n"/>
      <c r="B291" s="22" t="n"/>
      <c r="C291" s="22" t="n"/>
      <c r="D291" s="7">
        <f>IF(A291="","",IF(ISNUMBER(A291),TEXT(A291,"00"),TRIM(A291)))</f>
        <v/>
      </c>
      <c r="E291" s="7">
        <f t="array" ref="E291">IF(OR(D291="",B291=""),"",MAX(IF((D$4:D$303=D291)*(B$4:B$303=B291)*ISNUMBER(C$4:C$303),C$4:C$303,0))+1)</f>
        <v/>
      </c>
      <c r="F291" s="7">
        <f>IF(OR(D291="",B291="",NOT(ISNUMBER(C291))),"",D291&amp;"-"&amp;B291&amp;"-"&amp;TEXT(C291,"000"))</f>
        <v/>
      </c>
      <c r="G291" s="23" t="n"/>
      <c r="H291" s="22" t="n"/>
      <c r="I291" s="24" t="n"/>
      <c r="J291" s="22" t="n"/>
      <c r="K291" s="22" t="n"/>
      <c r="L291" s="22" t="n"/>
      <c r="M291" s="22" t="n"/>
      <c r="N291" s="22" t="n"/>
      <c r="O291" s="7">
        <f>IF(F291="","",F291&amp;"_"&amp;SUBSTITUTE(SUBSTITUTE(SUBSTITUTE(SUBSTITUTE(SUBSTITUTE(SUBSTITUTE(SUBSTITUTE(SUBSTITUTE(SUBSTITUTE(SUBSTITUTE(TRIM(G291)," ","-"),"/","-"),"\","-"),":","-"),"*","-"),"?","-"),"""","-"),"&lt;","-"),"&gt;","-"),"|","-")&amp;IF(H291="","","_Rev"&amp;H291))</f>
        <v/>
      </c>
      <c r="P291" s="7">
        <f>IF(D291="","",IF(L291="Superseded","99 Archive",IF(AND(D291="04",K291&lt;&gt;""),IFERROR(INDEX('Google Drive Map'!$B$4:$B$33,MATCH("04/"&amp;LEFT(K291,2),'Google Drive Map'!$A$4:$A$33,0)),"04 Trades &amp; Tenders/"&amp;K291),IFERROR(INDEX('Google Drive Map'!$B$4:$B$33,MATCH(D291,'Google Drive Map'!$A$4:$A$33,0)),""))))</f>
        <v/>
      </c>
      <c r="Q291" s="7">
        <f>IF(P291="","",IF(IFERROR(INDEX('Google Drive Map'!$G$4:$G$33,MATCH(P291,'Google Drive Map'!$B$4:$B$33,0))&amp;"","")="","",HYPERLINK(INDEX('Google Drive Map'!$G$4:$G$33,MATCH(P291,'Google Drive Map'!$B$4:$B$33,0)),"Open")))</f>
        <v/>
      </c>
      <c r="R291" s="7">
        <f>IF(AND(A291="",B291="",C291=""),"",TRIM(IF(AND(D291&lt;&gt;"",ISNA(MATCH(D291,'Google Drive Map'!$A$4:$A$33,0))),"Folder code isn't on the folder map. ","")&amp;IF(AND(C291&lt;&gt;"",NOT(ISNUMBER(C291))),"No. must be a whole number. ","")&amp;IF(AND(D291&lt;&gt;"",B291&lt;&gt;"",C291=""),"Type the next free no. ","")&amp;IF(AND(F291&lt;&gt;"",COUNTIF(F$4:F$303,F291)&gt;1),"Duplicate Doc ID. ","")))</f>
        <v/>
      </c>
      <c r="S291" s="22" t="n"/>
      <c r="T291" s="23" t="n"/>
    </row>
    <row r="292">
      <c r="A292" s="35" t="n"/>
      <c r="B292" s="22" t="n"/>
      <c r="C292" s="22" t="n"/>
      <c r="D292" s="7">
        <f>IF(A292="","",IF(ISNUMBER(A292),TEXT(A292,"00"),TRIM(A292)))</f>
        <v/>
      </c>
      <c r="E292" s="7">
        <f t="array" ref="E292">IF(OR(D292="",B292=""),"",MAX(IF((D$4:D$303=D292)*(B$4:B$303=B292)*ISNUMBER(C$4:C$303),C$4:C$303,0))+1)</f>
        <v/>
      </c>
      <c r="F292" s="7">
        <f>IF(OR(D292="",B292="",NOT(ISNUMBER(C292))),"",D292&amp;"-"&amp;B292&amp;"-"&amp;TEXT(C292,"000"))</f>
        <v/>
      </c>
      <c r="G292" s="23" t="n"/>
      <c r="H292" s="22" t="n"/>
      <c r="I292" s="24" t="n"/>
      <c r="J292" s="22" t="n"/>
      <c r="K292" s="22" t="n"/>
      <c r="L292" s="22" t="n"/>
      <c r="M292" s="22" t="n"/>
      <c r="N292" s="22" t="n"/>
      <c r="O292" s="7">
        <f>IF(F292="","",F292&amp;"_"&amp;SUBSTITUTE(SUBSTITUTE(SUBSTITUTE(SUBSTITUTE(SUBSTITUTE(SUBSTITUTE(SUBSTITUTE(SUBSTITUTE(SUBSTITUTE(SUBSTITUTE(TRIM(G292)," ","-"),"/","-"),"\","-"),":","-"),"*","-"),"?","-"),"""","-"),"&lt;","-"),"&gt;","-"),"|","-")&amp;IF(H292="","","_Rev"&amp;H292))</f>
        <v/>
      </c>
      <c r="P292" s="7">
        <f>IF(D292="","",IF(L292="Superseded","99 Archive",IF(AND(D292="04",K292&lt;&gt;""),IFERROR(INDEX('Google Drive Map'!$B$4:$B$33,MATCH("04/"&amp;LEFT(K292,2),'Google Drive Map'!$A$4:$A$33,0)),"04 Trades &amp; Tenders/"&amp;K292),IFERROR(INDEX('Google Drive Map'!$B$4:$B$33,MATCH(D292,'Google Drive Map'!$A$4:$A$33,0)),""))))</f>
        <v/>
      </c>
      <c r="Q292" s="7">
        <f>IF(P292="","",IF(IFERROR(INDEX('Google Drive Map'!$G$4:$G$33,MATCH(P292,'Google Drive Map'!$B$4:$B$33,0))&amp;"","")="","",HYPERLINK(INDEX('Google Drive Map'!$G$4:$G$33,MATCH(P292,'Google Drive Map'!$B$4:$B$33,0)),"Open")))</f>
        <v/>
      </c>
      <c r="R292" s="7">
        <f>IF(AND(A292="",B292="",C292=""),"",TRIM(IF(AND(D292&lt;&gt;"",ISNA(MATCH(D292,'Google Drive Map'!$A$4:$A$33,0))),"Folder code isn't on the folder map. ","")&amp;IF(AND(C292&lt;&gt;"",NOT(ISNUMBER(C292))),"No. must be a whole number. ","")&amp;IF(AND(D292&lt;&gt;"",B292&lt;&gt;"",C292=""),"Type the next free no. ","")&amp;IF(AND(F292&lt;&gt;"",COUNTIF(F$4:F$303,F292)&gt;1),"Duplicate Doc ID. ","")))</f>
        <v/>
      </c>
      <c r="S292" s="22" t="n"/>
      <c r="T292" s="23" t="n"/>
    </row>
    <row r="293">
      <c r="A293" s="35" t="n"/>
      <c r="B293" s="22" t="n"/>
      <c r="C293" s="22" t="n"/>
      <c r="D293" s="7">
        <f>IF(A293="","",IF(ISNUMBER(A293),TEXT(A293,"00"),TRIM(A293)))</f>
        <v/>
      </c>
      <c r="E293" s="7">
        <f t="array" ref="E293">IF(OR(D293="",B293=""),"",MAX(IF((D$4:D$303=D293)*(B$4:B$303=B293)*ISNUMBER(C$4:C$303),C$4:C$303,0))+1)</f>
        <v/>
      </c>
      <c r="F293" s="7">
        <f>IF(OR(D293="",B293="",NOT(ISNUMBER(C293))),"",D293&amp;"-"&amp;B293&amp;"-"&amp;TEXT(C293,"000"))</f>
        <v/>
      </c>
      <c r="G293" s="23" t="n"/>
      <c r="H293" s="22" t="n"/>
      <c r="I293" s="24" t="n"/>
      <c r="J293" s="22" t="n"/>
      <c r="K293" s="22" t="n"/>
      <c r="L293" s="22" t="n"/>
      <c r="M293" s="22" t="n"/>
      <c r="N293" s="22" t="n"/>
      <c r="O293" s="7">
        <f>IF(F293="","",F293&amp;"_"&amp;SUBSTITUTE(SUBSTITUTE(SUBSTITUTE(SUBSTITUTE(SUBSTITUTE(SUBSTITUTE(SUBSTITUTE(SUBSTITUTE(SUBSTITUTE(SUBSTITUTE(TRIM(G293)," ","-"),"/","-"),"\","-"),":","-"),"*","-"),"?","-"),"""","-"),"&lt;","-"),"&gt;","-"),"|","-")&amp;IF(H293="","","_Rev"&amp;H293))</f>
        <v/>
      </c>
      <c r="P293" s="7">
        <f>IF(D293="","",IF(L293="Superseded","99 Archive",IF(AND(D293="04",K293&lt;&gt;""),IFERROR(INDEX('Google Drive Map'!$B$4:$B$33,MATCH("04/"&amp;LEFT(K293,2),'Google Drive Map'!$A$4:$A$33,0)),"04 Trades &amp; Tenders/"&amp;K293),IFERROR(INDEX('Google Drive Map'!$B$4:$B$33,MATCH(D293,'Google Drive Map'!$A$4:$A$33,0)),""))))</f>
        <v/>
      </c>
      <c r="Q293" s="7">
        <f>IF(P293="","",IF(IFERROR(INDEX('Google Drive Map'!$G$4:$G$33,MATCH(P293,'Google Drive Map'!$B$4:$B$33,0))&amp;"","")="","",HYPERLINK(INDEX('Google Drive Map'!$G$4:$G$33,MATCH(P293,'Google Drive Map'!$B$4:$B$33,0)),"Open")))</f>
        <v/>
      </c>
      <c r="R293" s="7">
        <f>IF(AND(A293="",B293="",C293=""),"",TRIM(IF(AND(D293&lt;&gt;"",ISNA(MATCH(D293,'Google Drive Map'!$A$4:$A$33,0))),"Folder code isn't on the folder map. ","")&amp;IF(AND(C293&lt;&gt;"",NOT(ISNUMBER(C293))),"No. must be a whole number. ","")&amp;IF(AND(D293&lt;&gt;"",B293&lt;&gt;"",C293=""),"Type the next free no. ","")&amp;IF(AND(F293&lt;&gt;"",COUNTIF(F$4:F$303,F293)&gt;1),"Duplicate Doc ID. ","")))</f>
        <v/>
      </c>
      <c r="S293" s="22" t="n"/>
      <c r="T293" s="23" t="n"/>
    </row>
    <row r="294">
      <c r="A294" s="35" t="n"/>
      <c r="B294" s="22" t="n"/>
      <c r="C294" s="22" t="n"/>
      <c r="D294" s="7">
        <f>IF(A294="","",IF(ISNUMBER(A294),TEXT(A294,"00"),TRIM(A294)))</f>
        <v/>
      </c>
      <c r="E294" s="7">
        <f t="array" ref="E294">IF(OR(D294="",B294=""),"",MAX(IF((D$4:D$303=D294)*(B$4:B$303=B294)*ISNUMBER(C$4:C$303),C$4:C$303,0))+1)</f>
        <v/>
      </c>
      <c r="F294" s="7">
        <f>IF(OR(D294="",B294="",NOT(ISNUMBER(C294))),"",D294&amp;"-"&amp;B294&amp;"-"&amp;TEXT(C294,"000"))</f>
        <v/>
      </c>
      <c r="G294" s="23" t="n"/>
      <c r="H294" s="22" t="n"/>
      <c r="I294" s="24" t="n"/>
      <c r="J294" s="22" t="n"/>
      <c r="K294" s="22" t="n"/>
      <c r="L294" s="22" t="n"/>
      <c r="M294" s="22" t="n"/>
      <c r="N294" s="22" t="n"/>
      <c r="O294" s="7">
        <f>IF(F294="","",F294&amp;"_"&amp;SUBSTITUTE(SUBSTITUTE(SUBSTITUTE(SUBSTITUTE(SUBSTITUTE(SUBSTITUTE(SUBSTITUTE(SUBSTITUTE(SUBSTITUTE(SUBSTITUTE(TRIM(G294)," ","-"),"/","-"),"\","-"),":","-"),"*","-"),"?","-"),"""","-"),"&lt;","-"),"&gt;","-"),"|","-")&amp;IF(H294="","","_Rev"&amp;H294))</f>
        <v/>
      </c>
      <c r="P294" s="7">
        <f>IF(D294="","",IF(L294="Superseded","99 Archive",IF(AND(D294="04",K294&lt;&gt;""),IFERROR(INDEX('Google Drive Map'!$B$4:$B$33,MATCH("04/"&amp;LEFT(K294,2),'Google Drive Map'!$A$4:$A$33,0)),"04 Trades &amp; Tenders/"&amp;K294),IFERROR(INDEX('Google Drive Map'!$B$4:$B$33,MATCH(D294,'Google Drive Map'!$A$4:$A$33,0)),""))))</f>
        <v/>
      </c>
      <c r="Q294" s="7">
        <f>IF(P294="","",IF(IFERROR(INDEX('Google Drive Map'!$G$4:$G$33,MATCH(P294,'Google Drive Map'!$B$4:$B$33,0))&amp;"","")="","",HYPERLINK(INDEX('Google Drive Map'!$G$4:$G$33,MATCH(P294,'Google Drive Map'!$B$4:$B$33,0)),"Open")))</f>
        <v/>
      </c>
      <c r="R294" s="7">
        <f>IF(AND(A294="",B294="",C294=""),"",TRIM(IF(AND(D294&lt;&gt;"",ISNA(MATCH(D294,'Google Drive Map'!$A$4:$A$33,0))),"Folder code isn't on the folder map. ","")&amp;IF(AND(C294&lt;&gt;"",NOT(ISNUMBER(C294))),"No. must be a whole number. ","")&amp;IF(AND(D294&lt;&gt;"",B294&lt;&gt;"",C294=""),"Type the next free no. ","")&amp;IF(AND(F294&lt;&gt;"",COUNTIF(F$4:F$303,F294)&gt;1),"Duplicate Doc ID. ","")))</f>
        <v/>
      </c>
      <c r="S294" s="22" t="n"/>
      <c r="T294" s="23" t="n"/>
    </row>
    <row r="295">
      <c r="A295" s="35" t="n"/>
      <c r="B295" s="22" t="n"/>
      <c r="C295" s="22" t="n"/>
      <c r="D295" s="7">
        <f>IF(A295="","",IF(ISNUMBER(A295),TEXT(A295,"00"),TRIM(A295)))</f>
        <v/>
      </c>
      <c r="E295" s="7">
        <f t="array" ref="E295">IF(OR(D295="",B295=""),"",MAX(IF((D$4:D$303=D295)*(B$4:B$303=B295)*ISNUMBER(C$4:C$303),C$4:C$303,0))+1)</f>
        <v/>
      </c>
      <c r="F295" s="7">
        <f>IF(OR(D295="",B295="",NOT(ISNUMBER(C295))),"",D295&amp;"-"&amp;B295&amp;"-"&amp;TEXT(C295,"000"))</f>
        <v/>
      </c>
      <c r="G295" s="23" t="n"/>
      <c r="H295" s="22" t="n"/>
      <c r="I295" s="24" t="n"/>
      <c r="J295" s="22" t="n"/>
      <c r="K295" s="22" t="n"/>
      <c r="L295" s="22" t="n"/>
      <c r="M295" s="22" t="n"/>
      <c r="N295" s="22" t="n"/>
      <c r="O295" s="7">
        <f>IF(F295="","",F295&amp;"_"&amp;SUBSTITUTE(SUBSTITUTE(SUBSTITUTE(SUBSTITUTE(SUBSTITUTE(SUBSTITUTE(SUBSTITUTE(SUBSTITUTE(SUBSTITUTE(SUBSTITUTE(TRIM(G295)," ","-"),"/","-"),"\","-"),":","-"),"*","-"),"?","-"),"""","-"),"&lt;","-"),"&gt;","-"),"|","-")&amp;IF(H295="","","_Rev"&amp;H295))</f>
        <v/>
      </c>
      <c r="P295" s="7">
        <f>IF(D295="","",IF(L295="Superseded","99 Archive",IF(AND(D295="04",K295&lt;&gt;""),IFERROR(INDEX('Google Drive Map'!$B$4:$B$33,MATCH("04/"&amp;LEFT(K295,2),'Google Drive Map'!$A$4:$A$33,0)),"04 Trades &amp; Tenders/"&amp;K295),IFERROR(INDEX('Google Drive Map'!$B$4:$B$33,MATCH(D295,'Google Drive Map'!$A$4:$A$33,0)),""))))</f>
        <v/>
      </c>
      <c r="Q295" s="7">
        <f>IF(P295="","",IF(IFERROR(INDEX('Google Drive Map'!$G$4:$G$33,MATCH(P295,'Google Drive Map'!$B$4:$B$33,0))&amp;"","")="","",HYPERLINK(INDEX('Google Drive Map'!$G$4:$G$33,MATCH(P295,'Google Drive Map'!$B$4:$B$33,0)),"Open")))</f>
        <v/>
      </c>
      <c r="R295" s="7">
        <f>IF(AND(A295="",B295="",C295=""),"",TRIM(IF(AND(D295&lt;&gt;"",ISNA(MATCH(D295,'Google Drive Map'!$A$4:$A$33,0))),"Folder code isn't on the folder map. ","")&amp;IF(AND(C295&lt;&gt;"",NOT(ISNUMBER(C295))),"No. must be a whole number. ","")&amp;IF(AND(D295&lt;&gt;"",B295&lt;&gt;"",C295=""),"Type the next free no. ","")&amp;IF(AND(F295&lt;&gt;"",COUNTIF(F$4:F$303,F295)&gt;1),"Duplicate Doc ID. ","")))</f>
        <v/>
      </c>
      <c r="S295" s="22" t="n"/>
      <c r="T295" s="23" t="n"/>
    </row>
    <row r="296">
      <c r="A296" s="35" t="n"/>
      <c r="B296" s="22" t="n"/>
      <c r="C296" s="22" t="n"/>
      <c r="D296" s="7">
        <f>IF(A296="","",IF(ISNUMBER(A296),TEXT(A296,"00"),TRIM(A296)))</f>
        <v/>
      </c>
      <c r="E296" s="7">
        <f t="array" ref="E296">IF(OR(D296="",B296=""),"",MAX(IF((D$4:D$303=D296)*(B$4:B$303=B296)*ISNUMBER(C$4:C$303),C$4:C$303,0))+1)</f>
        <v/>
      </c>
      <c r="F296" s="7">
        <f>IF(OR(D296="",B296="",NOT(ISNUMBER(C296))),"",D296&amp;"-"&amp;B296&amp;"-"&amp;TEXT(C296,"000"))</f>
        <v/>
      </c>
      <c r="G296" s="23" t="n"/>
      <c r="H296" s="22" t="n"/>
      <c r="I296" s="24" t="n"/>
      <c r="J296" s="22" t="n"/>
      <c r="K296" s="22" t="n"/>
      <c r="L296" s="22" t="n"/>
      <c r="M296" s="22" t="n"/>
      <c r="N296" s="22" t="n"/>
      <c r="O296" s="7">
        <f>IF(F296="","",F296&amp;"_"&amp;SUBSTITUTE(SUBSTITUTE(SUBSTITUTE(SUBSTITUTE(SUBSTITUTE(SUBSTITUTE(SUBSTITUTE(SUBSTITUTE(SUBSTITUTE(SUBSTITUTE(TRIM(G296)," ","-"),"/","-"),"\","-"),":","-"),"*","-"),"?","-"),"""","-"),"&lt;","-"),"&gt;","-"),"|","-")&amp;IF(H296="","","_Rev"&amp;H296))</f>
        <v/>
      </c>
      <c r="P296" s="7">
        <f>IF(D296="","",IF(L296="Superseded","99 Archive",IF(AND(D296="04",K296&lt;&gt;""),IFERROR(INDEX('Google Drive Map'!$B$4:$B$33,MATCH("04/"&amp;LEFT(K296,2),'Google Drive Map'!$A$4:$A$33,0)),"04 Trades &amp; Tenders/"&amp;K296),IFERROR(INDEX('Google Drive Map'!$B$4:$B$33,MATCH(D296,'Google Drive Map'!$A$4:$A$33,0)),""))))</f>
        <v/>
      </c>
      <c r="Q296" s="7">
        <f>IF(P296="","",IF(IFERROR(INDEX('Google Drive Map'!$G$4:$G$33,MATCH(P296,'Google Drive Map'!$B$4:$B$33,0))&amp;"","")="","",HYPERLINK(INDEX('Google Drive Map'!$G$4:$G$33,MATCH(P296,'Google Drive Map'!$B$4:$B$33,0)),"Open")))</f>
        <v/>
      </c>
      <c r="R296" s="7">
        <f>IF(AND(A296="",B296="",C296=""),"",TRIM(IF(AND(D296&lt;&gt;"",ISNA(MATCH(D296,'Google Drive Map'!$A$4:$A$33,0))),"Folder code isn't on the folder map. ","")&amp;IF(AND(C296&lt;&gt;"",NOT(ISNUMBER(C296))),"No. must be a whole number. ","")&amp;IF(AND(D296&lt;&gt;"",B296&lt;&gt;"",C296=""),"Type the next free no. ","")&amp;IF(AND(F296&lt;&gt;"",COUNTIF(F$4:F$303,F296)&gt;1),"Duplicate Doc ID. ","")))</f>
        <v/>
      </c>
      <c r="S296" s="22" t="n"/>
      <c r="T296" s="23" t="n"/>
    </row>
    <row r="297">
      <c r="A297" s="35" t="n"/>
      <c r="B297" s="22" t="n"/>
      <c r="C297" s="22" t="n"/>
      <c r="D297" s="7">
        <f>IF(A297="","",IF(ISNUMBER(A297),TEXT(A297,"00"),TRIM(A297)))</f>
        <v/>
      </c>
      <c r="E297" s="7">
        <f t="array" ref="E297">IF(OR(D297="",B297=""),"",MAX(IF((D$4:D$303=D297)*(B$4:B$303=B297)*ISNUMBER(C$4:C$303),C$4:C$303,0))+1)</f>
        <v/>
      </c>
      <c r="F297" s="7">
        <f>IF(OR(D297="",B297="",NOT(ISNUMBER(C297))),"",D297&amp;"-"&amp;B297&amp;"-"&amp;TEXT(C297,"000"))</f>
        <v/>
      </c>
      <c r="G297" s="23" t="n"/>
      <c r="H297" s="22" t="n"/>
      <c r="I297" s="24" t="n"/>
      <c r="J297" s="22" t="n"/>
      <c r="K297" s="22" t="n"/>
      <c r="L297" s="22" t="n"/>
      <c r="M297" s="22" t="n"/>
      <c r="N297" s="22" t="n"/>
      <c r="O297" s="7">
        <f>IF(F297="","",F297&amp;"_"&amp;SUBSTITUTE(SUBSTITUTE(SUBSTITUTE(SUBSTITUTE(SUBSTITUTE(SUBSTITUTE(SUBSTITUTE(SUBSTITUTE(SUBSTITUTE(SUBSTITUTE(TRIM(G297)," ","-"),"/","-"),"\","-"),":","-"),"*","-"),"?","-"),"""","-"),"&lt;","-"),"&gt;","-"),"|","-")&amp;IF(H297="","","_Rev"&amp;H297))</f>
        <v/>
      </c>
      <c r="P297" s="7">
        <f>IF(D297="","",IF(L297="Superseded","99 Archive",IF(AND(D297="04",K297&lt;&gt;""),IFERROR(INDEX('Google Drive Map'!$B$4:$B$33,MATCH("04/"&amp;LEFT(K297,2),'Google Drive Map'!$A$4:$A$33,0)),"04 Trades &amp; Tenders/"&amp;K297),IFERROR(INDEX('Google Drive Map'!$B$4:$B$33,MATCH(D297,'Google Drive Map'!$A$4:$A$33,0)),""))))</f>
        <v/>
      </c>
      <c r="Q297" s="7">
        <f>IF(P297="","",IF(IFERROR(INDEX('Google Drive Map'!$G$4:$G$33,MATCH(P297,'Google Drive Map'!$B$4:$B$33,0))&amp;"","")="","",HYPERLINK(INDEX('Google Drive Map'!$G$4:$G$33,MATCH(P297,'Google Drive Map'!$B$4:$B$33,0)),"Open")))</f>
        <v/>
      </c>
      <c r="R297" s="7">
        <f>IF(AND(A297="",B297="",C297=""),"",TRIM(IF(AND(D297&lt;&gt;"",ISNA(MATCH(D297,'Google Drive Map'!$A$4:$A$33,0))),"Folder code isn't on the folder map. ","")&amp;IF(AND(C297&lt;&gt;"",NOT(ISNUMBER(C297))),"No. must be a whole number. ","")&amp;IF(AND(D297&lt;&gt;"",B297&lt;&gt;"",C297=""),"Type the next free no. ","")&amp;IF(AND(F297&lt;&gt;"",COUNTIF(F$4:F$303,F297)&gt;1),"Duplicate Doc ID. ","")))</f>
        <v/>
      </c>
      <c r="S297" s="22" t="n"/>
      <c r="T297" s="23" t="n"/>
    </row>
    <row r="298">
      <c r="A298" s="35" t="n"/>
      <c r="B298" s="22" t="n"/>
      <c r="C298" s="22" t="n"/>
      <c r="D298" s="7">
        <f>IF(A298="","",IF(ISNUMBER(A298),TEXT(A298,"00"),TRIM(A298)))</f>
        <v/>
      </c>
      <c r="E298" s="7">
        <f t="array" ref="E298">IF(OR(D298="",B298=""),"",MAX(IF((D$4:D$303=D298)*(B$4:B$303=B298)*ISNUMBER(C$4:C$303),C$4:C$303,0))+1)</f>
        <v/>
      </c>
      <c r="F298" s="7">
        <f>IF(OR(D298="",B298="",NOT(ISNUMBER(C298))),"",D298&amp;"-"&amp;B298&amp;"-"&amp;TEXT(C298,"000"))</f>
        <v/>
      </c>
      <c r="G298" s="23" t="n"/>
      <c r="H298" s="22" t="n"/>
      <c r="I298" s="24" t="n"/>
      <c r="J298" s="22" t="n"/>
      <c r="K298" s="22" t="n"/>
      <c r="L298" s="22" t="n"/>
      <c r="M298" s="22" t="n"/>
      <c r="N298" s="22" t="n"/>
      <c r="O298" s="7">
        <f>IF(F298="","",F298&amp;"_"&amp;SUBSTITUTE(SUBSTITUTE(SUBSTITUTE(SUBSTITUTE(SUBSTITUTE(SUBSTITUTE(SUBSTITUTE(SUBSTITUTE(SUBSTITUTE(SUBSTITUTE(TRIM(G298)," ","-"),"/","-"),"\","-"),":","-"),"*","-"),"?","-"),"""","-"),"&lt;","-"),"&gt;","-"),"|","-")&amp;IF(H298="","","_Rev"&amp;H298))</f>
        <v/>
      </c>
      <c r="P298" s="7">
        <f>IF(D298="","",IF(L298="Superseded","99 Archive",IF(AND(D298="04",K298&lt;&gt;""),IFERROR(INDEX('Google Drive Map'!$B$4:$B$33,MATCH("04/"&amp;LEFT(K298,2),'Google Drive Map'!$A$4:$A$33,0)),"04 Trades &amp; Tenders/"&amp;K298),IFERROR(INDEX('Google Drive Map'!$B$4:$B$33,MATCH(D298,'Google Drive Map'!$A$4:$A$33,0)),""))))</f>
        <v/>
      </c>
      <c r="Q298" s="7">
        <f>IF(P298="","",IF(IFERROR(INDEX('Google Drive Map'!$G$4:$G$33,MATCH(P298,'Google Drive Map'!$B$4:$B$33,0))&amp;"","")="","",HYPERLINK(INDEX('Google Drive Map'!$G$4:$G$33,MATCH(P298,'Google Drive Map'!$B$4:$B$33,0)),"Open")))</f>
        <v/>
      </c>
      <c r="R298" s="7">
        <f>IF(AND(A298="",B298="",C298=""),"",TRIM(IF(AND(D298&lt;&gt;"",ISNA(MATCH(D298,'Google Drive Map'!$A$4:$A$33,0))),"Folder code isn't on the folder map. ","")&amp;IF(AND(C298&lt;&gt;"",NOT(ISNUMBER(C298))),"No. must be a whole number. ","")&amp;IF(AND(D298&lt;&gt;"",B298&lt;&gt;"",C298=""),"Type the next free no. ","")&amp;IF(AND(F298&lt;&gt;"",COUNTIF(F$4:F$303,F298)&gt;1),"Duplicate Doc ID. ","")))</f>
        <v/>
      </c>
      <c r="S298" s="22" t="n"/>
      <c r="T298" s="23" t="n"/>
    </row>
    <row r="299">
      <c r="A299" s="35" t="n"/>
      <c r="B299" s="22" t="n"/>
      <c r="C299" s="22" t="n"/>
      <c r="D299" s="7">
        <f>IF(A299="","",IF(ISNUMBER(A299),TEXT(A299,"00"),TRIM(A299)))</f>
        <v/>
      </c>
      <c r="E299" s="7">
        <f t="array" ref="E299">IF(OR(D299="",B299=""),"",MAX(IF((D$4:D$303=D299)*(B$4:B$303=B299)*ISNUMBER(C$4:C$303),C$4:C$303,0))+1)</f>
        <v/>
      </c>
      <c r="F299" s="7">
        <f>IF(OR(D299="",B299="",NOT(ISNUMBER(C299))),"",D299&amp;"-"&amp;B299&amp;"-"&amp;TEXT(C299,"000"))</f>
        <v/>
      </c>
      <c r="G299" s="23" t="n"/>
      <c r="H299" s="22" t="n"/>
      <c r="I299" s="24" t="n"/>
      <c r="J299" s="22" t="n"/>
      <c r="K299" s="22" t="n"/>
      <c r="L299" s="22" t="n"/>
      <c r="M299" s="22" t="n"/>
      <c r="N299" s="22" t="n"/>
      <c r="O299" s="7">
        <f>IF(F299="","",F299&amp;"_"&amp;SUBSTITUTE(SUBSTITUTE(SUBSTITUTE(SUBSTITUTE(SUBSTITUTE(SUBSTITUTE(SUBSTITUTE(SUBSTITUTE(SUBSTITUTE(SUBSTITUTE(TRIM(G299)," ","-"),"/","-"),"\","-"),":","-"),"*","-"),"?","-"),"""","-"),"&lt;","-"),"&gt;","-"),"|","-")&amp;IF(H299="","","_Rev"&amp;H299))</f>
        <v/>
      </c>
      <c r="P299" s="7">
        <f>IF(D299="","",IF(L299="Superseded","99 Archive",IF(AND(D299="04",K299&lt;&gt;""),IFERROR(INDEX('Google Drive Map'!$B$4:$B$33,MATCH("04/"&amp;LEFT(K299,2),'Google Drive Map'!$A$4:$A$33,0)),"04 Trades &amp; Tenders/"&amp;K299),IFERROR(INDEX('Google Drive Map'!$B$4:$B$33,MATCH(D299,'Google Drive Map'!$A$4:$A$33,0)),""))))</f>
        <v/>
      </c>
      <c r="Q299" s="7">
        <f>IF(P299="","",IF(IFERROR(INDEX('Google Drive Map'!$G$4:$G$33,MATCH(P299,'Google Drive Map'!$B$4:$B$33,0))&amp;"","")="","",HYPERLINK(INDEX('Google Drive Map'!$G$4:$G$33,MATCH(P299,'Google Drive Map'!$B$4:$B$33,0)),"Open")))</f>
        <v/>
      </c>
      <c r="R299" s="7">
        <f>IF(AND(A299="",B299="",C299=""),"",TRIM(IF(AND(D299&lt;&gt;"",ISNA(MATCH(D299,'Google Drive Map'!$A$4:$A$33,0))),"Folder code isn't on the folder map. ","")&amp;IF(AND(C299&lt;&gt;"",NOT(ISNUMBER(C299))),"No. must be a whole number. ","")&amp;IF(AND(D299&lt;&gt;"",B299&lt;&gt;"",C299=""),"Type the next free no. ","")&amp;IF(AND(F299&lt;&gt;"",COUNTIF(F$4:F$303,F299)&gt;1),"Duplicate Doc ID. ","")))</f>
        <v/>
      </c>
      <c r="S299" s="22" t="n"/>
      <c r="T299" s="23" t="n"/>
    </row>
    <row r="300">
      <c r="A300" s="35" t="n"/>
      <c r="B300" s="22" t="n"/>
      <c r="C300" s="22" t="n"/>
      <c r="D300" s="7">
        <f>IF(A300="","",IF(ISNUMBER(A300),TEXT(A300,"00"),TRIM(A300)))</f>
        <v/>
      </c>
      <c r="E300" s="7">
        <f t="array" ref="E300">IF(OR(D300="",B300=""),"",MAX(IF((D$4:D$303=D300)*(B$4:B$303=B300)*ISNUMBER(C$4:C$303),C$4:C$303,0))+1)</f>
        <v/>
      </c>
      <c r="F300" s="7">
        <f>IF(OR(D300="",B300="",NOT(ISNUMBER(C300))),"",D300&amp;"-"&amp;B300&amp;"-"&amp;TEXT(C300,"000"))</f>
        <v/>
      </c>
      <c r="G300" s="23" t="n"/>
      <c r="H300" s="22" t="n"/>
      <c r="I300" s="24" t="n"/>
      <c r="J300" s="22" t="n"/>
      <c r="K300" s="22" t="n"/>
      <c r="L300" s="22" t="n"/>
      <c r="M300" s="22" t="n"/>
      <c r="N300" s="22" t="n"/>
      <c r="O300" s="7">
        <f>IF(F300="","",F300&amp;"_"&amp;SUBSTITUTE(SUBSTITUTE(SUBSTITUTE(SUBSTITUTE(SUBSTITUTE(SUBSTITUTE(SUBSTITUTE(SUBSTITUTE(SUBSTITUTE(SUBSTITUTE(TRIM(G300)," ","-"),"/","-"),"\","-"),":","-"),"*","-"),"?","-"),"""","-"),"&lt;","-"),"&gt;","-"),"|","-")&amp;IF(H300="","","_Rev"&amp;H300))</f>
        <v/>
      </c>
      <c r="P300" s="7">
        <f>IF(D300="","",IF(L300="Superseded","99 Archive",IF(AND(D300="04",K300&lt;&gt;""),IFERROR(INDEX('Google Drive Map'!$B$4:$B$33,MATCH("04/"&amp;LEFT(K300,2),'Google Drive Map'!$A$4:$A$33,0)),"04 Trades &amp; Tenders/"&amp;K300),IFERROR(INDEX('Google Drive Map'!$B$4:$B$33,MATCH(D300,'Google Drive Map'!$A$4:$A$33,0)),""))))</f>
        <v/>
      </c>
      <c r="Q300" s="7">
        <f>IF(P300="","",IF(IFERROR(INDEX('Google Drive Map'!$G$4:$G$33,MATCH(P300,'Google Drive Map'!$B$4:$B$33,0))&amp;"","")="","",HYPERLINK(INDEX('Google Drive Map'!$G$4:$G$33,MATCH(P300,'Google Drive Map'!$B$4:$B$33,0)),"Open")))</f>
        <v/>
      </c>
      <c r="R300" s="7">
        <f>IF(AND(A300="",B300="",C300=""),"",TRIM(IF(AND(D300&lt;&gt;"",ISNA(MATCH(D300,'Google Drive Map'!$A$4:$A$33,0))),"Folder code isn't on the folder map. ","")&amp;IF(AND(C300&lt;&gt;"",NOT(ISNUMBER(C300))),"No. must be a whole number. ","")&amp;IF(AND(D300&lt;&gt;"",B300&lt;&gt;"",C300=""),"Type the next free no. ","")&amp;IF(AND(F300&lt;&gt;"",COUNTIF(F$4:F$303,F300)&gt;1),"Duplicate Doc ID. ","")))</f>
        <v/>
      </c>
      <c r="S300" s="22" t="n"/>
      <c r="T300" s="23" t="n"/>
    </row>
    <row r="301">
      <c r="A301" s="35" t="n"/>
      <c r="B301" s="22" t="n"/>
      <c r="C301" s="22" t="n"/>
      <c r="D301" s="7">
        <f>IF(A301="","",IF(ISNUMBER(A301),TEXT(A301,"00"),TRIM(A301)))</f>
        <v/>
      </c>
      <c r="E301" s="7">
        <f t="array" ref="E301">IF(OR(D301="",B301=""),"",MAX(IF((D$4:D$303=D301)*(B$4:B$303=B301)*ISNUMBER(C$4:C$303),C$4:C$303,0))+1)</f>
        <v/>
      </c>
      <c r="F301" s="7">
        <f>IF(OR(D301="",B301="",NOT(ISNUMBER(C301))),"",D301&amp;"-"&amp;B301&amp;"-"&amp;TEXT(C301,"000"))</f>
        <v/>
      </c>
      <c r="G301" s="23" t="n"/>
      <c r="H301" s="22" t="n"/>
      <c r="I301" s="24" t="n"/>
      <c r="J301" s="22" t="n"/>
      <c r="K301" s="22" t="n"/>
      <c r="L301" s="22" t="n"/>
      <c r="M301" s="22" t="n"/>
      <c r="N301" s="22" t="n"/>
      <c r="O301" s="7">
        <f>IF(F301="","",F301&amp;"_"&amp;SUBSTITUTE(SUBSTITUTE(SUBSTITUTE(SUBSTITUTE(SUBSTITUTE(SUBSTITUTE(SUBSTITUTE(SUBSTITUTE(SUBSTITUTE(SUBSTITUTE(TRIM(G301)," ","-"),"/","-"),"\","-"),":","-"),"*","-"),"?","-"),"""","-"),"&lt;","-"),"&gt;","-"),"|","-")&amp;IF(H301="","","_Rev"&amp;H301))</f>
        <v/>
      </c>
      <c r="P301" s="7">
        <f>IF(D301="","",IF(L301="Superseded","99 Archive",IF(AND(D301="04",K301&lt;&gt;""),IFERROR(INDEX('Google Drive Map'!$B$4:$B$33,MATCH("04/"&amp;LEFT(K301,2),'Google Drive Map'!$A$4:$A$33,0)),"04 Trades &amp; Tenders/"&amp;K301),IFERROR(INDEX('Google Drive Map'!$B$4:$B$33,MATCH(D301,'Google Drive Map'!$A$4:$A$33,0)),""))))</f>
        <v/>
      </c>
      <c r="Q301" s="7">
        <f>IF(P301="","",IF(IFERROR(INDEX('Google Drive Map'!$G$4:$G$33,MATCH(P301,'Google Drive Map'!$B$4:$B$33,0))&amp;"","")="","",HYPERLINK(INDEX('Google Drive Map'!$G$4:$G$33,MATCH(P301,'Google Drive Map'!$B$4:$B$33,0)),"Open")))</f>
        <v/>
      </c>
      <c r="R301" s="7">
        <f>IF(AND(A301="",B301="",C301=""),"",TRIM(IF(AND(D301&lt;&gt;"",ISNA(MATCH(D301,'Google Drive Map'!$A$4:$A$33,0))),"Folder code isn't on the folder map. ","")&amp;IF(AND(C301&lt;&gt;"",NOT(ISNUMBER(C301))),"No. must be a whole number. ","")&amp;IF(AND(D301&lt;&gt;"",B301&lt;&gt;"",C301=""),"Type the next free no. ","")&amp;IF(AND(F301&lt;&gt;"",COUNTIF(F$4:F$303,F301)&gt;1),"Duplicate Doc ID. ","")))</f>
        <v/>
      </c>
      <c r="S301" s="22" t="n"/>
      <c r="T301" s="23" t="n"/>
    </row>
    <row r="302">
      <c r="A302" s="35" t="n"/>
      <c r="B302" s="22" t="n"/>
      <c r="C302" s="22" t="n"/>
      <c r="D302" s="7">
        <f>IF(A302="","",IF(ISNUMBER(A302),TEXT(A302,"00"),TRIM(A302)))</f>
        <v/>
      </c>
      <c r="E302" s="7">
        <f t="array" ref="E302">IF(OR(D302="",B302=""),"",MAX(IF((D$4:D$303=D302)*(B$4:B$303=B302)*ISNUMBER(C$4:C$303),C$4:C$303,0))+1)</f>
        <v/>
      </c>
      <c r="F302" s="7">
        <f>IF(OR(D302="",B302="",NOT(ISNUMBER(C302))),"",D302&amp;"-"&amp;B302&amp;"-"&amp;TEXT(C302,"000"))</f>
        <v/>
      </c>
      <c r="G302" s="23" t="n"/>
      <c r="H302" s="22" t="n"/>
      <c r="I302" s="24" t="n"/>
      <c r="J302" s="22" t="n"/>
      <c r="K302" s="22" t="n"/>
      <c r="L302" s="22" t="n"/>
      <c r="M302" s="22" t="n"/>
      <c r="N302" s="22" t="n"/>
      <c r="O302" s="7">
        <f>IF(F302="","",F302&amp;"_"&amp;SUBSTITUTE(SUBSTITUTE(SUBSTITUTE(SUBSTITUTE(SUBSTITUTE(SUBSTITUTE(SUBSTITUTE(SUBSTITUTE(SUBSTITUTE(SUBSTITUTE(TRIM(G302)," ","-"),"/","-"),"\","-"),":","-"),"*","-"),"?","-"),"""","-"),"&lt;","-"),"&gt;","-"),"|","-")&amp;IF(H302="","","_Rev"&amp;H302))</f>
        <v/>
      </c>
      <c r="P302" s="7">
        <f>IF(D302="","",IF(L302="Superseded","99 Archive",IF(AND(D302="04",K302&lt;&gt;""),IFERROR(INDEX('Google Drive Map'!$B$4:$B$33,MATCH("04/"&amp;LEFT(K302,2),'Google Drive Map'!$A$4:$A$33,0)),"04 Trades &amp; Tenders/"&amp;K302),IFERROR(INDEX('Google Drive Map'!$B$4:$B$33,MATCH(D302,'Google Drive Map'!$A$4:$A$33,0)),""))))</f>
        <v/>
      </c>
      <c r="Q302" s="7">
        <f>IF(P302="","",IF(IFERROR(INDEX('Google Drive Map'!$G$4:$G$33,MATCH(P302,'Google Drive Map'!$B$4:$B$33,0))&amp;"","")="","",HYPERLINK(INDEX('Google Drive Map'!$G$4:$G$33,MATCH(P302,'Google Drive Map'!$B$4:$B$33,0)),"Open")))</f>
        <v/>
      </c>
      <c r="R302" s="7">
        <f>IF(AND(A302="",B302="",C302=""),"",TRIM(IF(AND(D302&lt;&gt;"",ISNA(MATCH(D302,'Google Drive Map'!$A$4:$A$33,0))),"Folder code isn't on the folder map. ","")&amp;IF(AND(C302&lt;&gt;"",NOT(ISNUMBER(C302))),"No. must be a whole number. ","")&amp;IF(AND(D302&lt;&gt;"",B302&lt;&gt;"",C302=""),"Type the next free no. ","")&amp;IF(AND(F302&lt;&gt;"",COUNTIF(F$4:F$303,F302)&gt;1),"Duplicate Doc ID. ","")))</f>
        <v/>
      </c>
      <c r="S302" s="22" t="n"/>
      <c r="T302" s="23" t="n"/>
    </row>
    <row r="303">
      <c r="A303" s="35" t="n"/>
      <c r="B303" s="22" t="n"/>
      <c r="C303" s="22" t="n"/>
      <c r="D303" s="7">
        <f>IF(A303="","",IF(ISNUMBER(A303),TEXT(A303,"00"),TRIM(A303)))</f>
        <v/>
      </c>
      <c r="E303" s="7">
        <f t="array" ref="E303">IF(OR(D303="",B303=""),"",MAX(IF((D$4:D$303=D303)*(B$4:B$303=B303)*ISNUMBER(C$4:C$303),C$4:C$303,0))+1)</f>
        <v/>
      </c>
      <c r="F303" s="7">
        <f>IF(OR(D303="",B303="",NOT(ISNUMBER(C303))),"",D303&amp;"-"&amp;B303&amp;"-"&amp;TEXT(C303,"000"))</f>
        <v/>
      </c>
      <c r="G303" s="23" t="n"/>
      <c r="H303" s="22" t="n"/>
      <c r="I303" s="24" t="n"/>
      <c r="J303" s="22" t="n"/>
      <c r="K303" s="22" t="n"/>
      <c r="L303" s="22" t="n"/>
      <c r="M303" s="22" t="n"/>
      <c r="N303" s="22" t="n"/>
      <c r="O303" s="7">
        <f>IF(F303="","",F303&amp;"_"&amp;SUBSTITUTE(SUBSTITUTE(SUBSTITUTE(SUBSTITUTE(SUBSTITUTE(SUBSTITUTE(SUBSTITUTE(SUBSTITUTE(SUBSTITUTE(SUBSTITUTE(TRIM(G303)," ","-"),"/","-"),"\","-"),":","-"),"*","-"),"?","-"),"""","-"),"&lt;","-"),"&gt;","-"),"|","-")&amp;IF(H303="","","_Rev"&amp;H303))</f>
        <v/>
      </c>
      <c r="P303" s="7">
        <f>IF(D303="","",IF(L303="Superseded","99 Archive",IF(AND(D303="04",K303&lt;&gt;""),IFERROR(INDEX('Google Drive Map'!$B$4:$B$33,MATCH("04/"&amp;LEFT(K303,2),'Google Drive Map'!$A$4:$A$33,0)),"04 Trades &amp; Tenders/"&amp;K303),IFERROR(INDEX('Google Drive Map'!$B$4:$B$33,MATCH(D303,'Google Drive Map'!$A$4:$A$33,0)),""))))</f>
        <v/>
      </c>
      <c r="Q303" s="7">
        <f>IF(P303="","",IF(IFERROR(INDEX('Google Drive Map'!$G$4:$G$33,MATCH(P303,'Google Drive Map'!$B$4:$B$33,0))&amp;"","")="","",HYPERLINK(INDEX('Google Drive Map'!$G$4:$G$33,MATCH(P303,'Google Drive Map'!$B$4:$B$33,0)),"Open")))</f>
        <v/>
      </c>
      <c r="R303" s="7">
        <f>IF(AND(A303="",B303="",C303=""),"",TRIM(IF(AND(D303&lt;&gt;"",ISNA(MATCH(D303,'Google Drive Map'!$A$4:$A$33,0))),"Folder code isn't on the folder map. ","")&amp;IF(AND(C303&lt;&gt;"",NOT(ISNUMBER(C303))),"No. must be a whole number. ","")&amp;IF(AND(D303&lt;&gt;"",B303&lt;&gt;"",C303=""),"Type the next free no. ","")&amp;IF(AND(F303&lt;&gt;"",COUNTIF(F$4:F$303,F303)&gt;1),"Duplicate Doc ID. ","")))</f>
        <v/>
      </c>
      <c r="S303" s="22" t="n"/>
      <c r="T303" s="23" t="n"/>
    </row>
  </sheetData>
  <sheetProtection selectLockedCells="0" selectUnlockedCells="0" sheet="1" objects="0" insertRows="0" insertHyperlinks="0" autoFilter="0" scenarios="0" formatColumns="0" deleteColumns="1" insertColumns="1" pivotTables="1" deleteRows="0" formatCells="0" formatRows="0" sort="0"/>
  <autoFilter ref="A3:T303"/>
  <conditionalFormatting sqref="F4:F303">
    <cfRule type="expression" priority="1" dxfId="2">
      <formula>AND(F4&lt;&gt;"",COUNTIF($F$4:$F$303,F4)&gt;1)</formula>
    </cfRule>
  </conditionalFormatting>
  <conditionalFormatting sqref="L4:L303">
    <cfRule type="cellIs" priority="2" operator="equal" dxfId="1">
      <formula>"Superseded"</formula>
    </cfRule>
  </conditionalFormatting>
  <conditionalFormatting sqref="R4:R303">
    <cfRule type="expression" priority="3" dxfId="2">
      <formula>LEN(R4)&gt;0</formula>
    </cfRule>
  </conditionalFormatting>
  <dataValidations count="5">
    <dataValidation sqref="A4:A303" showDropDown="0" showInputMessage="0" showErrorMessage="0" allowBlank="1" error="Pick a value from the list." type="list" errorStyle="warning">
      <formula1>=Lists!$L$2:$L$11</formula1>
    </dataValidation>
    <dataValidation sqref="B4:B303" showDropDown="0" showInputMessage="0" showErrorMessage="0" allowBlank="1" error="Pick a value from the list." type="list" errorStyle="warning">
      <formula1>=Lists!$M$2:$M$25</formula1>
    </dataValidation>
    <dataValidation sqref="K4:K303" showDropDown="0" showInputMessage="0" showErrorMessage="0" allowBlank="1" error="Pick a value from the list." type="list" errorStyle="warning">
      <formula1>='Packages'!$B$4:$B$33</formula1>
    </dataValidation>
    <dataValidation sqref="L4:L303" showDropDown="0" showInputMessage="0" showErrorMessage="0" allowBlank="1" error="Pick a value from the list." type="list" errorStyle="warning">
      <formula1>=Lists!$N$2:$N$4</formula1>
    </dataValidation>
    <dataValidation sqref="M4:M303" showDropDown="0" showInputMessage="0" showErrorMessage="0" allowBlank="1" error="Pick a value from the list." type="list" errorStyle="warning">
      <formula1>=Lists!$A$2:$A$9</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P3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26" customWidth="1" min="1" max="1"/>
    <col width="12" customWidth="1" min="2" max="2"/>
    <col width="8" customWidth="1" min="3" max="3"/>
    <col width="10" customWidth="1" min="4" max="4"/>
    <col width="9" customWidth="1" min="5" max="5"/>
    <col width="9" customWidth="1" min="6" max="6"/>
    <col width="9" customWidth="1" min="7" max="7"/>
    <col width="9" customWidth="1" min="8" max="8"/>
    <col width="8" customWidth="1" min="9" max="9"/>
    <col width="10" customWidth="1" min="10" max="10"/>
    <col width="24" customWidth="1" min="11" max="11"/>
    <col width="9" customWidth="1" min="12" max="12"/>
    <col width="14" customWidth="1" min="13" max="13"/>
    <col width="14" customWidth="1" min="14" max="14"/>
    <col width="11" customWidth="1" min="15" max="15"/>
    <col width="30" customWidth="1" min="16" max="16"/>
  </cols>
  <sheetData>
    <row r="1" ht="24" customHeight="1">
      <c r="A1" s="1" t="inlineStr">
        <is>
          <t>Tender weights &amp; recommendations</t>
        </is>
      </c>
    </row>
    <row r="2">
      <c r="A2" s="2" t="inlineStr">
        <is>
          <t>Set the scoring weights for each package (they must add to 100). The recommendation updates as you enter quotes on the Tenders tab.</t>
        </is>
      </c>
    </row>
    <row r="3" ht="32" customHeight="1">
      <c r="A3" s="21" t="inlineStr">
        <is>
          <t>Package</t>
        </is>
      </c>
      <c r="B3" s="21" t="inlineStr">
        <is>
          <t>Budget ($)</t>
        </is>
      </c>
      <c r="C3" s="20" t="inlineStr">
        <is>
          <t>Price %</t>
        </is>
      </c>
      <c r="D3" s="20" t="inlineStr">
        <is>
          <t>Experience %</t>
        </is>
      </c>
      <c r="E3" s="20" t="inlineStr">
        <is>
          <t>Program %</t>
        </is>
      </c>
      <c r="F3" s="20" t="inlineStr">
        <is>
          <t>Quality %</t>
        </is>
      </c>
      <c r="G3" s="20" t="inlineStr">
        <is>
          <t>Comms %</t>
        </is>
      </c>
      <c r="H3" s="20" t="inlineStr">
        <is>
          <t>Warranty %</t>
        </is>
      </c>
      <c r="I3" s="21" t="inlineStr">
        <is>
          <t>Total %</t>
        </is>
      </c>
      <c r="J3" s="21" t="inlineStr">
        <is>
          <t>Compliant tenders</t>
        </is>
      </c>
      <c r="K3" s="21" t="inlineStr">
        <is>
          <t>Recommended</t>
        </is>
      </c>
      <c r="L3" s="21" t="inlineStr">
        <is>
          <t>Score /100</t>
        </is>
      </c>
      <c r="M3" s="21" t="inlineStr">
        <is>
          <t>Levelled price ($)</t>
        </is>
      </c>
      <c r="N3" s="21" t="inlineStr">
        <is>
          <t>Over / (under) budget ($)</t>
        </is>
      </c>
      <c r="O3" s="21" t="inlineStr">
        <is>
          <t>Lead over #2 (points)</t>
        </is>
      </c>
      <c r="P3" s="20" t="inlineStr">
        <is>
          <t>Notes</t>
        </is>
      </c>
    </row>
    <row r="4">
      <c r="A4" s="7">
        <f>IF('Packages'!B4="","",'Packages'!B4)</f>
        <v/>
      </c>
      <c r="B4" s="9">
        <f>IF('Packages'!H4="","",'Packages'!H4)</f>
        <v/>
      </c>
      <c r="C4" s="22" t="n">
        <v>50</v>
      </c>
      <c r="D4" s="22" t="n">
        <v>15</v>
      </c>
      <c r="E4" s="22" t="n">
        <v>15</v>
      </c>
      <c r="F4" s="22" t="n">
        <v>10</v>
      </c>
      <c r="G4" s="22" t="n">
        <v>5</v>
      </c>
      <c r="H4" s="22" t="n">
        <v>5</v>
      </c>
      <c r="I4" s="7">
        <f>IF(A4="","",SUM(C4:H4))</f>
        <v/>
      </c>
      <c r="J4" s="7">
        <f>IF($A4="","",COUNTIFS('Tenders'!$T$4:$T$103,LEFT($A4,2),'Tenders'!$I$4:$I$103,"Yes"))</f>
        <v/>
      </c>
      <c r="K4" s="7">
        <f>IF($A4="","",IF(COUNTIF('Tenders'!$AD$4:$AD$103,LEFT($A4,2)&amp;"|1")&gt;1,"Tie: "&amp;COUNTIF('Tenders'!$AD$4:$AD$103,LEFT($A4,2)&amp;"|1")&amp;" quotes share 1st",IFERROR(INDEX('Tenders'!$B$4:$B$103,MATCH(LEFT($A4,2)&amp;"|1",'Tenders'!$AD$4:$AD$103,0)),"")))</f>
        <v/>
      </c>
      <c r="L4" s="11">
        <f>IF($A4="","",IFERROR(INDEX('Tenders'!$Z$4:$Z$103,MATCH(LEFT($A4,2)&amp;"|1",'Tenders'!$AD$4:$AD$103,0)),""))</f>
        <v/>
      </c>
      <c r="M4" s="9">
        <f>IF(OR($A4="",COUNTIF('Tenders'!$AD$4:$AD$103,LEFT($A4,2)&amp;"|1")&gt;1),"",IFERROR(INDEX('Tenders'!$N$4:$N$103,MATCH(LEFT($A4,2)&amp;"|1",'Tenders'!$AD$4:$AD$103,0)),""))</f>
        <v/>
      </c>
      <c r="N4" s="10">
        <f>IF(OR(M4="",N(B4)=0),"",M4-B4)</f>
        <v/>
      </c>
      <c r="O4" s="11">
        <f>IF(OR($A4="",COUNTIF('Tenders'!$AD$4:$AD$103,LEFT($A4,2)&amp;"|1")&gt;1),"",IFERROR(L4-INDEX('Tenders'!$Z$4:$Z$103,MATCH(LEFT($A4,2)&amp;"|2",'Tenders'!$AD$4:$AD$103,0)),""))</f>
        <v/>
      </c>
      <c r="P4" s="23" t="n"/>
    </row>
    <row r="5">
      <c r="A5" s="7">
        <f>IF('Packages'!B5="","",'Packages'!B5)</f>
        <v/>
      </c>
      <c r="B5" s="9">
        <f>IF('Packages'!H5="","",'Packages'!H5)</f>
        <v/>
      </c>
      <c r="C5" s="22" t="n">
        <v>50</v>
      </c>
      <c r="D5" s="22" t="n">
        <v>15</v>
      </c>
      <c r="E5" s="22" t="n">
        <v>15</v>
      </c>
      <c r="F5" s="22" t="n">
        <v>10</v>
      </c>
      <c r="G5" s="22" t="n">
        <v>5</v>
      </c>
      <c r="H5" s="22" t="n">
        <v>5</v>
      </c>
      <c r="I5" s="7">
        <f>IF(A5="","",SUM(C5:H5))</f>
        <v/>
      </c>
      <c r="J5" s="7">
        <f>IF($A5="","",COUNTIFS('Tenders'!$T$4:$T$103,LEFT($A5,2),'Tenders'!$I$4:$I$103,"Yes"))</f>
        <v/>
      </c>
      <c r="K5" s="7">
        <f>IF($A5="","",IF(COUNTIF('Tenders'!$AD$4:$AD$103,LEFT($A5,2)&amp;"|1")&gt;1,"Tie: "&amp;COUNTIF('Tenders'!$AD$4:$AD$103,LEFT($A5,2)&amp;"|1")&amp;" quotes share 1st",IFERROR(INDEX('Tenders'!$B$4:$B$103,MATCH(LEFT($A5,2)&amp;"|1",'Tenders'!$AD$4:$AD$103,0)),"")))</f>
        <v/>
      </c>
      <c r="L5" s="11">
        <f>IF($A5="","",IFERROR(INDEX('Tenders'!$Z$4:$Z$103,MATCH(LEFT($A5,2)&amp;"|1",'Tenders'!$AD$4:$AD$103,0)),""))</f>
        <v/>
      </c>
      <c r="M5" s="9">
        <f>IF(OR($A5="",COUNTIF('Tenders'!$AD$4:$AD$103,LEFT($A5,2)&amp;"|1")&gt;1),"",IFERROR(INDEX('Tenders'!$N$4:$N$103,MATCH(LEFT($A5,2)&amp;"|1",'Tenders'!$AD$4:$AD$103,0)),""))</f>
        <v/>
      </c>
      <c r="N5" s="10">
        <f>IF(OR(M5="",N(B5)=0),"",M5-B5)</f>
        <v/>
      </c>
      <c r="O5" s="11">
        <f>IF(OR($A5="",COUNTIF('Tenders'!$AD$4:$AD$103,LEFT($A5,2)&amp;"|1")&gt;1),"",IFERROR(L5-INDEX('Tenders'!$Z$4:$Z$103,MATCH(LEFT($A5,2)&amp;"|2",'Tenders'!$AD$4:$AD$103,0)),""))</f>
        <v/>
      </c>
      <c r="P5" s="23" t="n"/>
    </row>
    <row r="6">
      <c r="A6" s="7">
        <f>IF('Packages'!B6="","",'Packages'!B6)</f>
        <v/>
      </c>
      <c r="B6" s="9">
        <f>IF('Packages'!H6="","",'Packages'!H6)</f>
        <v/>
      </c>
      <c r="C6" s="22" t="n">
        <v>50</v>
      </c>
      <c r="D6" s="22" t="n">
        <v>15</v>
      </c>
      <c r="E6" s="22" t="n">
        <v>15</v>
      </c>
      <c r="F6" s="22" t="n">
        <v>10</v>
      </c>
      <c r="G6" s="22" t="n">
        <v>5</v>
      </c>
      <c r="H6" s="22" t="n">
        <v>5</v>
      </c>
      <c r="I6" s="7">
        <f>IF(A6="","",SUM(C6:H6))</f>
        <v/>
      </c>
      <c r="J6" s="7">
        <f>IF($A6="","",COUNTIFS('Tenders'!$T$4:$T$103,LEFT($A6,2),'Tenders'!$I$4:$I$103,"Yes"))</f>
        <v/>
      </c>
      <c r="K6" s="7">
        <f>IF($A6="","",IF(COUNTIF('Tenders'!$AD$4:$AD$103,LEFT($A6,2)&amp;"|1")&gt;1,"Tie: "&amp;COUNTIF('Tenders'!$AD$4:$AD$103,LEFT($A6,2)&amp;"|1")&amp;" quotes share 1st",IFERROR(INDEX('Tenders'!$B$4:$B$103,MATCH(LEFT($A6,2)&amp;"|1",'Tenders'!$AD$4:$AD$103,0)),"")))</f>
        <v/>
      </c>
      <c r="L6" s="11">
        <f>IF($A6="","",IFERROR(INDEX('Tenders'!$Z$4:$Z$103,MATCH(LEFT($A6,2)&amp;"|1",'Tenders'!$AD$4:$AD$103,0)),""))</f>
        <v/>
      </c>
      <c r="M6" s="9">
        <f>IF(OR($A6="",COUNTIF('Tenders'!$AD$4:$AD$103,LEFT($A6,2)&amp;"|1")&gt;1),"",IFERROR(INDEX('Tenders'!$N$4:$N$103,MATCH(LEFT($A6,2)&amp;"|1",'Tenders'!$AD$4:$AD$103,0)),""))</f>
        <v/>
      </c>
      <c r="N6" s="10">
        <f>IF(OR(M6="",N(B6)=0),"",M6-B6)</f>
        <v/>
      </c>
      <c r="O6" s="11">
        <f>IF(OR($A6="",COUNTIF('Tenders'!$AD$4:$AD$103,LEFT($A6,2)&amp;"|1")&gt;1),"",IFERROR(L6-INDEX('Tenders'!$Z$4:$Z$103,MATCH(LEFT($A6,2)&amp;"|2",'Tenders'!$AD$4:$AD$103,0)),""))</f>
        <v/>
      </c>
      <c r="P6" s="23" t="n"/>
    </row>
    <row r="7">
      <c r="A7" s="7">
        <f>IF('Packages'!B7="","",'Packages'!B7)</f>
        <v/>
      </c>
      <c r="B7" s="9">
        <f>IF('Packages'!H7="","",'Packages'!H7)</f>
        <v/>
      </c>
      <c r="C7" s="22" t="n">
        <v>50</v>
      </c>
      <c r="D7" s="22" t="n">
        <v>15</v>
      </c>
      <c r="E7" s="22" t="n">
        <v>15</v>
      </c>
      <c r="F7" s="22" t="n">
        <v>10</v>
      </c>
      <c r="G7" s="22" t="n">
        <v>5</v>
      </c>
      <c r="H7" s="22" t="n">
        <v>5</v>
      </c>
      <c r="I7" s="7">
        <f>IF(A7="","",SUM(C7:H7))</f>
        <v/>
      </c>
      <c r="J7" s="7">
        <f>IF($A7="","",COUNTIFS('Tenders'!$T$4:$T$103,LEFT($A7,2),'Tenders'!$I$4:$I$103,"Yes"))</f>
        <v/>
      </c>
      <c r="K7" s="7">
        <f>IF($A7="","",IF(COUNTIF('Tenders'!$AD$4:$AD$103,LEFT($A7,2)&amp;"|1")&gt;1,"Tie: "&amp;COUNTIF('Tenders'!$AD$4:$AD$103,LEFT($A7,2)&amp;"|1")&amp;" quotes share 1st",IFERROR(INDEX('Tenders'!$B$4:$B$103,MATCH(LEFT($A7,2)&amp;"|1",'Tenders'!$AD$4:$AD$103,0)),"")))</f>
        <v/>
      </c>
      <c r="L7" s="11">
        <f>IF($A7="","",IFERROR(INDEX('Tenders'!$Z$4:$Z$103,MATCH(LEFT($A7,2)&amp;"|1",'Tenders'!$AD$4:$AD$103,0)),""))</f>
        <v/>
      </c>
      <c r="M7" s="9">
        <f>IF(OR($A7="",COUNTIF('Tenders'!$AD$4:$AD$103,LEFT($A7,2)&amp;"|1")&gt;1),"",IFERROR(INDEX('Tenders'!$N$4:$N$103,MATCH(LEFT($A7,2)&amp;"|1",'Tenders'!$AD$4:$AD$103,0)),""))</f>
        <v/>
      </c>
      <c r="N7" s="10">
        <f>IF(OR(M7="",N(B7)=0),"",M7-B7)</f>
        <v/>
      </c>
      <c r="O7" s="11">
        <f>IF(OR($A7="",COUNTIF('Tenders'!$AD$4:$AD$103,LEFT($A7,2)&amp;"|1")&gt;1),"",IFERROR(L7-INDEX('Tenders'!$Z$4:$Z$103,MATCH(LEFT($A7,2)&amp;"|2",'Tenders'!$AD$4:$AD$103,0)),""))</f>
        <v/>
      </c>
      <c r="P7" s="23" t="n"/>
    </row>
    <row r="8">
      <c r="A8" s="7">
        <f>IF('Packages'!B8="","",'Packages'!B8)</f>
        <v/>
      </c>
      <c r="B8" s="9">
        <f>IF('Packages'!H8="","",'Packages'!H8)</f>
        <v/>
      </c>
      <c r="C8" s="22" t="n">
        <v>50</v>
      </c>
      <c r="D8" s="22" t="n">
        <v>15</v>
      </c>
      <c r="E8" s="22" t="n">
        <v>15</v>
      </c>
      <c r="F8" s="22" t="n">
        <v>10</v>
      </c>
      <c r="G8" s="22" t="n">
        <v>5</v>
      </c>
      <c r="H8" s="22" t="n">
        <v>5</v>
      </c>
      <c r="I8" s="7">
        <f>IF(A8="","",SUM(C8:H8))</f>
        <v/>
      </c>
      <c r="J8" s="7">
        <f>IF($A8="","",COUNTIFS('Tenders'!$T$4:$T$103,LEFT($A8,2),'Tenders'!$I$4:$I$103,"Yes"))</f>
        <v/>
      </c>
      <c r="K8" s="7">
        <f>IF($A8="","",IF(COUNTIF('Tenders'!$AD$4:$AD$103,LEFT($A8,2)&amp;"|1")&gt;1,"Tie: "&amp;COUNTIF('Tenders'!$AD$4:$AD$103,LEFT($A8,2)&amp;"|1")&amp;" quotes share 1st",IFERROR(INDEX('Tenders'!$B$4:$B$103,MATCH(LEFT($A8,2)&amp;"|1",'Tenders'!$AD$4:$AD$103,0)),"")))</f>
        <v/>
      </c>
      <c r="L8" s="11">
        <f>IF($A8="","",IFERROR(INDEX('Tenders'!$Z$4:$Z$103,MATCH(LEFT($A8,2)&amp;"|1",'Tenders'!$AD$4:$AD$103,0)),""))</f>
        <v/>
      </c>
      <c r="M8" s="9">
        <f>IF(OR($A8="",COUNTIF('Tenders'!$AD$4:$AD$103,LEFT($A8,2)&amp;"|1")&gt;1),"",IFERROR(INDEX('Tenders'!$N$4:$N$103,MATCH(LEFT($A8,2)&amp;"|1",'Tenders'!$AD$4:$AD$103,0)),""))</f>
        <v/>
      </c>
      <c r="N8" s="10">
        <f>IF(OR(M8="",N(B8)=0),"",M8-B8)</f>
        <v/>
      </c>
      <c r="O8" s="11">
        <f>IF(OR($A8="",COUNTIF('Tenders'!$AD$4:$AD$103,LEFT($A8,2)&amp;"|1")&gt;1),"",IFERROR(L8-INDEX('Tenders'!$Z$4:$Z$103,MATCH(LEFT($A8,2)&amp;"|2",'Tenders'!$AD$4:$AD$103,0)),""))</f>
        <v/>
      </c>
      <c r="P8" s="23" t="n"/>
    </row>
    <row r="9">
      <c r="A9" s="7">
        <f>IF('Packages'!B9="","",'Packages'!B9)</f>
        <v/>
      </c>
      <c r="B9" s="9">
        <f>IF('Packages'!H9="","",'Packages'!H9)</f>
        <v/>
      </c>
      <c r="C9" s="22" t="n">
        <v>50</v>
      </c>
      <c r="D9" s="22" t="n">
        <v>15</v>
      </c>
      <c r="E9" s="22" t="n">
        <v>15</v>
      </c>
      <c r="F9" s="22" t="n">
        <v>10</v>
      </c>
      <c r="G9" s="22" t="n">
        <v>5</v>
      </c>
      <c r="H9" s="22" t="n">
        <v>5</v>
      </c>
      <c r="I9" s="7">
        <f>IF(A9="","",SUM(C9:H9))</f>
        <v/>
      </c>
      <c r="J9" s="7">
        <f>IF($A9="","",COUNTIFS('Tenders'!$T$4:$T$103,LEFT($A9,2),'Tenders'!$I$4:$I$103,"Yes"))</f>
        <v/>
      </c>
      <c r="K9" s="7">
        <f>IF($A9="","",IF(COUNTIF('Tenders'!$AD$4:$AD$103,LEFT($A9,2)&amp;"|1")&gt;1,"Tie: "&amp;COUNTIF('Tenders'!$AD$4:$AD$103,LEFT($A9,2)&amp;"|1")&amp;" quotes share 1st",IFERROR(INDEX('Tenders'!$B$4:$B$103,MATCH(LEFT($A9,2)&amp;"|1",'Tenders'!$AD$4:$AD$103,0)),"")))</f>
        <v/>
      </c>
      <c r="L9" s="11">
        <f>IF($A9="","",IFERROR(INDEX('Tenders'!$Z$4:$Z$103,MATCH(LEFT($A9,2)&amp;"|1",'Tenders'!$AD$4:$AD$103,0)),""))</f>
        <v/>
      </c>
      <c r="M9" s="9">
        <f>IF(OR($A9="",COUNTIF('Tenders'!$AD$4:$AD$103,LEFT($A9,2)&amp;"|1")&gt;1),"",IFERROR(INDEX('Tenders'!$N$4:$N$103,MATCH(LEFT($A9,2)&amp;"|1",'Tenders'!$AD$4:$AD$103,0)),""))</f>
        <v/>
      </c>
      <c r="N9" s="10">
        <f>IF(OR(M9="",N(B9)=0),"",M9-B9)</f>
        <v/>
      </c>
      <c r="O9" s="11">
        <f>IF(OR($A9="",COUNTIF('Tenders'!$AD$4:$AD$103,LEFT($A9,2)&amp;"|1")&gt;1),"",IFERROR(L9-INDEX('Tenders'!$Z$4:$Z$103,MATCH(LEFT($A9,2)&amp;"|2",'Tenders'!$AD$4:$AD$103,0)),""))</f>
        <v/>
      </c>
      <c r="P9" s="23" t="n"/>
    </row>
    <row r="10">
      <c r="A10" s="7">
        <f>IF('Packages'!B10="","",'Packages'!B10)</f>
        <v/>
      </c>
      <c r="B10" s="9">
        <f>IF('Packages'!H10="","",'Packages'!H10)</f>
        <v/>
      </c>
      <c r="C10" s="22" t="n">
        <v>50</v>
      </c>
      <c r="D10" s="22" t="n">
        <v>15</v>
      </c>
      <c r="E10" s="22" t="n">
        <v>15</v>
      </c>
      <c r="F10" s="22" t="n">
        <v>10</v>
      </c>
      <c r="G10" s="22" t="n">
        <v>5</v>
      </c>
      <c r="H10" s="22" t="n">
        <v>5</v>
      </c>
      <c r="I10" s="7">
        <f>IF(A10="","",SUM(C10:H10))</f>
        <v/>
      </c>
      <c r="J10" s="7">
        <f>IF($A10="","",COUNTIFS('Tenders'!$T$4:$T$103,LEFT($A10,2),'Tenders'!$I$4:$I$103,"Yes"))</f>
        <v/>
      </c>
      <c r="K10" s="7">
        <f>IF($A10="","",IF(COUNTIF('Tenders'!$AD$4:$AD$103,LEFT($A10,2)&amp;"|1")&gt;1,"Tie: "&amp;COUNTIF('Tenders'!$AD$4:$AD$103,LEFT($A10,2)&amp;"|1")&amp;" quotes share 1st",IFERROR(INDEX('Tenders'!$B$4:$B$103,MATCH(LEFT($A10,2)&amp;"|1",'Tenders'!$AD$4:$AD$103,0)),"")))</f>
        <v/>
      </c>
      <c r="L10" s="11">
        <f>IF($A10="","",IFERROR(INDEX('Tenders'!$Z$4:$Z$103,MATCH(LEFT($A10,2)&amp;"|1",'Tenders'!$AD$4:$AD$103,0)),""))</f>
        <v/>
      </c>
      <c r="M10" s="9">
        <f>IF(OR($A10="",COUNTIF('Tenders'!$AD$4:$AD$103,LEFT($A10,2)&amp;"|1")&gt;1),"",IFERROR(INDEX('Tenders'!$N$4:$N$103,MATCH(LEFT($A10,2)&amp;"|1",'Tenders'!$AD$4:$AD$103,0)),""))</f>
        <v/>
      </c>
      <c r="N10" s="10">
        <f>IF(OR(M10="",N(B10)=0),"",M10-B10)</f>
        <v/>
      </c>
      <c r="O10" s="11">
        <f>IF(OR($A10="",COUNTIF('Tenders'!$AD$4:$AD$103,LEFT($A10,2)&amp;"|1")&gt;1),"",IFERROR(L10-INDEX('Tenders'!$Z$4:$Z$103,MATCH(LEFT($A10,2)&amp;"|2",'Tenders'!$AD$4:$AD$103,0)),""))</f>
        <v/>
      </c>
      <c r="P10" s="23" t="n"/>
    </row>
    <row r="11">
      <c r="A11" s="7">
        <f>IF('Packages'!B11="","",'Packages'!B11)</f>
        <v/>
      </c>
      <c r="B11" s="9">
        <f>IF('Packages'!H11="","",'Packages'!H11)</f>
        <v/>
      </c>
      <c r="C11" s="22" t="n">
        <v>50</v>
      </c>
      <c r="D11" s="22" t="n">
        <v>15</v>
      </c>
      <c r="E11" s="22" t="n">
        <v>15</v>
      </c>
      <c r="F11" s="22" t="n">
        <v>10</v>
      </c>
      <c r="G11" s="22" t="n">
        <v>5</v>
      </c>
      <c r="H11" s="22" t="n">
        <v>5</v>
      </c>
      <c r="I11" s="7">
        <f>IF(A11="","",SUM(C11:H11))</f>
        <v/>
      </c>
      <c r="J11" s="7">
        <f>IF($A11="","",COUNTIFS('Tenders'!$T$4:$T$103,LEFT($A11,2),'Tenders'!$I$4:$I$103,"Yes"))</f>
        <v/>
      </c>
      <c r="K11" s="7">
        <f>IF($A11="","",IF(COUNTIF('Tenders'!$AD$4:$AD$103,LEFT($A11,2)&amp;"|1")&gt;1,"Tie: "&amp;COUNTIF('Tenders'!$AD$4:$AD$103,LEFT($A11,2)&amp;"|1")&amp;" quotes share 1st",IFERROR(INDEX('Tenders'!$B$4:$B$103,MATCH(LEFT($A11,2)&amp;"|1",'Tenders'!$AD$4:$AD$103,0)),"")))</f>
        <v/>
      </c>
      <c r="L11" s="11">
        <f>IF($A11="","",IFERROR(INDEX('Tenders'!$Z$4:$Z$103,MATCH(LEFT($A11,2)&amp;"|1",'Tenders'!$AD$4:$AD$103,0)),""))</f>
        <v/>
      </c>
      <c r="M11" s="9">
        <f>IF(OR($A11="",COUNTIF('Tenders'!$AD$4:$AD$103,LEFT($A11,2)&amp;"|1")&gt;1),"",IFERROR(INDEX('Tenders'!$N$4:$N$103,MATCH(LEFT($A11,2)&amp;"|1",'Tenders'!$AD$4:$AD$103,0)),""))</f>
        <v/>
      </c>
      <c r="N11" s="10">
        <f>IF(OR(M11="",N(B11)=0),"",M11-B11)</f>
        <v/>
      </c>
      <c r="O11" s="11">
        <f>IF(OR($A11="",COUNTIF('Tenders'!$AD$4:$AD$103,LEFT($A11,2)&amp;"|1")&gt;1),"",IFERROR(L11-INDEX('Tenders'!$Z$4:$Z$103,MATCH(LEFT($A11,2)&amp;"|2",'Tenders'!$AD$4:$AD$103,0)),""))</f>
        <v/>
      </c>
      <c r="P11" s="23" t="n"/>
    </row>
    <row r="12">
      <c r="A12" s="7">
        <f>IF('Packages'!B12="","",'Packages'!B12)</f>
        <v/>
      </c>
      <c r="B12" s="9">
        <f>IF('Packages'!H12="","",'Packages'!H12)</f>
        <v/>
      </c>
      <c r="C12" s="22" t="n">
        <v>50</v>
      </c>
      <c r="D12" s="22" t="n">
        <v>15</v>
      </c>
      <c r="E12" s="22" t="n">
        <v>15</v>
      </c>
      <c r="F12" s="22" t="n">
        <v>10</v>
      </c>
      <c r="G12" s="22" t="n">
        <v>5</v>
      </c>
      <c r="H12" s="22" t="n">
        <v>5</v>
      </c>
      <c r="I12" s="7">
        <f>IF(A12="","",SUM(C12:H12))</f>
        <v/>
      </c>
      <c r="J12" s="7">
        <f>IF($A12="","",COUNTIFS('Tenders'!$T$4:$T$103,LEFT($A12,2),'Tenders'!$I$4:$I$103,"Yes"))</f>
        <v/>
      </c>
      <c r="K12" s="7">
        <f>IF($A12="","",IF(COUNTIF('Tenders'!$AD$4:$AD$103,LEFT($A12,2)&amp;"|1")&gt;1,"Tie: "&amp;COUNTIF('Tenders'!$AD$4:$AD$103,LEFT($A12,2)&amp;"|1")&amp;" quotes share 1st",IFERROR(INDEX('Tenders'!$B$4:$B$103,MATCH(LEFT($A12,2)&amp;"|1",'Tenders'!$AD$4:$AD$103,0)),"")))</f>
        <v/>
      </c>
      <c r="L12" s="11">
        <f>IF($A12="","",IFERROR(INDEX('Tenders'!$Z$4:$Z$103,MATCH(LEFT($A12,2)&amp;"|1",'Tenders'!$AD$4:$AD$103,0)),""))</f>
        <v/>
      </c>
      <c r="M12" s="9">
        <f>IF(OR($A12="",COUNTIF('Tenders'!$AD$4:$AD$103,LEFT($A12,2)&amp;"|1")&gt;1),"",IFERROR(INDEX('Tenders'!$N$4:$N$103,MATCH(LEFT($A12,2)&amp;"|1",'Tenders'!$AD$4:$AD$103,0)),""))</f>
        <v/>
      </c>
      <c r="N12" s="10">
        <f>IF(OR(M12="",N(B12)=0),"",M12-B12)</f>
        <v/>
      </c>
      <c r="O12" s="11">
        <f>IF(OR($A12="",COUNTIF('Tenders'!$AD$4:$AD$103,LEFT($A12,2)&amp;"|1")&gt;1),"",IFERROR(L12-INDEX('Tenders'!$Z$4:$Z$103,MATCH(LEFT($A12,2)&amp;"|2",'Tenders'!$AD$4:$AD$103,0)),""))</f>
        <v/>
      </c>
      <c r="P12" s="23" t="n"/>
    </row>
    <row r="13">
      <c r="A13" s="7">
        <f>IF('Packages'!B13="","",'Packages'!B13)</f>
        <v/>
      </c>
      <c r="B13" s="9">
        <f>IF('Packages'!H13="","",'Packages'!H13)</f>
        <v/>
      </c>
      <c r="C13" s="22" t="n">
        <v>50</v>
      </c>
      <c r="D13" s="22" t="n">
        <v>15</v>
      </c>
      <c r="E13" s="22" t="n">
        <v>15</v>
      </c>
      <c r="F13" s="22" t="n">
        <v>10</v>
      </c>
      <c r="G13" s="22" t="n">
        <v>5</v>
      </c>
      <c r="H13" s="22" t="n">
        <v>5</v>
      </c>
      <c r="I13" s="7">
        <f>IF(A13="","",SUM(C13:H13))</f>
        <v/>
      </c>
      <c r="J13" s="7">
        <f>IF($A13="","",COUNTIFS('Tenders'!$T$4:$T$103,LEFT($A13,2),'Tenders'!$I$4:$I$103,"Yes"))</f>
        <v/>
      </c>
      <c r="K13" s="7">
        <f>IF($A13="","",IF(COUNTIF('Tenders'!$AD$4:$AD$103,LEFT($A13,2)&amp;"|1")&gt;1,"Tie: "&amp;COUNTIF('Tenders'!$AD$4:$AD$103,LEFT($A13,2)&amp;"|1")&amp;" quotes share 1st",IFERROR(INDEX('Tenders'!$B$4:$B$103,MATCH(LEFT($A13,2)&amp;"|1",'Tenders'!$AD$4:$AD$103,0)),"")))</f>
        <v/>
      </c>
      <c r="L13" s="11">
        <f>IF($A13="","",IFERROR(INDEX('Tenders'!$Z$4:$Z$103,MATCH(LEFT($A13,2)&amp;"|1",'Tenders'!$AD$4:$AD$103,0)),""))</f>
        <v/>
      </c>
      <c r="M13" s="9">
        <f>IF(OR($A13="",COUNTIF('Tenders'!$AD$4:$AD$103,LEFT($A13,2)&amp;"|1")&gt;1),"",IFERROR(INDEX('Tenders'!$N$4:$N$103,MATCH(LEFT($A13,2)&amp;"|1",'Tenders'!$AD$4:$AD$103,0)),""))</f>
        <v/>
      </c>
      <c r="N13" s="10">
        <f>IF(OR(M13="",N(B13)=0),"",M13-B13)</f>
        <v/>
      </c>
      <c r="O13" s="11">
        <f>IF(OR($A13="",COUNTIF('Tenders'!$AD$4:$AD$103,LEFT($A13,2)&amp;"|1")&gt;1),"",IFERROR(L13-INDEX('Tenders'!$Z$4:$Z$103,MATCH(LEFT($A13,2)&amp;"|2",'Tenders'!$AD$4:$AD$103,0)),""))</f>
        <v/>
      </c>
      <c r="P13" s="23" t="n"/>
    </row>
    <row r="14">
      <c r="A14" s="7">
        <f>IF('Packages'!B14="","",'Packages'!B14)</f>
        <v/>
      </c>
      <c r="B14" s="9">
        <f>IF('Packages'!H14="","",'Packages'!H14)</f>
        <v/>
      </c>
      <c r="C14" s="22" t="n">
        <v>50</v>
      </c>
      <c r="D14" s="22" t="n">
        <v>15</v>
      </c>
      <c r="E14" s="22" t="n">
        <v>15</v>
      </c>
      <c r="F14" s="22" t="n">
        <v>10</v>
      </c>
      <c r="G14" s="22" t="n">
        <v>5</v>
      </c>
      <c r="H14" s="22" t="n">
        <v>5</v>
      </c>
      <c r="I14" s="7">
        <f>IF(A14="","",SUM(C14:H14))</f>
        <v/>
      </c>
      <c r="J14" s="7">
        <f>IF($A14="","",COUNTIFS('Tenders'!$T$4:$T$103,LEFT($A14,2),'Tenders'!$I$4:$I$103,"Yes"))</f>
        <v/>
      </c>
      <c r="K14" s="7">
        <f>IF($A14="","",IF(COUNTIF('Tenders'!$AD$4:$AD$103,LEFT($A14,2)&amp;"|1")&gt;1,"Tie: "&amp;COUNTIF('Tenders'!$AD$4:$AD$103,LEFT($A14,2)&amp;"|1")&amp;" quotes share 1st",IFERROR(INDEX('Tenders'!$B$4:$B$103,MATCH(LEFT($A14,2)&amp;"|1",'Tenders'!$AD$4:$AD$103,0)),"")))</f>
        <v/>
      </c>
      <c r="L14" s="11">
        <f>IF($A14="","",IFERROR(INDEX('Tenders'!$Z$4:$Z$103,MATCH(LEFT($A14,2)&amp;"|1",'Tenders'!$AD$4:$AD$103,0)),""))</f>
        <v/>
      </c>
      <c r="M14" s="9">
        <f>IF(OR($A14="",COUNTIF('Tenders'!$AD$4:$AD$103,LEFT($A14,2)&amp;"|1")&gt;1),"",IFERROR(INDEX('Tenders'!$N$4:$N$103,MATCH(LEFT($A14,2)&amp;"|1",'Tenders'!$AD$4:$AD$103,0)),""))</f>
        <v/>
      </c>
      <c r="N14" s="10">
        <f>IF(OR(M14="",N(B14)=0),"",M14-B14)</f>
        <v/>
      </c>
      <c r="O14" s="11">
        <f>IF(OR($A14="",COUNTIF('Tenders'!$AD$4:$AD$103,LEFT($A14,2)&amp;"|1")&gt;1),"",IFERROR(L14-INDEX('Tenders'!$Z$4:$Z$103,MATCH(LEFT($A14,2)&amp;"|2",'Tenders'!$AD$4:$AD$103,0)),""))</f>
        <v/>
      </c>
      <c r="P14" s="23" t="n"/>
    </row>
    <row r="15">
      <c r="A15" s="7">
        <f>IF('Packages'!B15="","",'Packages'!B15)</f>
        <v/>
      </c>
      <c r="B15" s="9">
        <f>IF('Packages'!H15="","",'Packages'!H15)</f>
        <v/>
      </c>
      <c r="C15" s="22" t="n">
        <v>50</v>
      </c>
      <c r="D15" s="22" t="n">
        <v>15</v>
      </c>
      <c r="E15" s="22" t="n">
        <v>15</v>
      </c>
      <c r="F15" s="22" t="n">
        <v>10</v>
      </c>
      <c r="G15" s="22" t="n">
        <v>5</v>
      </c>
      <c r="H15" s="22" t="n">
        <v>5</v>
      </c>
      <c r="I15" s="7">
        <f>IF(A15="","",SUM(C15:H15))</f>
        <v/>
      </c>
      <c r="J15" s="7">
        <f>IF($A15="","",COUNTIFS('Tenders'!$T$4:$T$103,LEFT($A15,2),'Tenders'!$I$4:$I$103,"Yes"))</f>
        <v/>
      </c>
      <c r="K15" s="7">
        <f>IF($A15="","",IF(COUNTIF('Tenders'!$AD$4:$AD$103,LEFT($A15,2)&amp;"|1")&gt;1,"Tie: "&amp;COUNTIF('Tenders'!$AD$4:$AD$103,LEFT($A15,2)&amp;"|1")&amp;" quotes share 1st",IFERROR(INDEX('Tenders'!$B$4:$B$103,MATCH(LEFT($A15,2)&amp;"|1",'Tenders'!$AD$4:$AD$103,0)),"")))</f>
        <v/>
      </c>
      <c r="L15" s="11">
        <f>IF($A15="","",IFERROR(INDEX('Tenders'!$Z$4:$Z$103,MATCH(LEFT($A15,2)&amp;"|1",'Tenders'!$AD$4:$AD$103,0)),""))</f>
        <v/>
      </c>
      <c r="M15" s="9">
        <f>IF(OR($A15="",COUNTIF('Tenders'!$AD$4:$AD$103,LEFT($A15,2)&amp;"|1")&gt;1),"",IFERROR(INDEX('Tenders'!$N$4:$N$103,MATCH(LEFT($A15,2)&amp;"|1",'Tenders'!$AD$4:$AD$103,0)),""))</f>
        <v/>
      </c>
      <c r="N15" s="10">
        <f>IF(OR(M15="",N(B15)=0),"",M15-B15)</f>
        <v/>
      </c>
      <c r="O15" s="11">
        <f>IF(OR($A15="",COUNTIF('Tenders'!$AD$4:$AD$103,LEFT($A15,2)&amp;"|1")&gt;1),"",IFERROR(L15-INDEX('Tenders'!$Z$4:$Z$103,MATCH(LEFT($A15,2)&amp;"|2",'Tenders'!$AD$4:$AD$103,0)),""))</f>
        <v/>
      </c>
      <c r="P15" s="23" t="n"/>
    </row>
    <row r="16">
      <c r="A16" s="7">
        <f>IF('Packages'!B16="","",'Packages'!B16)</f>
        <v/>
      </c>
      <c r="B16" s="9">
        <f>IF('Packages'!H16="","",'Packages'!H16)</f>
        <v/>
      </c>
      <c r="C16" s="22" t="n">
        <v>50</v>
      </c>
      <c r="D16" s="22" t="n">
        <v>15</v>
      </c>
      <c r="E16" s="22" t="n">
        <v>15</v>
      </c>
      <c r="F16" s="22" t="n">
        <v>10</v>
      </c>
      <c r="G16" s="22" t="n">
        <v>5</v>
      </c>
      <c r="H16" s="22" t="n">
        <v>5</v>
      </c>
      <c r="I16" s="7">
        <f>IF(A16="","",SUM(C16:H16))</f>
        <v/>
      </c>
      <c r="J16" s="7">
        <f>IF($A16="","",COUNTIFS('Tenders'!$T$4:$T$103,LEFT($A16,2),'Tenders'!$I$4:$I$103,"Yes"))</f>
        <v/>
      </c>
      <c r="K16" s="7">
        <f>IF($A16="","",IF(COUNTIF('Tenders'!$AD$4:$AD$103,LEFT($A16,2)&amp;"|1")&gt;1,"Tie: "&amp;COUNTIF('Tenders'!$AD$4:$AD$103,LEFT($A16,2)&amp;"|1")&amp;" quotes share 1st",IFERROR(INDEX('Tenders'!$B$4:$B$103,MATCH(LEFT($A16,2)&amp;"|1",'Tenders'!$AD$4:$AD$103,0)),"")))</f>
        <v/>
      </c>
      <c r="L16" s="11">
        <f>IF($A16="","",IFERROR(INDEX('Tenders'!$Z$4:$Z$103,MATCH(LEFT($A16,2)&amp;"|1",'Tenders'!$AD$4:$AD$103,0)),""))</f>
        <v/>
      </c>
      <c r="M16" s="9">
        <f>IF(OR($A16="",COUNTIF('Tenders'!$AD$4:$AD$103,LEFT($A16,2)&amp;"|1")&gt;1),"",IFERROR(INDEX('Tenders'!$N$4:$N$103,MATCH(LEFT($A16,2)&amp;"|1",'Tenders'!$AD$4:$AD$103,0)),""))</f>
        <v/>
      </c>
      <c r="N16" s="10">
        <f>IF(OR(M16="",N(B16)=0),"",M16-B16)</f>
        <v/>
      </c>
      <c r="O16" s="11">
        <f>IF(OR($A16="",COUNTIF('Tenders'!$AD$4:$AD$103,LEFT($A16,2)&amp;"|1")&gt;1),"",IFERROR(L16-INDEX('Tenders'!$Z$4:$Z$103,MATCH(LEFT($A16,2)&amp;"|2",'Tenders'!$AD$4:$AD$103,0)),""))</f>
        <v/>
      </c>
      <c r="P16" s="23" t="n"/>
    </row>
    <row r="17">
      <c r="A17" s="7">
        <f>IF('Packages'!B17="","",'Packages'!B17)</f>
        <v/>
      </c>
      <c r="B17" s="9">
        <f>IF('Packages'!H17="","",'Packages'!H17)</f>
        <v/>
      </c>
      <c r="C17" s="22" t="n">
        <v>50</v>
      </c>
      <c r="D17" s="22" t="n">
        <v>15</v>
      </c>
      <c r="E17" s="22" t="n">
        <v>15</v>
      </c>
      <c r="F17" s="22" t="n">
        <v>10</v>
      </c>
      <c r="G17" s="22" t="n">
        <v>5</v>
      </c>
      <c r="H17" s="22" t="n">
        <v>5</v>
      </c>
      <c r="I17" s="7">
        <f>IF(A17="","",SUM(C17:H17))</f>
        <v/>
      </c>
      <c r="J17" s="7">
        <f>IF($A17="","",COUNTIFS('Tenders'!$T$4:$T$103,LEFT($A17,2),'Tenders'!$I$4:$I$103,"Yes"))</f>
        <v/>
      </c>
      <c r="K17" s="7">
        <f>IF($A17="","",IF(COUNTIF('Tenders'!$AD$4:$AD$103,LEFT($A17,2)&amp;"|1")&gt;1,"Tie: "&amp;COUNTIF('Tenders'!$AD$4:$AD$103,LEFT($A17,2)&amp;"|1")&amp;" quotes share 1st",IFERROR(INDEX('Tenders'!$B$4:$B$103,MATCH(LEFT($A17,2)&amp;"|1",'Tenders'!$AD$4:$AD$103,0)),"")))</f>
        <v/>
      </c>
      <c r="L17" s="11">
        <f>IF($A17="","",IFERROR(INDEX('Tenders'!$Z$4:$Z$103,MATCH(LEFT($A17,2)&amp;"|1",'Tenders'!$AD$4:$AD$103,0)),""))</f>
        <v/>
      </c>
      <c r="M17" s="9">
        <f>IF(OR($A17="",COUNTIF('Tenders'!$AD$4:$AD$103,LEFT($A17,2)&amp;"|1")&gt;1),"",IFERROR(INDEX('Tenders'!$N$4:$N$103,MATCH(LEFT($A17,2)&amp;"|1",'Tenders'!$AD$4:$AD$103,0)),""))</f>
        <v/>
      </c>
      <c r="N17" s="10">
        <f>IF(OR(M17="",N(B17)=0),"",M17-B17)</f>
        <v/>
      </c>
      <c r="O17" s="11">
        <f>IF(OR($A17="",COUNTIF('Tenders'!$AD$4:$AD$103,LEFT($A17,2)&amp;"|1")&gt;1),"",IFERROR(L17-INDEX('Tenders'!$Z$4:$Z$103,MATCH(LEFT($A17,2)&amp;"|2",'Tenders'!$AD$4:$AD$103,0)),""))</f>
        <v/>
      </c>
      <c r="P17" s="23" t="n"/>
    </row>
    <row r="18">
      <c r="A18" s="7">
        <f>IF('Packages'!B18="","",'Packages'!B18)</f>
        <v/>
      </c>
      <c r="B18" s="9">
        <f>IF('Packages'!H18="","",'Packages'!H18)</f>
        <v/>
      </c>
      <c r="C18" s="22" t="n">
        <v>50</v>
      </c>
      <c r="D18" s="22" t="n">
        <v>15</v>
      </c>
      <c r="E18" s="22" t="n">
        <v>15</v>
      </c>
      <c r="F18" s="22" t="n">
        <v>10</v>
      </c>
      <c r="G18" s="22" t="n">
        <v>5</v>
      </c>
      <c r="H18" s="22" t="n">
        <v>5</v>
      </c>
      <c r="I18" s="7">
        <f>IF(A18="","",SUM(C18:H18))</f>
        <v/>
      </c>
      <c r="J18" s="7">
        <f>IF($A18="","",COUNTIFS('Tenders'!$T$4:$T$103,LEFT($A18,2),'Tenders'!$I$4:$I$103,"Yes"))</f>
        <v/>
      </c>
      <c r="K18" s="7">
        <f>IF($A18="","",IF(COUNTIF('Tenders'!$AD$4:$AD$103,LEFT($A18,2)&amp;"|1")&gt;1,"Tie: "&amp;COUNTIF('Tenders'!$AD$4:$AD$103,LEFT($A18,2)&amp;"|1")&amp;" quotes share 1st",IFERROR(INDEX('Tenders'!$B$4:$B$103,MATCH(LEFT($A18,2)&amp;"|1",'Tenders'!$AD$4:$AD$103,0)),"")))</f>
        <v/>
      </c>
      <c r="L18" s="11">
        <f>IF($A18="","",IFERROR(INDEX('Tenders'!$Z$4:$Z$103,MATCH(LEFT($A18,2)&amp;"|1",'Tenders'!$AD$4:$AD$103,0)),""))</f>
        <v/>
      </c>
      <c r="M18" s="9">
        <f>IF(OR($A18="",COUNTIF('Tenders'!$AD$4:$AD$103,LEFT($A18,2)&amp;"|1")&gt;1),"",IFERROR(INDEX('Tenders'!$N$4:$N$103,MATCH(LEFT($A18,2)&amp;"|1",'Tenders'!$AD$4:$AD$103,0)),""))</f>
        <v/>
      </c>
      <c r="N18" s="10">
        <f>IF(OR(M18="",N(B18)=0),"",M18-B18)</f>
        <v/>
      </c>
      <c r="O18" s="11">
        <f>IF(OR($A18="",COUNTIF('Tenders'!$AD$4:$AD$103,LEFT($A18,2)&amp;"|1")&gt;1),"",IFERROR(L18-INDEX('Tenders'!$Z$4:$Z$103,MATCH(LEFT($A18,2)&amp;"|2",'Tenders'!$AD$4:$AD$103,0)),""))</f>
        <v/>
      </c>
      <c r="P18" s="23" t="n"/>
    </row>
    <row r="19">
      <c r="A19" s="7">
        <f>IF('Packages'!B19="","",'Packages'!B19)</f>
        <v/>
      </c>
      <c r="B19" s="9">
        <f>IF('Packages'!H19="","",'Packages'!H19)</f>
        <v/>
      </c>
      <c r="C19" s="22" t="n">
        <v>50</v>
      </c>
      <c r="D19" s="22" t="n">
        <v>15</v>
      </c>
      <c r="E19" s="22" t="n">
        <v>15</v>
      </c>
      <c r="F19" s="22" t="n">
        <v>10</v>
      </c>
      <c r="G19" s="22" t="n">
        <v>5</v>
      </c>
      <c r="H19" s="22" t="n">
        <v>5</v>
      </c>
      <c r="I19" s="7">
        <f>IF(A19="","",SUM(C19:H19))</f>
        <v/>
      </c>
      <c r="J19" s="7">
        <f>IF($A19="","",COUNTIFS('Tenders'!$T$4:$T$103,LEFT($A19,2),'Tenders'!$I$4:$I$103,"Yes"))</f>
        <v/>
      </c>
      <c r="K19" s="7">
        <f>IF($A19="","",IF(COUNTIF('Tenders'!$AD$4:$AD$103,LEFT($A19,2)&amp;"|1")&gt;1,"Tie: "&amp;COUNTIF('Tenders'!$AD$4:$AD$103,LEFT($A19,2)&amp;"|1")&amp;" quotes share 1st",IFERROR(INDEX('Tenders'!$B$4:$B$103,MATCH(LEFT($A19,2)&amp;"|1",'Tenders'!$AD$4:$AD$103,0)),"")))</f>
        <v/>
      </c>
      <c r="L19" s="11">
        <f>IF($A19="","",IFERROR(INDEX('Tenders'!$Z$4:$Z$103,MATCH(LEFT($A19,2)&amp;"|1",'Tenders'!$AD$4:$AD$103,0)),""))</f>
        <v/>
      </c>
      <c r="M19" s="9">
        <f>IF(OR($A19="",COUNTIF('Tenders'!$AD$4:$AD$103,LEFT($A19,2)&amp;"|1")&gt;1),"",IFERROR(INDEX('Tenders'!$N$4:$N$103,MATCH(LEFT($A19,2)&amp;"|1",'Tenders'!$AD$4:$AD$103,0)),""))</f>
        <v/>
      </c>
      <c r="N19" s="10">
        <f>IF(OR(M19="",N(B19)=0),"",M19-B19)</f>
        <v/>
      </c>
      <c r="O19" s="11">
        <f>IF(OR($A19="",COUNTIF('Tenders'!$AD$4:$AD$103,LEFT($A19,2)&amp;"|1")&gt;1),"",IFERROR(L19-INDEX('Tenders'!$Z$4:$Z$103,MATCH(LEFT($A19,2)&amp;"|2",'Tenders'!$AD$4:$AD$103,0)),""))</f>
        <v/>
      </c>
      <c r="P19" s="23" t="n"/>
    </row>
    <row r="20">
      <c r="A20" s="7">
        <f>IF('Packages'!B20="","",'Packages'!B20)</f>
        <v/>
      </c>
      <c r="B20" s="9">
        <f>IF('Packages'!H20="","",'Packages'!H20)</f>
        <v/>
      </c>
      <c r="C20" s="22" t="n">
        <v>50</v>
      </c>
      <c r="D20" s="22" t="n">
        <v>15</v>
      </c>
      <c r="E20" s="22" t="n">
        <v>15</v>
      </c>
      <c r="F20" s="22" t="n">
        <v>10</v>
      </c>
      <c r="G20" s="22" t="n">
        <v>5</v>
      </c>
      <c r="H20" s="22" t="n">
        <v>5</v>
      </c>
      <c r="I20" s="7">
        <f>IF(A20="","",SUM(C20:H20))</f>
        <v/>
      </c>
      <c r="J20" s="7">
        <f>IF($A20="","",COUNTIFS('Tenders'!$T$4:$T$103,LEFT($A20,2),'Tenders'!$I$4:$I$103,"Yes"))</f>
        <v/>
      </c>
      <c r="K20" s="7">
        <f>IF($A20="","",IF(COUNTIF('Tenders'!$AD$4:$AD$103,LEFT($A20,2)&amp;"|1")&gt;1,"Tie: "&amp;COUNTIF('Tenders'!$AD$4:$AD$103,LEFT($A20,2)&amp;"|1")&amp;" quotes share 1st",IFERROR(INDEX('Tenders'!$B$4:$B$103,MATCH(LEFT($A20,2)&amp;"|1",'Tenders'!$AD$4:$AD$103,0)),"")))</f>
        <v/>
      </c>
      <c r="L20" s="11">
        <f>IF($A20="","",IFERROR(INDEX('Tenders'!$Z$4:$Z$103,MATCH(LEFT($A20,2)&amp;"|1",'Tenders'!$AD$4:$AD$103,0)),""))</f>
        <v/>
      </c>
      <c r="M20" s="9">
        <f>IF(OR($A20="",COUNTIF('Tenders'!$AD$4:$AD$103,LEFT($A20,2)&amp;"|1")&gt;1),"",IFERROR(INDEX('Tenders'!$N$4:$N$103,MATCH(LEFT($A20,2)&amp;"|1",'Tenders'!$AD$4:$AD$103,0)),""))</f>
        <v/>
      </c>
      <c r="N20" s="10">
        <f>IF(OR(M20="",N(B20)=0),"",M20-B20)</f>
        <v/>
      </c>
      <c r="O20" s="11">
        <f>IF(OR($A20="",COUNTIF('Tenders'!$AD$4:$AD$103,LEFT($A20,2)&amp;"|1")&gt;1),"",IFERROR(L20-INDEX('Tenders'!$Z$4:$Z$103,MATCH(LEFT($A20,2)&amp;"|2",'Tenders'!$AD$4:$AD$103,0)),""))</f>
        <v/>
      </c>
      <c r="P20" s="23" t="n"/>
    </row>
    <row r="21">
      <c r="A21" s="7">
        <f>IF('Packages'!B21="","",'Packages'!B21)</f>
        <v/>
      </c>
      <c r="B21" s="9">
        <f>IF('Packages'!H21="","",'Packages'!H21)</f>
        <v/>
      </c>
      <c r="C21" s="22" t="n">
        <v>50</v>
      </c>
      <c r="D21" s="22" t="n">
        <v>15</v>
      </c>
      <c r="E21" s="22" t="n">
        <v>15</v>
      </c>
      <c r="F21" s="22" t="n">
        <v>10</v>
      </c>
      <c r="G21" s="22" t="n">
        <v>5</v>
      </c>
      <c r="H21" s="22" t="n">
        <v>5</v>
      </c>
      <c r="I21" s="7">
        <f>IF(A21="","",SUM(C21:H21))</f>
        <v/>
      </c>
      <c r="J21" s="7">
        <f>IF($A21="","",COUNTIFS('Tenders'!$T$4:$T$103,LEFT($A21,2),'Tenders'!$I$4:$I$103,"Yes"))</f>
        <v/>
      </c>
      <c r="K21" s="7">
        <f>IF($A21="","",IF(COUNTIF('Tenders'!$AD$4:$AD$103,LEFT($A21,2)&amp;"|1")&gt;1,"Tie: "&amp;COUNTIF('Tenders'!$AD$4:$AD$103,LEFT($A21,2)&amp;"|1")&amp;" quotes share 1st",IFERROR(INDEX('Tenders'!$B$4:$B$103,MATCH(LEFT($A21,2)&amp;"|1",'Tenders'!$AD$4:$AD$103,0)),"")))</f>
        <v/>
      </c>
      <c r="L21" s="11">
        <f>IF($A21="","",IFERROR(INDEX('Tenders'!$Z$4:$Z$103,MATCH(LEFT($A21,2)&amp;"|1",'Tenders'!$AD$4:$AD$103,0)),""))</f>
        <v/>
      </c>
      <c r="M21" s="9">
        <f>IF(OR($A21="",COUNTIF('Tenders'!$AD$4:$AD$103,LEFT($A21,2)&amp;"|1")&gt;1),"",IFERROR(INDEX('Tenders'!$N$4:$N$103,MATCH(LEFT($A21,2)&amp;"|1",'Tenders'!$AD$4:$AD$103,0)),""))</f>
        <v/>
      </c>
      <c r="N21" s="10">
        <f>IF(OR(M21="",N(B21)=0),"",M21-B21)</f>
        <v/>
      </c>
      <c r="O21" s="11">
        <f>IF(OR($A21="",COUNTIF('Tenders'!$AD$4:$AD$103,LEFT($A21,2)&amp;"|1")&gt;1),"",IFERROR(L21-INDEX('Tenders'!$Z$4:$Z$103,MATCH(LEFT($A21,2)&amp;"|2",'Tenders'!$AD$4:$AD$103,0)),""))</f>
        <v/>
      </c>
      <c r="P21" s="23" t="n"/>
    </row>
    <row r="22">
      <c r="A22" s="7">
        <f>IF('Packages'!B22="","",'Packages'!B22)</f>
        <v/>
      </c>
      <c r="B22" s="9">
        <f>IF('Packages'!H22="","",'Packages'!H22)</f>
        <v/>
      </c>
      <c r="C22" s="22" t="n">
        <v>50</v>
      </c>
      <c r="D22" s="22" t="n">
        <v>15</v>
      </c>
      <c r="E22" s="22" t="n">
        <v>15</v>
      </c>
      <c r="F22" s="22" t="n">
        <v>10</v>
      </c>
      <c r="G22" s="22" t="n">
        <v>5</v>
      </c>
      <c r="H22" s="22" t="n">
        <v>5</v>
      </c>
      <c r="I22" s="7">
        <f>IF(A22="","",SUM(C22:H22))</f>
        <v/>
      </c>
      <c r="J22" s="7">
        <f>IF($A22="","",COUNTIFS('Tenders'!$T$4:$T$103,LEFT($A22,2),'Tenders'!$I$4:$I$103,"Yes"))</f>
        <v/>
      </c>
      <c r="K22" s="7">
        <f>IF($A22="","",IF(COUNTIF('Tenders'!$AD$4:$AD$103,LEFT($A22,2)&amp;"|1")&gt;1,"Tie: "&amp;COUNTIF('Tenders'!$AD$4:$AD$103,LEFT($A22,2)&amp;"|1")&amp;" quotes share 1st",IFERROR(INDEX('Tenders'!$B$4:$B$103,MATCH(LEFT($A22,2)&amp;"|1",'Tenders'!$AD$4:$AD$103,0)),"")))</f>
        <v/>
      </c>
      <c r="L22" s="11">
        <f>IF($A22="","",IFERROR(INDEX('Tenders'!$Z$4:$Z$103,MATCH(LEFT($A22,2)&amp;"|1",'Tenders'!$AD$4:$AD$103,0)),""))</f>
        <v/>
      </c>
      <c r="M22" s="9">
        <f>IF(OR($A22="",COUNTIF('Tenders'!$AD$4:$AD$103,LEFT($A22,2)&amp;"|1")&gt;1),"",IFERROR(INDEX('Tenders'!$N$4:$N$103,MATCH(LEFT($A22,2)&amp;"|1",'Tenders'!$AD$4:$AD$103,0)),""))</f>
        <v/>
      </c>
      <c r="N22" s="10">
        <f>IF(OR(M22="",N(B22)=0),"",M22-B22)</f>
        <v/>
      </c>
      <c r="O22" s="11">
        <f>IF(OR($A22="",COUNTIF('Tenders'!$AD$4:$AD$103,LEFT($A22,2)&amp;"|1")&gt;1),"",IFERROR(L22-INDEX('Tenders'!$Z$4:$Z$103,MATCH(LEFT($A22,2)&amp;"|2",'Tenders'!$AD$4:$AD$103,0)),""))</f>
        <v/>
      </c>
      <c r="P22" s="23" t="n"/>
    </row>
    <row r="23">
      <c r="A23" s="7">
        <f>IF('Packages'!B23="","",'Packages'!B23)</f>
        <v/>
      </c>
      <c r="B23" s="9">
        <f>IF('Packages'!H23="","",'Packages'!H23)</f>
        <v/>
      </c>
      <c r="C23" s="22" t="n">
        <v>50</v>
      </c>
      <c r="D23" s="22" t="n">
        <v>15</v>
      </c>
      <c r="E23" s="22" t="n">
        <v>15</v>
      </c>
      <c r="F23" s="22" t="n">
        <v>10</v>
      </c>
      <c r="G23" s="22" t="n">
        <v>5</v>
      </c>
      <c r="H23" s="22" t="n">
        <v>5</v>
      </c>
      <c r="I23" s="7">
        <f>IF(A23="","",SUM(C23:H23))</f>
        <v/>
      </c>
      <c r="J23" s="7">
        <f>IF($A23="","",COUNTIFS('Tenders'!$T$4:$T$103,LEFT($A23,2),'Tenders'!$I$4:$I$103,"Yes"))</f>
        <v/>
      </c>
      <c r="K23" s="7">
        <f>IF($A23="","",IF(COUNTIF('Tenders'!$AD$4:$AD$103,LEFT($A23,2)&amp;"|1")&gt;1,"Tie: "&amp;COUNTIF('Tenders'!$AD$4:$AD$103,LEFT($A23,2)&amp;"|1")&amp;" quotes share 1st",IFERROR(INDEX('Tenders'!$B$4:$B$103,MATCH(LEFT($A23,2)&amp;"|1",'Tenders'!$AD$4:$AD$103,0)),"")))</f>
        <v/>
      </c>
      <c r="L23" s="11">
        <f>IF($A23="","",IFERROR(INDEX('Tenders'!$Z$4:$Z$103,MATCH(LEFT($A23,2)&amp;"|1",'Tenders'!$AD$4:$AD$103,0)),""))</f>
        <v/>
      </c>
      <c r="M23" s="9">
        <f>IF(OR($A23="",COUNTIF('Tenders'!$AD$4:$AD$103,LEFT($A23,2)&amp;"|1")&gt;1),"",IFERROR(INDEX('Tenders'!$N$4:$N$103,MATCH(LEFT($A23,2)&amp;"|1",'Tenders'!$AD$4:$AD$103,0)),""))</f>
        <v/>
      </c>
      <c r="N23" s="10">
        <f>IF(OR(M23="",N(B23)=0),"",M23-B23)</f>
        <v/>
      </c>
      <c r="O23" s="11">
        <f>IF(OR($A23="",COUNTIF('Tenders'!$AD$4:$AD$103,LEFT($A23,2)&amp;"|1")&gt;1),"",IFERROR(L23-INDEX('Tenders'!$Z$4:$Z$103,MATCH(LEFT($A23,2)&amp;"|2",'Tenders'!$AD$4:$AD$103,0)),""))</f>
        <v/>
      </c>
      <c r="P23" s="23" t="n"/>
    </row>
    <row r="24">
      <c r="A24" s="7">
        <f>IF('Packages'!B24="","",'Packages'!B24)</f>
        <v/>
      </c>
      <c r="B24" s="9">
        <f>IF('Packages'!H24="","",'Packages'!H24)</f>
        <v/>
      </c>
      <c r="C24" s="22" t="n">
        <v>50</v>
      </c>
      <c r="D24" s="22" t="n">
        <v>15</v>
      </c>
      <c r="E24" s="22" t="n">
        <v>15</v>
      </c>
      <c r="F24" s="22" t="n">
        <v>10</v>
      </c>
      <c r="G24" s="22" t="n">
        <v>5</v>
      </c>
      <c r="H24" s="22" t="n">
        <v>5</v>
      </c>
      <c r="I24" s="7">
        <f>IF(A24="","",SUM(C24:H24))</f>
        <v/>
      </c>
      <c r="J24" s="7">
        <f>IF($A24="","",COUNTIFS('Tenders'!$T$4:$T$103,LEFT($A24,2),'Tenders'!$I$4:$I$103,"Yes"))</f>
        <v/>
      </c>
      <c r="K24" s="7">
        <f>IF($A24="","",IF(COUNTIF('Tenders'!$AD$4:$AD$103,LEFT($A24,2)&amp;"|1")&gt;1,"Tie: "&amp;COUNTIF('Tenders'!$AD$4:$AD$103,LEFT($A24,2)&amp;"|1")&amp;" quotes share 1st",IFERROR(INDEX('Tenders'!$B$4:$B$103,MATCH(LEFT($A24,2)&amp;"|1",'Tenders'!$AD$4:$AD$103,0)),"")))</f>
        <v/>
      </c>
      <c r="L24" s="11">
        <f>IF($A24="","",IFERROR(INDEX('Tenders'!$Z$4:$Z$103,MATCH(LEFT($A24,2)&amp;"|1",'Tenders'!$AD$4:$AD$103,0)),""))</f>
        <v/>
      </c>
      <c r="M24" s="9">
        <f>IF(OR($A24="",COUNTIF('Tenders'!$AD$4:$AD$103,LEFT($A24,2)&amp;"|1")&gt;1),"",IFERROR(INDEX('Tenders'!$N$4:$N$103,MATCH(LEFT($A24,2)&amp;"|1",'Tenders'!$AD$4:$AD$103,0)),""))</f>
        <v/>
      </c>
      <c r="N24" s="10">
        <f>IF(OR(M24="",N(B24)=0),"",M24-B24)</f>
        <v/>
      </c>
      <c r="O24" s="11">
        <f>IF(OR($A24="",COUNTIF('Tenders'!$AD$4:$AD$103,LEFT($A24,2)&amp;"|1")&gt;1),"",IFERROR(L24-INDEX('Tenders'!$Z$4:$Z$103,MATCH(LEFT($A24,2)&amp;"|2",'Tenders'!$AD$4:$AD$103,0)),""))</f>
        <v/>
      </c>
      <c r="P24" s="23" t="n"/>
    </row>
    <row r="25">
      <c r="A25" s="7">
        <f>IF('Packages'!B25="","",'Packages'!B25)</f>
        <v/>
      </c>
      <c r="B25" s="9">
        <f>IF('Packages'!H25="","",'Packages'!H25)</f>
        <v/>
      </c>
      <c r="C25" s="22" t="n">
        <v>50</v>
      </c>
      <c r="D25" s="22" t="n">
        <v>15</v>
      </c>
      <c r="E25" s="22" t="n">
        <v>15</v>
      </c>
      <c r="F25" s="22" t="n">
        <v>10</v>
      </c>
      <c r="G25" s="22" t="n">
        <v>5</v>
      </c>
      <c r="H25" s="22" t="n">
        <v>5</v>
      </c>
      <c r="I25" s="7">
        <f>IF(A25="","",SUM(C25:H25))</f>
        <v/>
      </c>
      <c r="J25" s="7">
        <f>IF($A25="","",COUNTIFS('Tenders'!$T$4:$T$103,LEFT($A25,2),'Tenders'!$I$4:$I$103,"Yes"))</f>
        <v/>
      </c>
      <c r="K25" s="7">
        <f>IF($A25="","",IF(COUNTIF('Tenders'!$AD$4:$AD$103,LEFT($A25,2)&amp;"|1")&gt;1,"Tie: "&amp;COUNTIF('Tenders'!$AD$4:$AD$103,LEFT($A25,2)&amp;"|1")&amp;" quotes share 1st",IFERROR(INDEX('Tenders'!$B$4:$B$103,MATCH(LEFT($A25,2)&amp;"|1",'Tenders'!$AD$4:$AD$103,0)),"")))</f>
        <v/>
      </c>
      <c r="L25" s="11">
        <f>IF($A25="","",IFERROR(INDEX('Tenders'!$Z$4:$Z$103,MATCH(LEFT($A25,2)&amp;"|1",'Tenders'!$AD$4:$AD$103,0)),""))</f>
        <v/>
      </c>
      <c r="M25" s="9">
        <f>IF(OR($A25="",COUNTIF('Tenders'!$AD$4:$AD$103,LEFT($A25,2)&amp;"|1")&gt;1),"",IFERROR(INDEX('Tenders'!$N$4:$N$103,MATCH(LEFT($A25,2)&amp;"|1",'Tenders'!$AD$4:$AD$103,0)),""))</f>
        <v/>
      </c>
      <c r="N25" s="10">
        <f>IF(OR(M25="",N(B25)=0),"",M25-B25)</f>
        <v/>
      </c>
      <c r="O25" s="11">
        <f>IF(OR($A25="",COUNTIF('Tenders'!$AD$4:$AD$103,LEFT($A25,2)&amp;"|1")&gt;1),"",IFERROR(L25-INDEX('Tenders'!$Z$4:$Z$103,MATCH(LEFT($A25,2)&amp;"|2",'Tenders'!$AD$4:$AD$103,0)),""))</f>
        <v/>
      </c>
      <c r="P25" s="23" t="n"/>
    </row>
    <row r="26">
      <c r="A26" s="7">
        <f>IF('Packages'!B26="","",'Packages'!B26)</f>
        <v/>
      </c>
      <c r="B26" s="9">
        <f>IF('Packages'!H26="","",'Packages'!H26)</f>
        <v/>
      </c>
      <c r="C26" s="22" t="n">
        <v>50</v>
      </c>
      <c r="D26" s="22" t="n">
        <v>15</v>
      </c>
      <c r="E26" s="22" t="n">
        <v>15</v>
      </c>
      <c r="F26" s="22" t="n">
        <v>10</v>
      </c>
      <c r="G26" s="22" t="n">
        <v>5</v>
      </c>
      <c r="H26" s="22" t="n">
        <v>5</v>
      </c>
      <c r="I26" s="7">
        <f>IF(A26="","",SUM(C26:H26))</f>
        <v/>
      </c>
      <c r="J26" s="7">
        <f>IF($A26="","",COUNTIFS('Tenders'!$T$4:$T$103,LEFT($A26,2),'Tenders'!$I$4:$I$103,"Yes"))</f>
        <v/>
      </c>
      <c r="K26" s="7">
        <f>IF($A26="","",IF(COUNTIF('Tenders'!$AD$4:$AD$103,LEFT($A26,2)&amp;"|1")&gt;1,"Tie: "&amp;COUNTIF('Tenders'!$AD$4:$AD$103,LEFT($A26,2)&amp;"|1")&amp;" quotes share 1st",IFERROR(INDEX('Tenders'!$B$4:$B$103,MATCH(LEFT($A26,2)&amp;"|1",'Tenders'!$AD$4:$AD$103,0)),"")))</f>
        <v/>
      </c>
      <c r="L26" s="11">
        <f>IF($A26="","",IFERROR(INDEX('Tenders'!$Z$4:$Z$103,MATCH(LEFT($A26,2)&amp;"|1",'Tenders'!$AD$4:$AD$103,0)),""))</f>
        <v/>
      </c>
      <c r="M26" s="9">
        <f>IF(OR($A26="",COUNTIF('Tenders'!$AD$4:$AD$103,LEFT($A26,2)&amp;"|1")&gt;1),"",IFERROR(INDEX('Tenders'!$N$4:$N$103,MATCH(LEFT($A26,2)&amp;"|1",'Tenders'!$AD$4:$AD$103,0)),""))</f>
        <v/>
      </c>
      <c r="N26" s="10">
        <f>IF(OR(M26="",N(B26)=0),"",M26-B26)</f>
        <v/>
      </c>
      <c r="O26" s="11">
        <f>IF(OR($A26="",COUNTIF('Tenders'!$AD$4:$AD$103,LEFT($A26,2)&amp;"|1")&gt;1),"",IFERROR(L26-INDEX('Tenders'!$Z$4:$Z$103,MATCH(LEFT($A26,2)&amp;"|2",'Tenders'!$AD$4:$AD$103,0)),""))</f>
        <v/>
      </c>
      <c r="P26" s="23" t="n"/>
    </row>
    <row r="27">
      <c r="A27" s="7">
        <f>IF('Packages'!B27="","",'Packages'!B27)</f>
        <v/>
      </c>
      <c r="B27" s="9">
        <f>IF('Packages'!H27="","",'Packages'!H27)</f>
        <v/>
      </c>
      <c r="C27" s="22" t="n">
        <v>50</v>
      </c>
      <c r="D27" s="22" t="n">
        <v>15</v>
      </c>
      <c r="E27" s="22" t="n">
        <v>15</v>
      </c>
      <c r="F27" s="22" t="n">
        <v>10</v>
      </c>
      <c r="G27" s="22" t="n">
        <v>5</v>
      </c>
      <c r="H27" s="22" t="n">
        <v>5</v>
      </c>
      <c r="I27" s="7">
        <f>IF(A27="","",SUM(C27:H27))</f>
        <v/>
      </c>
      <c r="J27" s="7">
        <f>IF($A27="","",COUNTIFS('Tenders'!$T$4:$T$103,LEFT($A27,2),'Tenders'!$I$4:$I$103,"Yes"))</f>
        <v/>
      </c>
      <c r="K27" s="7">
        <f>IF($A27="","",IF(COUNTIF('Tenders'!$AD$4:$AD$103,LEFT($A27,2)&amp;"|1")&gt;1,"Tie: "&amp;COUNTIF('Tenders'!$AD$4:$AD$103,LEFT($A27,2)&amp;"|1")&amp;" quotes share 1st",IFERROR(INDEX('Tenders'!$B$4:$B$103,MATCH(LEFT($A27,2)&amp;"|1",'Tenders'!$AD$4:$AD$103,0)),"")))</f>
        <v/>
      </c>
      <c r="L27" s="11">
        <f>IF($A27="","",IFERROR(INDEX('Tenders'!$Z$4:$Z$103,MATCH(LEFT($A27,2)&amp;"|1",'Tenders'!$AD$4:$AD$103,0)),""))</f>
        <v/>
      </c>
      <c r="M27" s="9">
        <f>IF(OR($A27="",COUNTIF('Tenders'!$AD$4:$AD$103,LEFT($A27,2)&amp;"|1")&gt;1),"",IFERROR(INDEX('Tenders'!$N$4:$N$103,MATCH(LEFT($A27,2)&amp;"|1",'Tenders'!$AD$4:$AD$103,0)),""))</f>
        <v/>
      </c>
      <c r="N27" s="10">
        <f>IF(OR(M27="",N(B27)=0),"",M27-B27)</f>
        <v/>
      </c>
      <c r="O27" s="11">
        <f>IF(OR($A27="",COUNTIF('Tenders'!$AD$4:$AD$103,LEFT($A27,2)&amp;"|1")&gt;1),"",IFERROR(L27-INDEX('Tenders'!$Z$4:$Z$103,MATCH(LEFT($A27,2)&amp;"|2",'Tenders'!$AD$4:$AD$103,0)),""))</f>
        <v/>
      </c>
      <c r="P27" s="23" t="n"/>
    </row>
    <row r="28">
      <c r="A28" s="7">
        <f>IF('Packages'!B28="","",'Packages'!B28)</f>
        <v/>
      </c>
      <c r="B28" s="9">
        <f>IF('Packages'!H28="","",'Packages'!H28)</f>
        <v/>
      </c>
      <c r="C28" s="22" t="n">
        <v>50</v>
      </c>
      <c r="D28" s="22" t="n">
        <v>15</v>
      </c>
      <c r="E28" s="22" t="n">
        <v>15</v>
      </c>
      <c r="F28" s="22" t="n">
        <v>10</v>
      </c>
      <c r="G28" s="22" t="n">
        <v>5</v>
      </c>
      <c r="H28" s="22" t="n">
        <v>5</v>
      </c>
      <c r="I28" s="7">
        <f>IF(A28="","",SUM(C28:H28))</f>
        <v/>
      </c>
      <c r="J28" s="7">
        <f>IF($A28="","",COUNTIFS('Tenders'!$T$4:$T$103,LEFT($A28,2),'Tenders'!$I$4:$I$103,"Yes"))</f>
        <v/>
      </c>
      <c r="K28" s="7">
        <f>IF($A28="","",IF(COUNTIF('Tenders'!$AD$4:$AD$103,LEFT($A28,2)&amp;"|1")&gt;1,"Tie: "&amp;COUNTIF('Tenders'!$AD$4:$AD$103,LEFT($A28,2)&amp;"|1")&amp;" quotes share 1st",IFERROR(INDEX('Tenders'!$B$4:$B$103,MATCH(LEFT($A28,2)&amp;"|1",'Tenders'!$AD$4:$AD$103,0)),"")))</f>
        <v/>
      </c>
      <c r="L28" s="11">
        <f>IF($A28="","",IFERROR(INDEX('Tenders'!$Z$4:$Z$103,MATCH(LEFT($A28,2)&amp;"|1",'Tenders'!$AD$4:$AD$103,0)),""))</f>
        <v/>
      </c>
      <c r="M28" s="9">
        <f>IF(OR($A28="",COUNTIF('Tenders'!$AD$4:$AD$103,LEFT($A28,2)&amp;"|1")&gt;1),"",IFERROR(INDEX('Tenders'!$N$4:$N$103,MATCH(LEFT($A28,2)&amp;"|1",'Tenders'!$AD$4:$AD$103,0)),""))</f>
        <v/>
      </c>
      <c r="N28" s="10">
        <f>IF(OR(M28="",N(B28)=0),"",M28-B28)</f>
        <v/>
      </c>
      <c r="O28" s="11">
        <f>IF(OR($A28="",COUNTIF('Tenders'!$AD$4:$AD$103,LEFT($A28,2)&amp;"|1")&gt;1),"",IFERROR(L28-INDEX('Tenders'!$Z$4:$Z$103,MATCH(LEFT($A28,2)&amp;"|2",'Tenders'!$AD$4:$AD$103,0)),""))</f>
        <v/>
      </c>
      <c r="P28" s="23" t="n"/>
    </row>
    <row r="29">
      <c r="A29" s="7">
        <f>IF('Packages'!B29="","",'Packages'!B29)</f>
        <v/>
      </c>
      <c r="B29" s="9">
        <f>IF('Packages'!H29="","",'Packages'!H29)</f>
        <v/>
      </c>
      <c r="C29" s="22" t="n">
        <v>50</v>
      </c>
      <c r="D29" s="22" t="n">
        <v>15</v>
      </c>
      <c r="E29" s="22" t="n">
        <v>15</v>
      </c>
      <c r="F29" s="22" t="n">
        <v>10</v>
      </c>
      <c r="G29" s="22" t="n">
        <v>5</v>
      </c>
      <c r="H29" s="22" t="n">
        <v>5</v>
      </c>
      <c r="I29" s="7">
        <f>IF(A29="","",SUM(C29:H29))</f>
        <v/>
      </c>
      <c r="J29" s="7">
        <f>IF($A29="","",COUNTIFS('Tenders'!$T$4:$T$103,LEFT($A29,2),'Tenders'!$I$4:$I$103,"Yes"))</f>
        <v/>
      </c>
      <c r="K29" s="7">
        <f>IF($A29="","",IF(COUNTIF('Tenders'!$AD$4:$AD$103,LEFT($A29,2)&amp;"|1")&gt;1,"Tie: "&amp;COUNTIF('Tenders'!$AD$4:$AD$103,LEFT($A29,2)&amp;"|1")&amp;" quotes share 1st",IFERROR(INDEX('Tenders'!$B$4:$B$103,MATCH(LEFT($A29,2)&amp;"|1",'Tenders'!$AD$4:$AD$103,0)),"")))</f>
        <v/>
      </c>
      <c r="L29" s="11">
        <f>IF($A29="","",IFERROR(INDEX('Tenders'!$Z$4:$Z$103,MATCH(LEFT($A29,2)&amp;"|1",'Tenders'!$AD$4:$AD$103,0)),""))</f>
        <v/>
      </c>
      <c r="M29" s="9">
        <f>IF(OR($A29="",COUNTIF('Tenders'!$AD$4:$AD$103,LEFT($A29,2)&amp;"|1")&gt;1),"",IFERROR(INDEX('Tenders'!$N$4:$N$103,MATCH(LEFT($A29,2)&amp;"|1",'Tenders'!$AD$4:$AD$103,0)),""))</f>
        <v/>
      </c>
      <c r="N29" s="10">
        <f>IF(OR(M29="",N(B29)=0),"",M29-B29)</f>
        <v/>
      </c>
      <c r="O29" s="11">
        <f>IF(OR($A29="",COUNTIF('Tenders'!$AD$4:$AD$103,LEFT($A29,2)&amp;"|1")&gt;1),"",IFERROR(L29-INDEX('Tenders'!$Z$4:$Z$103,MATCH(LEFT($A29,2)&amp;"|2",'Tenders'!$AD$4:$AD$103,0)),""))</f>
        <v/>
      </c>
      <c r="P29" s="23" t="n"/>
    </row>
    <row r="30">
      <c r="A30" s="7">
        <f>IF('Packages'!B30="","",'Packages'!B30)</f>
        <v/>
      </c>
      <c r="B30" s="9">
        <f>IF('Packages'!H30="","",'Packages'!H30)</f>
        <v/>
      </c>
      <c r="C30" s="22" t="n">
        <v>50</v>
      </c>
      <c r="D30" s="22" t="n">
        <v>15</v>
      </c>
      <c r="E30" s="22" t="n">
        <v>15</v>
      </c>
      <c r="F30" s="22" t="n">
        <v>10</v>
      </c>
      <c r="G30" s="22" t="n">
        <v>5</v>
      </c>
      <c r="H30" s="22" t="n">
        <v>5</v>
      </c>
      <c r="I30" s="7">
        <f>IF(A30="","",SUM(C30:H30))</f>
        <v/>
      </c>
      <c r="J30" s="7">
        <f>IF($A30="","",COUNTIFS('Tenders'!$T$4:$T$103,LEFT($A30,2),'Tenders'!$I$4:$I$103,"Yes"))</f>
        <v/>
      </c>
      <c r="K30" s="7">
        <f>IF($A30="","",IF(COUNTIF('Tenders'!$AD$4:$AD$103,LEFT($A30,2)&amp;"|1")&gt;1,"Tie: "&amp;COUNTIF('Tenders'!$AD$4:$AD$103,LEFT($A30,2)&amp;"|1")&amp;" quotes share 1st",IFERROR(INDEX('Tenders'!$B$4:$B$103,MATCH(LEFT($A30,2)&amp;"|1",'Tenders'!$AD$4:$AD$103,0)),"")))</f>
        <v/>
      </c>
      <c r="L30" s="11">
        <f>IF($A30="","",IFERROR(INDEX('Tenders'!$Z$4:$Z$103,MATCH(LEFT($A30,2)&amp;"|1",'Tenders'!$AD$4:$AD$103,0)),""))</f>
        <v/>
      </c>
      <c r="M30" s="9">
        <f>IF(OR($A30="",COUNTIF('Tenders'!$AD$4:$AD$103,LEFT($A30,2)&amp;"|1")&gt;1),"",IFERROR(INDEX('Tenders'!$N$4:$N$103,MATCH(LEFT($A30,2)&amp;"|1",'Tenders'!$AD$4:$AD$103,0)),""))</f>
        <v/>
      </c>
      <c r="N30" s="10">
        <f>IF(OR(M30="",N(B30)=0),"",M30-B30)</f>
        <v/>
      </c>
      <c r="O30" s="11">
        <f>IF(OR($A30="",COUNTIF('Tenders'!$AD$4:$AD$103,LEFT($A30,2)&amp;"|1")&gt;1),"",IFERROR(L30-INDEX('Tenders'!$Z$4:$Z$103,MATCH(LEFT($A30,2)&amp;"|2",'Tenders'!$AD$4:$AD$103,0)),""))</f>
        <v/>
      </c>
      <c r="P30" s="23" t="n"/>
    </row>
    <row r="31">
      <c r="A31" s="7">
        <f>IF('Packages'!B31="","",'Packages'!B31)</f>
        <v/>
      </c>
      <c r="B31" s="9">
        <f>IF('Packages'!H31="","",'Packages'!H31)</f>
        <v/>
      </c>
      <c r="C31" s="22" t="n">
        <v>50</v>
      </c>
      <c r="D31" s="22" t="n">
        <v>15</v>
      </c>
      <c r="E31" s="22" t="n">
        <v>15</v>
      </c>
      <c r="F31" s="22" t="n">
        <v>10</v>
      </c>
      <c r="G31" s="22" t="n">
        <v>5</v>
      </c>
      <c r="H31" s="22" t="n">
        <v>5</v>
      </c>
      <c r="I31" s="7">
        <f>IF(A31="","",SUM(C31:H31))</f>
        <v/>
      </c>
      <c r="J31" s="7">
        <f>IF($A31="","",COUNTIFS('Tenders'!$T$4:$T$103,LEFT($A31,2),'Tenders'!$I$4:$I$103,"Yes"))</f>
        <v/>
      </c>
      <c r="K31" s="7">
        <f>IF($A31="","",IF(COUNTIF('Tenders'!$AD$4:$AD$103,LEFT($A31,2)&amp;"|1")&gt;1,"Tie: "&amp;COUNTIF('Tenders'!$AD$4:$AD$103,LEFT($A31,2)&amp;"|1")&amp;" quotes share 1st",IFERROR(INDEX('Tenders'!$B$4:$B$103,MATCH(LEFT($A31,2)&amp;"|1",'Tenders'!$AD$4:$AD$103,0)),"")))</f>
        <v/>
      </c>
      <c r="L31" s="11">
        <f>IF($A31="","",IFERROR(INDEX('Tenders'!$Z$4:$Z$103,MATCH(LEFT($A31,2)&amp;"|1",'Tenders'!$AD$4:$AD$103,0)),""))</f>
        <v/>
      </c>
      <c r="M31" s="9">
        <f>IF(OR($A31="",COUNTIF('Tenders'!$AD$4:$AD$103,LEFT($A31,2)&amp;"|1")&gt;1),"",IFERROR(INDEX('Tenders'!$N$4:$N$103,MATCH(LEFT($A31,2)&amp;"|1",'Tenders'!$AD$4:$AD$103,0)),""))</f>
        <v/>
      </c>
      <c r="N31" s="10">
        <f>IF(OR(M31="",N(B31)=0),"",M31-B31)</f>
        <v/>
      </c>
      <c r="O31" s="11">
        <f>IF(OR($A31="",COUNTIF('Tenders'!$AD$4:$AD$103,LEFT($A31,2)&amp;"|1")&gt;1),"",IFERROR(L31-INDEX('Tenders'!$Z$4:$Z$103,MATCH(LEFT($A31,2)&amp;"|2",'Tenders'!$AD$4:$AD$103,0)),""))</f>
        <v/>
      </c>
      <c r="P31" s="23" t="n"/>
    </row>
    <row r="32">
      <c r="A32" s="7">
        <f>IF('Packages'!B32="","",'Packages'!B32)</f>
        <v/>
      </c>
      <c r="B32" s="9">
        <f>IF('Packages'!H32="","",'Packages'!H32)</f>
        <v/>
      </c>
      <c r="C32" s="22" t="n">
        <v>50</v>
      </c>
      <c r="D32" s="22" t="n">
        <v>15</v>
      </c>
      <c r="E32" s="22" t="n">
        <v>15</v>
      </c>
      <c r="F32" s="22" t="n">
        <v>10</v>
      </c>
      <c r="G32" s="22" t="n">
        <v>5</v>
      </c>
      <c r="H32" s="22" t="n">
        <v>5</v>
      </c>
      <c r="I32" s="7">
        <f>IF(A32="","",SUM(C32:H32))</f>
        <v/>
      </c>
      <c r="J32" s="7">
        <f>IF($A32="","",COUNTIFS('Tenders'!$T$4:$T$103,LEFT($A32,2),'Tenders'!$I$4:$I$103,"Yes"))</f>
        <v/>
      </c>
      <c r="K32" s="7">
        <f>IF($A32="","",IF(COUNTIF('Tenders'!$AD$4:$AD$103,LEFT($A32,2)&amp;"|1")&gt;1,"Tie: "&amp;COUNTIF('Tenders'!$AD$4:$AD$103,LEFT($A32,2)&amp;"|1")&amp;" quotes share 1st",IFERROR(INDEX('Tenders'!$B$4:$B$103,MATCH(LEFT($A32,2)&amp;"|1",'Tenders'!$AD$4:$AD$103,0)),"")))</f>
        <v/>
      </c>
      <c r="L32" s="11">
        <f>IF($A32="","",IFERROR(INDEX('Tenders'!$Z$4:$Z$103,MATCH(LEFT($A32,2)&amp;"|1",'Tenders'!$AD$4:$AD$103,0)),""))</f>
        <v/>
      </c>
      <c r="M32" s="9">
        <f>IF(OR($A32="",COUNTIF('Tenders'!$AD$4:$AD$103,LEFT($A32,2)&amp;"|1")&gt;1),"",IFERROR(INDEX('Tenders'!$N$4:$N$103,MATCH(LEFT($A32,2)&amp;"|1",'Tenders'!$AD$4:$AD$103,0)),""))</f>
        <v/>
      </c>
      <c r="N32" s="10">
        <f>IF(OR(M32="",N(B32)=0),"",M32-B32)</f>
        <v/>
      </c>
      <c r="O32" s="11">
        <f>IF(OR($A32="",COUNTIF('Tenders'!$AD$4:$AD$103,LEFT($A32,2)&amp;"|1")&gt;1),"",IFERROR(L32-INDEX('Tenders'!$Z$4:$Z$103,MATCH(LEFT($A32,2)&amp;"|2",'Tenders'!$AD$4:$AD$103,0)),""))</f>
        <v/>
      </c>
      <c r="P32" s="23" t="n"/>
    </row>
    <row r="33">
      <c r="A33" s="7">
        <f>IF('Packages'!B33="","",'Packages'!B33)</f>
        <v/>
      </c>
      <c r="B33" s="9">
        <f>IF('Packages'!H33="","",'Packages'!H33)</f>
        <v/>
      </c>
      <c r="C33" s="22" t="n">
        <v>50</v>
      </c>
      <c r="D33" s="22" t="n">
        <v>15</v>
      </c>
      <c r="E33" s="22" t="n">
        <v>15</v>
      </c>
      <c r="F33" s="22" t="n">
        <v>10</v>
      </c>
      <c r="G33" s="22" t="n">
        <v>5</v>
      </c>
      <c r="H33" s="22" t="n">
        <v>5</v>
      </c>
      <c r="I33" s="7">
        <f>IF(A33="","",SUM(C33:H33))</f>
        <v/>
      </c>
      <c r="J33" s="7">
        <f>IF($A33="","",COUNTIFS('Tenders'!$T$4:$T$103,LEFT($A33,2),'Tenders'!$I$4:$I$103,"Yes"))</f>
        <v/>
      </c>
      <c r="K33" s="7">
        <f>IF($A33="","",IF(COUNTIF('Tenders'!$AD$4:$AD$103,LEFT($A33,2)&amp;"|1")&gt;1,"Tie: "&amp;COUNTIF('Tenders'!$AD$4:$AD$103,LEFT($A33,2)&amp;"|1")&amp;" quotes share 1st",IFERROR(INDEX('Tenders'!$B$4:$B$103,MATCH(LEFT($A33,2)&amp;"|1",'Tenders'!$AD$4:$AD$103,0)),"")))</f>
        <v/>
      </c>
      <c r="L33" s="11">
        <f>IF($A33="","",IFERROR(INDEX('Tenders'!$Z$4:$Z$103,MATCH(LEFT($A33,2)&amp;"|1",'Tenders'!$AD$4:$AD$103,0)),""))</f>
        <v/>
      </c>
      <c r="M33" s="9">
        <f>IF(OR($A33="",COUNTIF('Tenders'!$AD$4:$AD$103,LEFT($A33,2)&amp;"|1")&gt;1),"",IFERROR(INDEX('Tenders'!$N$4:$N$103,MATCH(LEFT($A33,2)&amp;"|1",'Tenders'!$AD$4:$AD$103,0)),""))</f>
        <v/>
      </c>
      <c r="N33" s="10">
        <f>IF(OR(M33="",N(B33)=0),"",M33-B33)</f>
        <v/>
      </c>
      <c r="O33" s="11">
        <f>IF(OR($A33="",COUNTIF('Tenders'!$AD$4:$AD$103,LEFT($A33,2)&amp;"|1")&gt;1),"",IFERROR(L33-INDEX('Tenders'!$Z$4:$Z$103,MATCH(LEFT($A33,2)&amp;"|2",'Tenders'!$AD$4:$AD$103,0)),""))</f>
        <v/>
      </c>
      <c r="P33" s="23" t="n"/>
    </row>
  </sheetData>
  <sheetProtection selectLockedCells="0" selectUnlockedCells="0" sheet="1" objects="0" insertRows="0" insertHyperlinks="0" autoFilter="0" scenarios="0" formatColumns="0" deleteColumns="1" insertColumns="1" pivotTables="1" deleteRows="0" formatCells="0" formatRows="0" sort="0"/>
  <autoFilter ref="A3:P33"/>
  <conditionalFormatting sqref="I4:I33">
    <cfRule type="expression" priority="1" dxfId="2">
      <formula>AND(I4&lt;&gt;"",I4&lt;&gt;100)</formula>
    </cfRule>
  </conditionalFormatting>
  <conditionalFormatting sqref="K4:K33">
    <cfRule type="expression" priority="2" dxfId="1">
      <formula>LEFT(K4,3)="Tie"</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F103"/>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11" customWidth="1" min="3" max="3"/>
    <col width="10" customWidth="1" min="4" max="4"/>
    <col width="10" customWidth="1" min="5" max="5"/>
    <col width="9" customWidth="1" min="6" max="6"/>
    <col width="9" customWidth="1" min="7" max="7"/>
    <col width="9" customWidth="1" min="8" max="8"/>
    <col width="10" customWidth="1" min="9" max="9"/>
    <col width="13" customWidth="1" min="10" max="10"/>
    <col width="12" customWidth="1" min="11" max="11"/>
    <col width="12" customWidth="1" min="12" max="12"/>
    <col width="12" customWidth="1" min="13" max="13"/>
    <col width="13" customWidth="1" min="14" max="14"/>
    <col width="10" customWidth="1" min="15" max="15"/>
    <col width="10" customWidth="1" min="16" max="16"/>
    <col width="10" customWidth="1" min="17" max="17"/>
    <col width="10" customWidth="1" min="18" max="18"/>
    <col width="10" customWidth="1" min="19" max="19"/>
    <col hidden="1" width="6" customWidth="1" min="20" max="20"/>
    <col hidden="1" width="6" customWidth="1" min="21" max="21"/>
    <col width="13" customWidth="1" min="22" max="22"/>
    <col width="13" customWidth="1" min="23" max="23"/>
    <col width="9" customWidth="1" min="24" max="24"/>
    <col width="9" customWidth="1" min="25" max="25"/>
    <col width="9" customWidth="1" min="26" max="26"/>
    <col width="9" customWidth="1" min="27" max="27"/>
    <col width="18" customWidth="1" min="28" max="28"/>
    <col width="30" customWidth="1" min="29" max="29"/>
    <col hidden="1" width="6" customWidth="1" min="30" max="30"/>
    <col width="15" customWidth="1" min="31" max="31"/>
    <col width="28" customWidth="1" min="32" max="32"/>
  </cols>
  <sheetData>
    <row r="1" ht="24" customHeight="1">
      <c r="A1" s="1" t="inlineStr">
        <is>
          <t>Tender comparison</t>
        </is>
      </c>
    </row>
    <row r="2">
      <c r="A2" s="2" t="inlineStr">
        <is>
          <t>One row per quote. Fail any gate and the quote is excluded. Levelling adds exclusions, provisional-sum adjustments and a risk allowance so prices are like-for-like. Scores are 0 to 10. The Check column says why a quote is excluded or needs a look.</t>
        </is>
      </c>
    </row>
    <row r="3" ht="32" customHeight="1">
      <c r="A3" s="20" t="inlineStr">
        <is>
          <t>Package</t>
        </is>
      </c>
      <c r="B3" s="20" t="inlineStr">
        <is>
          <t>Tenderer</t>
        </is>
      </c>
      <c r="C3" s="20" t="inlineStr">
        <is>
          <t>Received</t>
        </is>
      </c>
      <c r="D3" s="20" t="inlineStr">
        <is>
          <t>Registered / licensed</t>
        </is>
      </c>
      <c r="E3" s="20" t="inlineStr">
        <is>
          <t>Insurance current</t>
        </is>
      </c>
      <c r="F3" s="20" t="inlineStr">
        <is>
          <t>ABN verified</t>
        </is>
      </c>
      <c r="G3" s="20" t="inlineStr">
        <is>
          <t>SWMS provided</t>
        </is>
      </c>
      <c r="H3" s="20" t="inlineStr">
        <is>
          <t>Scope conforms</t>
        </is>
      </c>
      <c r="I3" s="21" t="inlineStr">
        <is>
          <t>Compliant?</t>
        </is>
      </c>
      <c r="J3" s="20" t="inlineStr">
        <is>
          <t>Quoted price inc GST ($)</t>
        </is>
      </c>
      <c r="K3" s="20" t="inlineStr">
        <is>
          <t>+ Cost of exclusions ($)</t>
        </is>
      </c>
      <c r="L3" s="20" t="inlineStr">
        <is>
          <t>± Provisional sum adj. ($)</t>
        </is>
      </c>
      <c r="M3" s="20" t="inlineStr">
        <is>
          <t>+ Risk allowance ($)</t>
        </is>
      </c>
      <c r="N3" s="21" t="inlineStr">
        <is>
          <t>Levelled price ($)</t>
        </is>
      </c>
      <c r="O3" s="20" t="inlineStr">
        <is>
          <t>Experience &amp; references</t>
        </is>
      </c>
      <c r="P3" s="20" t="inlineStr">
        <is>
          <t>Program / availability</t>
        </is>
      </c>
      <c r="Q3" s="20" t="inlineStr">
        <is>
          <t>Quality of past work</t>
        </is>
      </c>
      <c r="R3" s="20" t="inlineStr">
        <is>
          <t>Communication</t>
        </is>
      </c>
      <c r="S3" s="20" t="inlineStr">
        <is>
          <t>Warranty &amp; defects terms</t>
        </is>
      </c>
      <c r="T3" s="21" t="inlineStr">
        <is>
          <t>Package no.</t>
        </is>
      </c>
      <c r="U3" s="21" t="inlineStr">
        <is>
          <t>Weights row</t>
        </is>
      </c>
      <c r="V3" s="21" t="inlineStr">
        <is>
          <t>Lowest compliant in package ($)</t>
        </is>
      </c>
      <c r="W3" s="21" t="inlineStr">
        <is>
          <t>Median compliant in package ($)</t>
        </is>
      </c>
      <c r="X3" s="21" t="inlineStr">
        <is>
          <t>Price points</t>
        </is>
      </c>
      <c r="Y3" s="21" t="inlineStr">
        <is>
          <t>Other points</t>
        </is>
      </c>
      <c r="Z3" s="21" t="inlineStr">
        <is>
          <t>Total /100</t>
        </is>
      </c>
      <c r="AA3" s="21" t="inlineStr">
        <is>
          <t>Rank</t>
        </is>
      </c>
      <c r="AB3" s="21" t="inlineStr">
        <is>
          <t>Price check</t>
        </is>
      </c>
      <c r="AC3" s="21" t="inlineStr">
        <is>
          <t>Check</t>
        </is>
      </c>
      <c r="AD3" s="21" t="inlineStr">
        <is>
          <t>Key</t>
        </is>
      </c>
      <c r="AE3" s="20" t="inlineStr">
        <is>
          <t>Quote Doc ID</t>
        </is>
      </c>
      <c r="AF3" s="20" t="inlineStr">
        <is>
          <t>Notes</t>
        </is>
      </c>
    </row>
    <row r="4">
      <c r="A4" s="27" t="inlineStr">
        <is>
          <t>08 Roofing</t>
        </is>
      </c>
      <c r="B4" s="27" t="inlineStr">
        <is>
          <t>Summit Roofing</t>
        </is>
      </c>
      <c r="C4" s="32" t="n"/>
      <c r="D4" s="27" t="inlineStr">
        <is>
          <t>Yes</t>
        </is>
      </c>
      <c r="E4" s="27" t="inlineStr">
        <is>
          <t>Yes</t>
        </is>
      </c>
      <c r="F4" s="27" t="inlineStr">
        <is>
          <t>Yes</t>
        </is>
      </c>
      <c r="G4" s="27" t="inlineStr">
        <is>
          <t>Yes</t>
        </is>
      </c>
      <c r="H4" s="27" t="inlineStr">
        <is>
          <t>Yes</t>
        </is>
      </c>
      <c r="I4" s="7">
        <f>IF(B4="","",IF(AND(COUNTIF(D4:H4,"Yes")=5,SUMPRODUCT(--ISTEXT(J4:M4))=0,N(J4)&gt;0,N(N4)&gt;0,U4&gt;0),"Yes","No"))</f>
        <v/>
      </c>
      <c r="J4" s="31" t="n">
        <v>32500</v>
      </c>
      <c r="K4" s="31" t="n">
        <v>1800</v>
      </c>
      <c r="L4" s="31" t="n">
        <v>0</v>
      </c>
      <c r="M4" s="31" t="n">
        <v>500</v>
      </c>
      <c r="N4" s="9">
        <f>IF(B4="","",N(J4)+N(K4)+N(L4)+N(M4))</f>
        <v/>
      </c>
      <c r="O4" s="27" t="n">
        <v>8</v>
      </c>
      <c r="P4" s="27" t="n">
        <v>6</v>
      </c>
      <c r="Q4" s="27" t="n">
        <v>8</v>
      </c>
      <c r="R4" s="27" t="n">
        <v>7</v>
      </c>
      <c r="S4" s="27" t="n">
        <v>7</v>
      </c>
      <c r="T4" s="7">
        <f>IF(A4="","",LEFT(A4,2))</f>
        <v/>
      </c>
      <c r="U4" s="7">
        <f>IF(A4="",0,IFERROR(MATCH(LEFT(A4,3)&amp;"*",'Tender Setup'!$A$4:$A$33,0),0))</f>
        <v/>
      </c>
      <c r="V4" s="9">
        <f t="array" ref="V4">IF(I4&lt;&gt;"Yes","",MIN(IF((T$4:T$103=T4)*(I$4:I$103="Yes"),N$4:N$103)))</f>
        <v/>
      </c>
      <c r="W4" s="9">
        <f t="array" ref="W4">IF(I4&lt;&gt;"Yes","",MEDIAN(IF((T$4:T$103=T4)*(I$4:I$103="Yes"),N$4:N$103)))</f>
        <v/>
      </c>
      <c r="X4" s="11">
        <f>IF(I4&lt;&gt;"Yes",0,V4/N4*INDEX('Tender Setup'!$C$4:$C$33,U4))</f>
        <v/>
      </c>
      <c r="Y4" s="11">
        <f>IF(I4&lt;&gt;"Yes",0,(MIN(10,MAX(0,N(O4)))*INDEX('Tender Setup'!$D$4:$D$33,U4)+MIN(10,MAX(0,N(P4)))*INDEX('Tender Setup'!$E$4:$E$33,U4)+MIN(10,MAX(0,N(Q4)))*INDEX('Tender Setup'!$F$4:$F$33,U4)+MIN(10,MAX(0,N(R4)))*INDEX('Tender Setup'!$G$4:$G$33,U4)+MIN(10,MAX(0,N(S4)))*INDEX('Tender Setup'!$H$4:$H$33,U4))/10)</f>
        <v/>
      </c>
      <c r="Z4" s="11">
        <f>IF(B4="","",IF(I4&lt;&gt;"Yes",0,IF(N(INDEX('Tender Setup'!$I$4:$I$33,U4))=0,0,(X4+Y4)*100/INDEX('Tender Setup'!$I$4:$I$33,U4))))</f>
        <v/>
      </c>
      <c r="AA4" s="7">
        <f>IF(B4="","",IF(I4&lt;&gt;"Yes","Excluded",COUNTIFS(T$4:T$103,T4,I$4:I$103,"Yes",Z$4:Z$103,"&gt;"&amp;Z4)+1))</f>
        <v/>
      </c>
      <c r="AB4" s="7">
        <f>IF(I4&lt;&gt;"Yes","",IF(AND(COUNTIFS(T$4:T$103,T4,I$4:I$103,"Yes")&gt;=2,N4&lt;W4*(1-Settings!$B$12)),"Well under median: check scope",""))</f>
        <v/>
      </c>
      <c r="AC4" s="36">
        <f>IF(B4="","",TRIM(IF(COUNTIF(D4:H4,"Yes")&lt;5,"Compliance gates not all Yes. ","")&amp;IF(SUMPRODUCT(--ISTEXT(J4:M4))&gt;0,"A price cell holds text, not a number. ","")&amp;IF(N(J4)&lt;=0,"No quoted price. ",IF(N(N4)&lt;=0,"Levelled price is $0 or less. ",""))&amp;IF(U4=0,"Package isn't on the Packages tab. ","")&amp;IF(SUMPRODUCT(ISTEXT(O4:S4)+(O4:S4&lt;0)+(O4:S4&gt;10))&gt;0,"Scores must be 0 to 10 (capped). ","")&amp;IF(AND(AA4=1,COUNTIFS(T$4:T$103,T4,AA$4:AA$103,1)&gt;1),"Tied for 1st: ask both for clarifications. ","")))</f>
        <v/>
      </c>
      <c r="AD4" s="7">
        <f>T4&amp;"|"&amp;AA4</f>
        <v/>
      </c>
      <c r="AE4" s="27" t="n"/>
      <c r="AF4" s="29" t="inlineStr">
        <is>
          <t>EXAMPLE: delete this row</t>
        </is>
      </c>
    </row>
    <row r="5">
      <c r="A5" s="27" t="inlineStr">
        <is>
          <t>08 Roofing</t>
        </is>
      </c>
      <c r="B5" s="27" t="inlineStr">
        <is>
          <t>Ridgeline Metal Roofs</t>
        </is>
      </c>
      <c r="C5" s="32" t="n"/>
      <c r="D5" s="27" t="inlineStr">
        <is>
          <t>Yes</t>
        </is>
      </c>
      <c r="E5" s="27" t="inlineStr">
        <is>
          <t>Yes</t>
        </is>
      </c>
      <c r="F5" s="27" t="inlineStr">
        <is>
          <t>Yes</t>
        </is>
      </c>
      <c r="G5" s="27" t="inlineStr">
        <is>
          <t>Yes</t>
        </is>
      </c>
      <c r="H5" s="27" t="inlineStr">
        <is>
          <t>Yes</t>
        </is>
      </c>
      <c r="I5" s="7">
        <f>IF(B5="","",IF(AND(COUNTIF(D5:H5,"Yes")=5,SUMPRODUCT(--ISTEXT(J5:M5))=0,N(J5)&gt;0,N(N5)&gt;0,U5&gt;0),"Yes","No"))</f>
        <v/>
      </c>
      <c r="J5" s="31" t="n">
        <v>36900</v>
      </c>
      <c r="K5" s="31" t="n">
        <v>0</v>
      </c>
      <c r="L5" s="31" t="n">
        <v>0</v>
      </c>
      <c r="M5" s="31" t="n">
        <v>0</v>
      </c>
      <c r="N5" s="9">
        <f>IF(B5="","",N(J5)+N(K5)+N(L5)+N(M5))</f>
        <v/>
      </c>
      <c r="O5" s="27" t="n">
        <v>9</v>
      </c>
      <c r="P5" s="27" t="n">
        <v>8</v>
      </c>
      <c r="Q5" s="27" t="n">
        <v>9</v>
      </c>
      <c r="R5" s="27" t="n">
        <v>9</v>
      </c>
      <c r="S5" s="27" t="n">
        <v>8</v>
      </c>
      <c r="T5" s="7">
        <f>IF(A5="","",LEFT(A5,2))</f>
        <v/>
      </c>
      <c r="U5" s="7">
        <f>IF(A5="",0,IFERROR(MATCH(LEFT(A5,3)&amp;"*",'Tender Setup'!$A$4:$A$33,0),0))</f>
        <v/>
      </c>
      <c r="V5" s="9">
        <f t="array" ref="V5">IF(I5&lt;&gt;"Yes","",MIN(IF((T$4:T$103=T5)*(I$4:I$103="Yes"),N$4:N$103)))</f>
        <v/>
      </c>
      <c r="W5" s="9">
        <f t="array" ref="W5">IF(I5&lt;&gt;"Yes","",MEDIAN(IF((T$4:T$103=T5)*(I$4:I$103="Yes"),N$4:N$103)))</f>
        <v/>
      </c>
      <c r="X5" s="11">
        <f>IF(I5&lt;&gt;"Yes",0,V5/N5*INDEX('Tender Setup'!$C$4:$C$33,U5))</f>
        <v/>
      </c>
      <c r="Y5" s="11">
        <f>IF(I5&lt;&gt;"Yes",0,(MIN(10,MAX(0,N(O5)))*INDEX('Tender Setup'!$D$4:$D$33,U5)+MIN(10,MAX(0,N(P5)))*INDEX('Tender Setup'!$E$4:$E$33,U5)+MIN(10,MAX(0,N(Q5)))*INDEX('Tender Setup'!$F$4:$F$33,U5)+MIN(10,MAX(0,N(R5)))*INDEX('Tender Setup'!$G$4:$G$33,U5)+MIN(10,MAX(0,N(S5)))*INDEX('Tender Setup'!$H$4:$H$33,U5))/10)</f>
        <v/>
      </c>
      <c r="Z5" s="11">
        <f>IF(B5="","",IF(I5&lt;&gt;"Yes",0,IF(N(INDEX('Tender Setup'!$I$4:$I$33,U5))=0,0,(X5+Y5)*100/INDEX('Tender Setup'!$I$4:$I$33,U5))))</f>
        <v/>
      </c>
      <c r="AA5" s="7">
        <f>IF(B5="","",IF(I5&lt;&gt;"Yes","Excluded",COUNTIFS(T$4:T$103,T5,I$4:I$103,"Yes",Z$4:Z$103,"&gt;"&amp;Z5)+1))</f>
        <v/>
      </c>
      <c r="AB5" s="7">
        <f>IF(I5&lt;&gt;"Yes","",IF(AND(COUNTIFS(T$4:T$103,T5,I$4:I$103,"Yes")&gt;=2,N5&lt;W5*(1-Settings!$B$12)),"Well under median: check scope",""))</f>
        <v/>
      </c>
      <c r="AC5" s="36">
        <f>IF(B5="","",TRIM(IF(COUNTIF(D5:H5,"Yes")&lt;5,"Compliance gates not all Yes. ","")&amp;IF(SUMPRODUCT(--ISTEXT(J5:M5))&gt;0,"A price cell holds text, not a number. ","")&amp;IF(N(J5)&lt;=0,"No quoted price. ",IF(N(N5)&lt;=0,"Levelled price is $0 or less. ",""))&amp;IF(U5=0,"Package isn't on the Packages tab. ","")&amp;IF(SUMPRODUCT(ISTEXT(O5:S5)+(O5:S5&lt;0)+(O5:S5&gt;10))&gt;0,"Scores must be 0 to 10 (capped). ","")&amp;IF(AND(AA5=1,COUNTIFS(T$4:T$103,T5,AA$4:AA$103,1)&gt;1),"Tied for 1st: ask both for clarifications. ","")))</f>
        <v/>
      </c>
      <c r="AD5" s="7">
        <f>T5&amp;"|"&amp;AA5</f>
        <v/>
      </c>
      <c r="AE5" s="27" t="n"/>
      <c r="AF5" s="29" t="inlineStr">
        <is>
          <t>EXAMPLE: delete this row</t>
        </is>
      </c>
    </row>
    <row r="6">
      <c r="A6" s="27" t="inlineStr">
        <is>
          <t>08 Roofing</t>
        </is>
      </c>
      <c r="B6" s="27" t="inlineStr">
        <is>
          <t>Budget Roofs Co</t>
        </is>
      </c>
      <c r="C6" s="32" t="n"/>
      <c r="D6" s="27" t="inlineStr">
        <is>
          <t>Yes</t>
        </is>
      </c>
      <c r="E6" s="27" t="inlineStr">
        <is>
          <t>No</t>
        </is>
      </c>
      <c r="F6" s="27" t="inlineStr">
        <is>
          <t>Yes</t>
        </is>
      </c>
      <c r="G6" s="27" t="inlineStr">
        <is>
          <t>Yes</t>
        </is>
      </c>
      <c r="H6" s="27" t="inlineStr">
        <is>
          <t>Yes</t>
        </is>
      </c>
      <c r="I6" s="7">
        <f>IF(B6="","",IF(AND(COUNTIF(D6:H6,"Yes")=5,SUMPRODUCT(--ISTEXT(J6:M6))=0,N(J6)&gt;0,N(N6)&gt;0,U6&gt;0),"Yes","No"))</f>
        <v/>
      </c>
      <c r="J6" s="31" t="n">
        <v>27900</v>
      </c>
      <c r="K6" s="31" t="n">
        <v>3500</v>
      </c>
      <c r="L6" s="31" t="n">
        <v>1200</v>
      </c>
      <c r="M6" s="31" t="n">
        <v>2000</v>
      </c>
      <c r="N6" s="9">
        <f>IF(B6="","",N(J6)+N(K6)+N(L6)+N(M6))</f>
        <v/>
      </c>
      <c r="O6" s="27" t="n">
        <v>5</v>
      </c>
      <c r="P6" s="27" t="n">
        <v>9</v>
      </c>
      <c r="Q6" s="27" t="n">
        <v>5</v>
      </c>
      <c r="R6" s="27" t="n">
        <v>4</v>
      </c>
      <c r="S6" s="27" t="n">
        <v>5</v>
      </c>
      <c r="T6" s="7">
        <f>IF(A6="","",LEFT(A6,2))</f>
        <v/>
      </c>
      <c r="U6" s="7">
        <f>IF(A6="",0,IFERROR(MATCH(LEFT(A6,3)&amp;"*",'Tender Setup'!$A$4:$A$33,0),0))</f>
        <v/>
      </c>
      <c r="V6" s="9">
        <f t="array" ref="V6">IF(I6&lt;&gt;"Yes","",MIN(IF((T$4:T$103=T6)*(I$4:I$103="Yes"),N$4:N$103)))</f>
        <v/>
      </c>
      <c r="W6" s="9">
        <f t="array" ref="W6">IF(I6&lt;&gt;"Yes","",MEDIAN(IF((T$4:T$103=T6)*(I$4:I$103="Yes"),N$4:N$103)))</f>
        <v/>
      </c>
      <c r="X6" s="11">
        <f>IF(I6&lt;&gt;"Yes",0,V6/N6*INDEX('Tender Setup'!$C$4:$C$33,U6))</f>
        <v/>
      </c>
      <c r="Y6" s="11">
        <f>IF(I6&lt;&gt;"Yes",0,(MIN(10,MAX(0,N(O6)))*INDEX('Tender Setup'!$D$4:$D$33,U6)+MIN(10,MAX(0,N(P6)))*INDEX('Tender Setup'!$E$4:$E$33,U6)+MIN(10,MAX(0,N(Q6)))*INDEX('Tender Setup'!$F$4:$F$33,U6)+MIN(10,MAX(0,N(R6)))*INDEX('Tender Setup'!$G$4:$G$33,U6)+MIN(10,MAX(0,N(S6)))*INDEX('Tender Setup'!$H$4:$H$33,U6))/10)</f>
        <v/>
      </c>
      <c r="Z6" s="11">
        <f>IF(B6="","",IF(I6&lt;&gt;"Yes",0,IF(N(INDEX('Tender Setup'!$I$4:$I$33,U6))=0,0,(X6+Y6)*100/INDEX('Tender Setup'!$I$4:$I$33,U6))))</f>
        <v/>
      </c>
      <c r="AA6" s="7">
        <f>IF(B6="","",IF(I6&lt;&gt;"Yes","Excluded",COUNTIFS(T$4:T$103,T6,I$4:I$103,"Yes",Z$4:Z$103,"&gt;"&amp;Z6)+1))</f>
        <v/>
      </c>
      <c r="AB6" s="7">
        <f>IF(I6&lt;&gt;"Yes","",IF(AND(COUNTIFS(T$4:T$103,T6,I$4:I$103,"Yes")&gt;=2,N6&lt;W6*(1-Settings!$B$12)),"Well under median: check scope",""))</f>
        <v/>
      </c>
      <c r="AC6" s="36">
        <f>IF(B6="","",TRIM(IF(COUNTIF(D6:H6,"Yes")&lt;5,"Compliance gates not all Yes. ","")&amp;IF(SUMPRODUCT(--ISTEXT(J6:M6))&gt;0,"A price cell holds text, not a number. ","")&amp;IF(N(J6)&lt;=0,"No quoted price. ",IF(N(N6)&lt;=0,"Levelled price is $0 or less. ",""))&amp;IF(U6=0,"Package isn't on the Packages tab. ","")&amp;IF(SUMPRODUCT(ISTEXT(O6:S6)+(O6:S6&lt;0)+(O6:S6&gt;10))&gt;0,"Scores must be 0 to 10 (capped). ","")&amp;IF(AND(AA6=1,COUNTIFS(T$4:T$103,T6,AA$4:AA$103,1)&gt;1),"Tied for 1st: ask both for clarifications. ","")))</f>
        <v/>
      </c>
      <c r="AD6" s="7">
        <f>T6&amp;"|"&amp;AA6</f>
        <v/>
      </c>
      <c r="AE6" s="27" t="n"/>
      <c r="AF6" s="29" t="inlineStr">
        <is>
          <t>EXAMPLE: delete this row</t>
        </is>
      </c>
    </row>
    <row r="7">
      <c r="A7" s="22" t="n"/>
      <c r="B7" s="22" t="n"/>
      <c r="C7" s="24" t="n"/>
      <c r="D7" s="22" t="n"/>
      <c r="E7" s="22" t="n"/>
      <c r="F7" s="22" t="n"/>
      <c r="G7" s="22" t="n"/>
      <c r="H7" s="22" t="n"/>
      <c r="I7" s="7">
        <f>IF(B7="","",IF(AND(COUNTIF(D7:H7,"Yes")=5,SUMPRODUCT(--ISTEXT(J7:M7))=0,N(J7)&gt;0,N(N7)&gt;0,U7&gt;0),"Yes","No"))</f>
        <v/>
      </c>
      <c r="J7" s="33" t="n"/>
      <c r="K7" s="33" t="n"/>
      <c r="L7" s="33" t="n"/>
      <c r="M7" s="33" t="n"/>
      <c r="N7" s="9">
        <f>IF(B7="","",N(J7)+N(K7)+N(L7)+N(M7))</f>
        <v/>
      </c>
      <c r="O7" s="22" t="n"/>
      <c r="P7" s="22" t="n"/>
      <c r="Q7" s="22" t="n"/>
      <c r="R7" s="22" t="n"/>
      <c r="S7" s="22" t="n"/>
      <c r="T7" s="7">
        <f>IF(A7="","",LEFT(A7,2))</f>
        <v/>
      </c>
      <c r="U7" s="7">
        <f>IF(A7="",0,IFERROR(MATCH(LEFT(A7,3)&amp;"*",'Tender Setup'!$A$4:$A$33,0),0))</f>
        <v/>
      </c>
      <c r="V7" s="9">
        <f t="array" ref="V7">IF(I7&lt;&gt;"Yes","",MIN(IF((T$4:T$103=T7)*(I$4:I$103="Yes"),N$4:N$103)))</f>
        <v/>
      </c>
      <c r="W7" s="9">
        <f t="array" ref="W7">IF(I7&lt;&gt;"Yes","",MEDIAN(IF((T$4:T$103=T7)*(I$4:I$103="Yes"),N$4:N$103)))</f>
        <v/>
      </c>
      <c r="X7" s="11">
        <f>IF(I7&lt;&gt;"Yes",0,V7/N7*INDEX('Tender Setup'!$C$4:$C$33,U7))</f>
        <v/>
      </c>
      <c r="Y7" s="11">
        <f>IF(I7&lt;&gt;"Yes",0,(MIN(10,MAX(0,N(O7)))*INDEX('Tender Setup'!$D$4:$D$33,U7)+MIN(10,MAX(0,N(P7)))*INDEX('Tender Setup'!$E$4:$E$33,U7)+MIN(10,MAX(0,N(Q7)))*INDEX('Tender Setup'!$F$4:$F$33,U7)+MIN(10,MAX(0,N(R7)))*INDEX('Tender Setup'!$G$4:$G$33,U7)+MIN(10,MAX(0,N(S7)))*INDEX('Tender Setup'!$H$4:$H$33,U7))/10)</f>
        <v/>
      </c>
      <c r="Z7" s="11">
        <f>IF(B7="","",IF(I7&lt;&gt;"Yes",0,IF(N(INDEX('Tender Setup'!$I$4:$I$33,U7))=0,0,(X7+Y7)*100/INDEX('Tender Setup'!$I$4:$I$33,U7))))</f>
        <v/>
      </c>
      <c r="AA7" s="7">
        <f>IF(B7="","",IF(I7&lt;&gt;"Yes","Excluded",COUNTIFS(T$4:T$103,T7,I$4:I$103,"Yes",Z$4:Z$103,"&gt;"&amp;Z7)+1))</f>
        <v/>
      </c>
      <c r="AB7" s="7">
        <f>IF(I7&lt;&gt;"Yes","",IF(AND(COUNTIFS(T$4:T$103,T7,I$4:I$103,"Yes")&gt;=2,N7&lt;W7*(1-Settings!$B$12)),"Well under median: check scope",""))</f>
        <v/>
      </c>
      <c r="AC7" s="36">
        <f>IF(B7="","",TRIM(IF(COUNTIF(D7:H7,"Yes")&lt;5,"Compliance gates not all Yes. ","")&amp;IF(SUMPRODUCT(--ISTEXT(J7:M7))&gt;0,"A price cell holds text, not a number. ","")&amp;IF(N(J7)&lt;=0,"No quoted price. ",IF(N(N7)&lt;=0,"Levelled price is $0 or less. ",""))&amp;IF(U7=0,"Package isn't on the Packages tab. ","")&amp;IF(SUMPRODUCT(ISTEXT(O7:S7)+(O7:S7&lt;0)+(O7:S7&gt;10))&gt;0,"Scores must be 0 to 10 (capped). ","")&amp;IF(AND(AA7=1,COUNTIFS(T$4:T$103,T7,AA$4:AA$103,1)&gt;1),"Tied for 1st: ask both for clarifications. ","")))</f>
        <v/>
      </c>
      <c r="AD7" s="7">
        <f>T7&amp;"|"&amp;AA7</f>
        <v/>
      </c>
      <c r="AE7" s="22" t="n"/>
      <c r="AF7" s="23" t="n"/>
    </row>
    <row r="8">
      <c r="A8" s="22" t="n"/>
      <c r="B8" s="22" t="n"/>
      <c r="C8" s="24" t="n"/>
      <c r="D8" s="22" t="n"/>
      <c r="E8" s="22" t="n"/>
      <c r="F8" s="22" t="n"/>
      <c r="G8" s="22" t="n"/>
      <c r="H8" s="22" t="n"/>
      <c r="I8" s="7">
        <f>IF(B8="","",IF(AND(COUNTIF(D8:H8,"Yes")=5,SUMPRODUCT(--ISTEXT(J8:M8))=0,N(J8)&gt;0,N(N8)&gt;0,U8&gt;0),"Yes","No"))</f>
        <v/>
      </c>
      <c r="J8" s="33" t="n"/>
      <c r="K8" s="33" t="n"/>
      <c r="L8" s="33" t="n"/>
      <c r="M8" s="33" t="n"/>
      <c r="N8" s="9">
        <f>IF(B8="","",N(J8)+N(K8)+N(L8)+N(M8))</f>
        <v/>
      </c>
      <c r="O8" s="22" t="n"/>
      <c r="P8" s="22" t="n"/>
      <c r="Q8" s="22" t="n"/>
      <c r="R8" s="22" t="n"/>
      <c r="S8" s="22" t="n"/>
      <c r="T8" s="7">
        <f>IF(A8="","",LEFT(A8,2))</f>
        <v/>
      </c>
      <c r="U8" s="7">
        <f>IF(A8="",0,IFERROR(MATCH(LEFT(A8,3)&amp;"*",'Tender Setup'!$A$4:$A$33,0),0))</f>
        <v/>
      </c>
      <c r="V8" s="9">
        <f t="array" ref="V8">IF(I8&lt;&gt;"Yes","",MIN(IF((T$4:T$103=T8)*(I$4:I$103="Yes"),N$4:N$103)))</f>
        <v/>
      </c>
      <c r="W8" s="9">
        <f t="array" ref="W8">IF(I8&lt;&gt;"Yes","",MEDIAN(IF((T$4:T$103=T8)*(I$4:I$103="Yes"),N$4:N$103)))</f>
        <v/>
      </c>
      <c r="X8" s="11">
        <f>IF(I8&lt;&gt;"Yes",0,V8/N8*INDEX('Tender Setup'!$C$4:$C$33,U8))</f>
        <v/>
      </c>
      <c r="Y8" s="11">
        <f>IF(I8&lt;&gt;"Yes",0,(MIN(10,MAX(0,N(O8)))*INDEX('Tender Setup'!$D$4:$D$33,U8)+MIN(10,MAX(0,N(P8)))*INDEX('Tender Setup'!$E$4:$E$33,U8)+MIN(10,MAX(0,N(Q8)))*INDEX('Tender Setup'!$F$4:$F$33,U8)+MIN(10,MAX(0,N(R8)))*INDEX('Tender Setup'!$G$4:$G$33,U8)+MIN(10,MAX(0,N(S8)))*INDEX('Tender Setup'!$H$4:$H$33,U8))/10)</f>
        <v/>
      </c>
      <c r="Z8" s="11">
        <f>IF(B8="","",IF(I8&lt;&gt;"Yes",0,IF(N(INDEX('Tender Setup'!$I$4:$I$33,U8))=0,0,(X8+Y8)*100/INDEX('Tender Setup'!$I$4:$I$33,U8))))</f>
        <v/>
      </c>
      <c r="AA8" s="7">
        <f>IF(B8="","",IF(I8&lt;&gt;"Yes","Excluded",COUNTIFS(T$4:T$103,T8,I$4:I$103,"Yes",Z$4:Z$103,"&gt;"&amp;Z8)+1))</f>
        <v/>
      </c>
      <c r="AB8" s="7">
        <f>IF(I8&lt;&gt;"Yes","",IF(AND(COUNTIFS(T$4:T$103,T8,I$4:I$103,"Yes")&gt;=2,N8&lt;W8*(1-Settings!$B$12)),"Well under median: check scope",""))</f>
        <v/>
      </c>
      <c r="AC8" s="36">
        <f>IF(B8="","",TRIM(IF(COUNTIF(D8:H8,"Yes")&lt;5,"Compliance gates not all Yes. ","")&amp;IF(SUMPRODUCT(--ISTEXT(J8:M8))&gt;0,"A price cell holds text, not a number. ","")&amp;IF(N(J8)&lt;=0,"No quoted price. ",IF(N(N8)&lt;=0,"Levelled price is $0 or less. ",""))&amp;IF(U8=0,"Package isn't on the Packages tab. ","")&amp;IF(SUMPRODUCT(ISTEXT(O8:S8)+(O8:S8&lt;0)+(O8:S8&gt;10))&gt;0,"Scores must be 0 to 10 (capped). ","")&amp;IF(AND(AA8=1,COUNTIFS(T$4:T$103,T8,AA$4:AA$103,1)&gt;1),"Tied for 1st: ask both for clarifications. ","")))</f>
        <v/>
      </c>
      <c r="AD8" s="7">
        <f>T8&amp;"|"&amp;AA8</f>
        <v/>
      </c>
      <c r="AE8" s="22" t="n"/>
      <c r="AF8" s="23" t="n"/>
    </row>
    <row r="9">
      <c r="A9" s="22" t="n"/>
      <c r="B9" s="22" t="n"/>
      <c r="C9" s="24" t="n"/>
      <c r="D9" s="22" t="n"/>
      <c r="E9" s="22" t="n"/>
      <c r="F9" s="22" t="n"/>
      <c r="G9" s="22" t="n"/>
      <c r="H9" s="22" t="n"/>
      <c r="I9" s="7">
        <f>IF(B9="","",IF(AND(COUNTIF(D9:H9,"Yes")=5,SUMPRODUCT(--ISTEXT(J9:M9))=0,N(J9)&gt;0,N(N9)&gt;0,U9&gt;0),"Yes","No"))</f>
        <v/>
      </c>
      <c r="J9" s="33" t="n"/>
      <c r="K9" s="33" t="n"/>
      <c r="L9" s="33" t="n"/>
      <c r="M9" s="33" t="n"/>
      <c r="N9" s="9">
        <f>IF(B9="","",N(J9)+N(K9)+N(L9)+N(M9))</f>
        <v/>
      </c>
      <c r="O9" s="22" t="n"/>
      <c r="P9" s="22" t="n"/>
      <c r="Q9" s="22" t="n"/>
      <c r="R9" s="22" t="n"/>
      <c r="S9" s="22" t="n"/>
      <c r="T9" s="7">
        <f>IF(A9="","",LEFT(A9,2))</f>
        <v/>
      </c>
      <c r="U9" s="7">
        <f>IF(A9="",0,IFERROR(MATCH(LEFT(A9,3)&amp;"*",'Tender Setup'!$A$4:$A$33,0),0))</f>
        <v/>
      </c>
      <c r="V9" s="9">
        <f t="array" ref="V9">IF(I9&lt;&gt;"Yes","",MIN(IF((T$4:T$103=T9)*(I$4:I$103="Yes"),N$4:N$103)))</f>
        <v/>
      </c>
      <c r="W9" s="9">
        <f t="array" ref="W9">IF(I9&lt;&gt;"Yes","",MEDIAN(IF((T$4:T$103=T9)*(I$4:I$103="Yes"),N$4:N$103)))</f>
        <v/>
      </c>
      <c r="X9" s="11">
        <f>IF(I9&lt;&gt;"Yes",0,V9/N9*INDEX('Tender Setup'!$C$4:$C$33,U9))</f>
        <v/>
      </c>
      <c r="Y9" s="11">
        <f>IF(I9&lt;&gt;"Yes",0,(MIN(10,MAX(0,N(O9)))*INDEX('Tender Setup'!$D$4:$D$33,U9)+MIN(10,MAX(0,N(P9)))*INDEX('Tender Setup'!$E$4:$E$33,U9)+MIN(10,MAX(0,N(Q9)))*INDEX('Tender Setup'!$F$4:$F$33,U9)+MIN(10,MAX(0,N(R9)))*INDEX('Tender Setup'!$G$4:$G$33,U9)+MIN(10,MAX(0,N(S9)))*INDEX('Tender Setup'!$H$4:$H$33,U9))/10)</f>
        <v/>
      </c>
      <c r="Z9" s="11">
        <f>IF(B9="","",IF(I9&lt;&gt;"Yes",0,IF(N(INDEX('Tender Setup'!$I$4:$I$33,U9))=0,0,(X9+Y9)*100/INDEX('Tender Setup'!$I$4:$I$33,U9))))</f>
        <v/>
      </c>
      <c r="AA9" s="7">
        <f>IF(B9="","",IF(I9&lt;&gt;"Yes","Excluded",COUNTIFS(T$4:T$103,T9,I$4:I$103,"Yes",Z$4:Z$103,"&gt;"&amp;Z9)+1))</f>
        <v/>
      </c>
      <c r="AB9" s="7">
        <f>IF(I9&lt;&gt;"Yes","",IF(AND(COUNTIFS(T$4:T$103,T9,I$4:I$103,"Yes")&gt;=2,N9&lt;W9*(1-Settings!$B$12)),"Well under median: check scope",""))</f>
        <v/>
      </c>
      <c r="AC9" s="36">
        <f>IF(B9="","",TRIM(IF(COUNTIF(D9:H9,"Yes")&lt;5,"Compliance gates not all Yes. ","")&amp;IF(SUMPRODUCT(--ISTEXT(J9:M9))&gt;0,"A price cell holds text, not a number. ","")&amp;IF(N(J9)&lt;=0,"No quoted price. ",IF(N(N9)&lt;=0,"Levelled price is $0 or less. ",""))&amp;IF(U9=0,"Package isn't on the Packages tab. ","")&amp;IF(SUMPRODUCT(ISTEXT(O9:S9)+(O9:S9&lt;0)+(O9:S9&gt;10))&gt;0,"Scores must be 0 to 10 (capped). ","")&amp;IF(AND(AA9=1,COUNTIFS(T$4:T$103,T9,AA$4:AA$103,1)&gt;1),"Tied for 1st: ask both for clarifications. ","")))</f>
        <v/>
      </c>
      <c r="AD9" s="7">
        <f>T9&amp;"|"&amp;AA9</f>
        <v/>
      </c>
      <c r="AE9" s="22" t="n"/>
      <c r="AF9" s="23" t="n"/>
    </row>
    <row r="10">
      <c r="A10" s="22" t="n"/>
      <c r="B10" s="22" t="n"/>
      <c r="C10" s="24" t="n"/>
      <c r="D10" s="22" t="n"/>
      <c r="E10" s="22" t="n"/>
      <c r="F10" s="22" t="n"/>
      <c r="G10" s="22" t="n"/>
      <c r="H10" s="22" t="n"/>
      <c r="I10" s="7">
        <f>IF(B10="","",IF(AND(COUNTIF(D10:H10,"Yes")=5,SUMPRODUCT(--ISTEXT(J10:M10))=0,N(J10)&gt;0,N(N10)&gt;0,U10&gt;0),"Yes","No"))</f>
        <v/>
      </c>
      <c r="J10" s="33" t="n"/>
      <c r="K10" s="33" t="n"/>
      <c r="L10" s="33" t="n"/>
      <c r="M10" s="33" t="n"/>
      <c r="N10" s="9">
        <f>IF(B10="","",N(J10)+N(K10)+N(L10)+N(M10))</f>
        <v/>
      </c>
      <c r="O10" s="22" t="n"/>
      <c r="P10" s="22" t="n"/>
      <c r="Q10" s="22" t="n"/>
      <c r="R10" s="22" t="n"/>
      <c r="S10" s="22" t="n"/>
      <c r="T10" s="7">
        <f>IF(A10="","",LEFT(A10,2))</f>
        <v/>
      </c>
      <c r="U10" s="7">
        <f>IF(A10="",0,IFERROR(MATCH(LEFT(A10,3)&amp;"*",'Tender Setup'!$A$4:$A$33,0),0))</f>
        <v/>
      </c>
      <c r="V10" s="9">
        <f t="array" ref="V10">IF(I10&lt;&gt;"Yes","",MIN(IF((T$4:T$103=T10)*(I$4:I$103="Yes"),N$4:N$103)))</f>
        <v/>
      </c>
      <c r="W10" s="9">
        <f t="array" ref="W10">IF(I10&lt;&gt;"Yes","",MEDIAN(IF((T$4:T$103=T10)*(I$4:I$103="Yes"),N$4:N$103)))</f>
        <v/>
      </c>
      <c r="X10" s="11">
        <f>IF(I10&lt;&gt;"Yes",0,V10/N10*INDEX('Tender Setup'!$C$4:$C$33,U10))</f>
        <v/>
      </c>
      <c r="Y10" s="11">
        <f>IF(I10&lt;&gt;"Yes",0,(MIN(10,MAX(0,N(O10)))*INDEX('Tender Setup'!$D$4:$D$33,U10)+MIN(10,MAX(0,N(P10)))*INDEX('Tender Setup'!$E$4:$E$33,U10)+MIN(10,MAX(0,N(Q10)))*INDEX('Tender Setup'!$F$4:$F$33,U10)+MIN(10,MAX(0,N(R10)))*INDEX('Tender Setup'!$G$4:$G$33,U10)+MIN(10,MAX(0,N(S10)))*INDEX('Tender Setup'!$H$4:$H$33,U10))/10)</f>
        <v/>
      </c>
      <c r="Z10" s="11">
        <f>IF(B10="","",IF(I10&lt;&gt;"Yes",0,IF(N(INDEX('Tender Setup'!$I$4:$I$33,U10))=0,0,(X10+Y10)*100/INDEX('Tender Setup'!$I$4:$I$33,U10))))</f>
        <v/>
      </c>
      <c r="AA10" s="7">
        <f>IF(B10="","",IF(I10&lt;&gt;"Yes","Excluded",COUNTIFS(T$4:T$103,T10,I$4:I$103,"Yes",Z$4:Z$103,"&gt;"&amp;Z10)+1))</f>
        <v/>
      </c>
      <c r="AB10" s="7">
        <f>IF(I10&lt;&gt;"Yes","",IF(AND(COUNTIFS(T$4:T$103,T10,I$4:I$103,"Yes")&gt;=2,N10&lt;W10*(1-Settings!$B$12)),"Well under median: check scope",""))</f>
        <v/>
      </c>
      <c r="AC10" s="36">
        <f>IF(B10="","",TRIM(IF(COUNTIF(D10:H10,"Yes")&lt;5,"Compliance gates not all Yes. ","")&amp;IF(SUMPRODUCT(--ISTEXT(J10:M10))&gt;0,"A price cell holds text, not a number. ","")&amp;IF(N(J10)&lt;=0,"No quoted price. ",IF(N(N10)&lt;=0,"Levelled price is $0 or less. ",""))&amp;IF(U10=0,"Package isn't on the Packages tab. ","")&amp;IF(SUMPRODUCT(ISTEXT(O10:S10)+(O10:S10&lt;0)+(O10:S10&gt;10))&gt;0,"Scores must be 0 to 10 (capped). ","")&amp;IF(AND(AA10=1,COUNTIFS(T$4:T$103,T10,AA$4:AA$103,1)&gt;1),"Tied for 1st: ask both for clarifications. ","")))</f>
        <v/>
      </c>
      <c r="AD10" s="7">
        <f>T10&amp;"|"&amp;AA10</f>
        <v/>
      </c>
      <c r="AE10" s="22" t="n"/>
      <c r="AF10" s="23" t="n"/>
    </row>
    <row r="11">
      <c r="A11" s="22" t="n"/>
      <c r="B11" s="22" t="n"/>
      <c r="C11" s="24" t="n"/>
      <c r="D11" s="22" t="n"/>
      <c r="E11" s="22" t="n"/>
      <c r="F11" s="22" t="n"/>
      <c r="G11" s="22" t="n"/>
      <c r="H11" s="22" t="n"/>
      <c r="I11" s="7">
        <f>IF(B11="","",IF(AND(COUNTIF(D11:H11,"Yes")=5,SUMPRODUCT(--ISTEXT(J11:M11))=0,N(J11)&gt;0,N(N11)&gt;0,U11&gt;0),"Yes","No"))</f>
        <v/>
      </c>
      <c r="J11" s="33" t="n"/>
      <c r="K11" s="33" t="n"/>
      <c r="L11" s="33" t="n"/>
      <c r="M11" s="33" t="n"/>
      <c r="N11" s="9">
        <f>IF(B11="","",N(J11)+N(K11)+N(L11)+N(M11))</f>
        <v/>
      </c>
      <c r="O11" s="22" t="n"/>
      <c r="P11" s="22" t="n"/>
      <c r="Q11" s="22" t="n"/>
      <c r="R11" s="22" t="n"/>
      <c r="S11" s="22" t="n"/>
      <c r="T11" s="7">
        <f>IF(A11="","",LEFT(A11,2))</f>
        <v/>
      </c>
      <c r="U11" s="7">
        <f>IF(A11="",0,IFERROR(MATCH(LEFT(A11,3)&amp;"*",'Tender Setup'!$A$4:$A$33,0),0))</f>
        <v/>
      </c>
      <c r="V11" s="9">
        <f t="array" ref="V11">IF(I11&lt;&gt;"Yes","",MIN(IF((T$4:T$103=T11)*(I$4:I$103="Yes"),N$4:N$103)))</f>
        <v/>
      </c>
      <c r="W11" s="9">
        <f t="array" ref="W11">IF(I11&lt;&gt;"Yes","",MEDIAN(IF((T$4:T$103=T11)*(I$4:I$103="Yes"),N$4:N$103)))</f>
        <v/>
      </c>
      <c r="X11" s="11">
        <f>IF(I11&lt;&gt;"Yes",0,V11/N11*INDEX('Tender Setup'!$C$4:$C$33,U11))</f>
        <v/>
      </c>
      <c r="Y11" s="11">
        <f>IF(I11&lt;&gt;"Yes",0,(MIN(10,MAX(0,N(O11)))*INDEX('Tender Setup'!$D$4:$D$33,U11)+MIN(10,MAX(0,N(P11)))*INDEX('Tender Setup'!$E$4:$E$33,U11)+MIN(10,MAX(0,N(Q11)))*INDEX('Tender Setup'!$F$4:$F$33,U11)+MIN(10,MAX(0,N(R11)))*INDEX('Tender Setup'!$G$4:$G$33,U11)+MIN(10,MAX(0,N(S11)))*INDEX('Tender Setup'!$H$4:$H$33,U11))/10)</f>
        <v/>
      </c>
      <c r="Z11" s="11">
        <f>IF(B11="","",IF(I11&lt;&gt;"Yes",0,IF(N(INDEX('Tender Setup'!$I$4:$I$33,U11))=0,0,(X11+Y11)*100/INDEX('Tender Setup'!$I$4:$I$33,U11))))</f>
        <v/>
      </c>
      <c r="AA11" s="7">
        <f>IF(B11="","",IF(I11&lt;&gt;"Yes","Excluded",COUNTIFS(T$4:T$103,T11,I$4:I$103,"Yes",Z$4:Z$103,"&gt;"&amp;Z11)+1))</f>
        <v/>
      </c>
      <c r="AB11" s="7">
        <f>IF(I11&lt;&gt;"Yes","",IF(AND(COUNTIFS(T$4:T$103,T11,I$4:I$103,"Yes")&gt;=2,N11&lt;W11*(1-Settings!$B$12)),"Well under median: check scope",""))</f>
        <v/>
      </c>
      <c r="AC11" s="36">
        <f>IF(B11="","",TRIM(IF(COUNTIF(D11:H11,"Yes")&lt;5,"Compliance gates not all Yes. ","")&amp;IF(SUMPRODUCT(--ISTEXT(J11:M11))&gt;0,"A price cell holds text, not a number. ","")&amp;IF(N(J11)&lt;=0,"No quoted price. ",IF(N(N11)&lt;=0,"Levelled price is $0 or less. ",""))&amp;IF(U11=0,"Package isn't on the Packages tab. ","")&amp;IF(SUMPRODUCT(ISTEXT(O11:S11)+(O11:S11&lt;0)+(O11:S11&gt;10))&gt;0,"Scores must be 0 to 10 (capped). ","")&amp;IF(AND(AA11=1,COUNTIFS(T$4:T$103,T11,AA$4:AA$103,1)&gt;1),"Tied for 1st: ask both for clarifications. ","")))</f>
        <v/>
      </c>
      <c r="AD11" s="7">
        <f>T11&amp;"|"&amp;AA11</f>
        <v/>
      </c>
      <c r="AE11" s="22" t="n"/>
      <c r="AF11" s="23" t="n"/>
    </row>
    <row r="12">
      <c r="A12" s="22" t="n"/>
      <c r="B12" s="22" t="n"/>
      <c r="C12" s="24" t="n"/>
      <c r="D12" s="22" t="n"/>
      <c r="E12" s="22" t="n"/>
      <c r="F12" s="22" t="n"/>
      <c r="G12" s="22" t="n"/>
      <c r="H12" s="22" t="n"/>
      <c r="I12" s="7">
        <f>IF(B12="","",IF(AND(COUNTIF(D12:H12,"Yes")=5,SUMPRODUCT(--ISTEXT(J12:M12))=0,N(J12)&gt;0,N(N12)&gt;0,U12&gt;0),"Yes","No"))</f>
        <v/>
      </c>
      <c r="J12" s="33" t="n"/>
      <c r="K12" s="33" t="n"/>
      <c r="L12" s="33" t="n"/>
      <c r="M12" s="33" t="n"/>
      <c r="N12" s="9">
        <f>IF(B12="","",N(J12)+N(K12)+N(L12)+N(M12))</f>
        <v/>
      </c>
      <c r="O12" s="22" t="n"/>
      <c r="P12" s="22" t="n"/>
      <c r="Q12" s="22" t="n"/>
      <c r="R12" s="22" t="n"/>
      <c r="S12" s="22" t="n"/>
      <c r="T12" s="7">
        <f>IF(A12="","",LEFT(A12,2))</f>
        <v/>
      </c>
      <c r="U12" s="7">
        <f>IF(A12="",0,IFERROR(MATCH(LEFT(A12,3)&amp;"*",'Tender Setup'!$A$4:$A$33,0),0))</f>
        <v/>
      </c>
      <c r="V12" s="9">
        <f t="array" ref="V12">IF(I12&lt;&gt;"Yes","",MIN(IF((T$4:T$103=T12)*(I$4:I$103="Yes"),N$4:N$103)))</f>
        <v/>
      </c>
      <c r="W12" s="9">
        <f t="array" ref="W12">IF(I12&lt;&gt;"Yes","",MEDIAN(IF((T$4:T$103=T12)*(I$4:I$103="Yes"),N$4:N$103)))</f>
        <v/>
      </c>
      <c r="X12" s="11">
        <f>IF(I12&lt;&gt;"Yes",0,V12/N12*INDEX('Tender Setup'!$C$4:$C$33,U12))</f>
        <v/>
      </c>
      <c r="Y12" s="11">
        <f>IF(I12&lt;&gt;"Yes",0,(MIN(10,MAX(0,N(O12)))*INDEX('Tender Setup'!$D$4:$D$33,U12)+MIN(10,MAX(0,N(P12)))*INDEX('Tender Setup'!$E$4:$E$33,U12)+MIN(10,MAX(0,N(Q12)))*INDEX('Tender Setup'!$F$4:$F$33,U12)+MIN(10,MAX(0,N(R12)))*INDEX('Tender Setup'!$G$4:$G$33,U12)+MIN(10,MAX(0,N(S12)))*INDEX('Tender Setup'!$H$4:$H$33,U12))/10)</f>
        <v/>
      </c>
      <c r="Z12" s="11">
        <f>IF(B12="","",IF(I12&lt;&gt;"Yes",0,IF(N(INDEX('Tender Setup'!$I$4:$I$33,U12))=0,0,(X12+Y12)*100/INDEX('Tender Setup'!$I$4:$I$33,U12))))</f>
        <v/>
      </c>
      <c r="AA12" s="7">
        <f>IF(B12="","",IF(I12&lt;&gt;"Yes","Excluded",COUNTIFS(T$4:T$103,T12,I$4:I$103,"Yes",Z$4:Z$103,"&gt;"&amp;Z12)+1))</f>
        <v/>
      </c>
      <c r="AB12" s="7">
        <f>IF(I12&lt;&gt;"Yes","",IF(AND(COUNTIFS(T$4:T$103,T12,I$4:I$103,"Yes")&gt;=2,N12&lt;W12*(1-Settings!$B$12)),"Well under median: check scope",""))</f>
        <v/>
      </c>
      <c r="AC12" s="36">
        <f>IF(B12="","",TRIM(IF(COUNTIF(D12:H12,"Yes")&lt;5,"Compliance gates not all Yes. ","")&amp;IF(SUMPRODUCT(--ISTEXT(J12:M12))&gt;0,"A price cell holds text, not a number. ","")&amp;IF(N(J12)&lt;=0,"No quoted price. ",IF(N(N12)&lt;=0,"Levelled price is $0 or less. ",""))&amp;IF(U12=0,"Package isn't on the Packages tab. ","")&amp;IF(SUMPRODUCT(ISTEXT(O12:S12)+(O12:S12&lt;0)+(O12:S12&gt;10))&gt;0,"Scores must be 0 to 10 (capped). ","")&amp;IF(AND(AA12=1,COUNTIFS(T$4:T$103,T12,AA$4:AA$103,1)&gt;1),"Tied for 1st: ask both for clarifications. ","")))</f>
        <v/>
      </c>
      <c r="AD12" s="7">
        <f>T12&amp;"|"&amp;AA12</f>
        <v/>
      </c>
      <c r="AE12" s="22" t="n"/>
      <c r="AF12" s="23" t="n"/>
    </row>
    <row r="13">
      <c r="A13" s="22" t="n"/>
      <c r="B13" s="22" t="n"/>
      <c r="C13" s="24" t="n"/>
      <c r="D13" s="22" t="n"/>
      <c r="E13" s="22" t="n"/>
      <c r="F13" s="22" t="n"/>
      <c r="G13" s="22" t="n"/>
      <c r="H13" s="22" t="n"/>
      <c r="I13" s="7">
        <f>IF(B13="","",IF(AND(COUNTIF(D13:H13,"Yes")=5,SUMPRODUCT(--ISTEXT(J13:M13))=0,N(J13)&gt;0,N(N13)&gt;0,U13&gt;0),"Yes","No"))</f>
        <v/>
      </c>
      <c r="J13" s="33" t="n"/>
      <c r="K13" s="33" t="n"/>
      <c r="L13" s="33" t="n"/>
      <c r="M13" s="33" t="n"/>
      <c r="N13" s="9">
        <f>IF(B13="","",N(J13)+N(K13)+N(L13)+N(M13))</f>
        <v/>
      </c>
      <c r="O13" s="22" t="n"/>
      <c r="P13" s="22" t="n"/>
      <c r="Q13" s="22" t="n"/>
      <c r="R13" s="22" t="n"/>
      <c r="S13" s="22" t="n"/>
      <c r="T13" s="7">
        <f>IF(A13="","",LEFT(A13,2))</f>
        <v/>
      </c>
      <c r="U13" s="7">
        <f>IF(A13="",0,IFERROR(MATCH(LEFT(A13,3)&amp;"*",'Tender Setup'!$A$4:$A$33,0),0))</f>
        <v/>
      </c>
      <c r="V13" s="9">
        <f t="array" ref="V13">IF(I13&lt;&gt;"Yes","",MIN(IF((T$4:T$103=T13)*(I$4:I$103="Yes"),N$4:N$103)))</f>
        <v/>
      </c>
      <c r="W13" s="9">
        <f t="array" ref="W13">IF(I13&lt;&gt;"Yes","",MEDIAN(IF((T$4:T$103=T13)*(I$4:I$103="Yes"),N$4:N$103)))</f>
        <v/>
      </c>
      <c r="X13" s="11">
        <f>IF(I13&lt;&gt;"Yes",0,V13/N13*INDEX('Tender Setup'!$C$4:$C$33,U13))</f>
        <v/>
      </c>
      <c r="Y13" s="11">
        <f>IF(I13&lt;&gt;"Yes",0,(MIN(10,MAX(0,N(O13)))*INDEX('Tender Setup'!$D$4:$D$33,U13)+MIN(10,MAX(0,N(P13)))*INDEX('Tender Setup'!$E$4:$E$33,U13)+MIN(10,MAX(0,N(Q13)))*INDEX('Tender Setup'!$F$4:$F$33,U13)+MIN(10,MAX(0,N(R13)))*INDEX('Tender Setup'!$G$4:$G$33,U13)+MIN(10,MAX(0,N(S13)))*INDEX('Tender Setup'!$H$4:$H$33,U13))/10)</f>
        <v/>
      </c>
      <c r="Z13" s="11">
        <f>IF(B13="","",IF(I13&lt;&gt;"Yes",0,IF(N(INDEX('Tender Setup'!$I$4:$I$33,U13))=0,0,(X13+Y13)*100/INDEX('Tender Setup'!$I$4:$I$33,U13))))</f>
        <v/>
      </c>
      <c r="AA13" s="7">
        <f>IF(B13="","",IF(I13&lt;&gt;"Yes","Excluded",COUNTIFS(T$4:T$103,T13,I$4:I$103,"Yes",Z$4:Z$103,"&gt;"&amp;Z13)+1))</f>
        <v/>
      </c>
      <c r="AB13" s="7">
        <f>IF(I13&lt;&gt;"Yes","",IF(AND(COUNTIFS(T$4:T$103,T13,I$4:I$103,"Yes")&gt;=2,N13&lt;W13*(1-Settings!$B$12)),"Well under median: check scope",""))</f>
        <v/>
      </c>
      <c r="AC13" s="36">
        <f>IF(B13="","",TRIM(IF(COUNTIF(D13:H13,"Yes")&lt;5,"Compliance gates not all Yes. ","")&amp;IF(SUMPRODUCT(--ISTEXT(J13:M13))&gt;0,"A price cell holds text, not a number. ","")&amp;IF(N(J13)&lt;=0,"No quoted price. ",IF(N(N13)&lt;=0,"Levelled price is $0 or less. ",""))&amp;IF(U13=0,"Package isn't on the Packages tab. ","")&amp;IF(SUMPRODUCT(ISTEXT(O13:S13)+(O13:S13&lt;0)+(O13:S13&gt;10))&gt;0,"Scores must be 0 to 10 (capped). ","")&amp;IF(AND(AA13=1,COUNTIFS(T$4:T$103,T13,AA$4:AA$103,1)&gt;1),"Tied for 1st: ask both for clarifications. ","")))</f>
        <v/>
      </c>
      <c r="AD13" s="7">
        <f>T13&amp;"|"&amp;AA13</f>
        <v/>
      </c>
      <c r="AE13" s="22" t="n"/>
      <c r="AF13" s="23" t="n"/>
    </row>
    <row r="14">
      <c r="A14" s="22" t="n"/>
      <c r="B14" s="22" t="n"/>
      <c r="C14" s="24" t="n"/>
      <c r="D14" s="22" t="n"/>
      <c r="E14" s="22" t="n"/>
      <c r="F14" s="22" t="n"/>
      <c r="G14" s="22" t="n"/>
      <c r="H14" s="22" t="n"/>
      <c r="I14" s="7">
        <f>IF(B14="","",IF(AND(COUNTIF(D14:H14,"Yes")=5,SUMPRODUCT(--ISTEXT(J14:M14))=0,N(J14)&gt;0,N(N14)&gt;0,U14&gt;0),"Yes","No"))</f>
        <v/>
      </c>
      <c r="J14" s="33" t="n"/>
      <c r="K14" s="33" t="n"/>
      <c r="L14" s="33" t="n"/>
      <c r="M14" s="33" t="n"/>
      <c r="N14" s="9">
        <f>IF(B14="","",N(J14)+N(K14)+N(L14)+N(M14))</f>
        <v/>
      </c>
      <c r="O14" s="22" t="n"/>
      <c r="P14" s="22" t="n"/>
      <c r="Q14" s="22" t="n"/>
      <c r="R14" s="22" t="n"/>
      <c r="S14" s="22" t="n"/>
      <c r="T14" s="7">
        <f>IF(A14="","",LEFT(A14,2))</f>
        <v/>
      </c>
      <c r="U14" s="7">
        <f>IF(A14="",0,IFERROR(MATCH(LEFT(A14,3)&amp;"*",'Tender Setup'!$A$4:$A$33,0),0))</f>
        <v/>
      </c>
      <c r="V14" s="9">
        <f t="array" ref="V14">IF(I14&lt;&gt;"Yes","",MIN(IF((T$4:T$103=T14)*(I$4:I$103="Yes"),N$4:N$103)))</f>
        <v/>
      </c>
      <c r="W14" s="9">
        <f t="array" ref="W14">IF(I14&lt;&gt;"Yes","",MEDIAN(IF((T$4:T$103=T14)*(I$4:I$103="Yes"),N$4:N$103)))</f>
        <v/>
      </c>
      <c r="X14" s="11">
        <f>IF(I14&lt;&gt;"Yes",0,V14/N14*INDEX('Tender Setup'!$C$4:$C$33,U14))</f>
        <v/>
      </c>
      <c r="Y14" s="11">
        <f>IF(I14&lt;&gt;"Yes",0,(MIN(10,MAX(0,N(O14)))*INDEX('Tender Setup'!$D$4:$D$33,U14)+MIN(10,MAX(0,N(P14)))*INDEX('Tender Setup'!$E$4:$E$33,U14)+MIN(10,MAX(0,N(Q14)))*INDEX('Tender Setup'!$F$4:$F$33,U14)+MIN(10,MAX(0,N(R14)))*INDEX('Tender Setup'!$G$4:$G$33,U14)+MIN(10,MAX(0,N(S14)))*INDEX('Tender Setup'!$H$4:$H$33,U14))/10)</f>
        <v/>
      </c>
      <c r="Z14" s="11">
        <f>IF(B14="","",IF(I14&lt;&gt;"Yes",0,IF(N(INDEX('Tender Setup'!$I$4:$I$33,U14))=0,0,(X14+Y14)*100/INDEX('Tender Setup'!$I$4:$I$33,U14))))</f>
        <v/>
      </c>
      <c r="AA14" s="7">
        <f>IF(B14="","",IF(I14&lt;&gt;"Yes","Excluded",COUNTIFS(T$4:T$103,T14,I$4:I$103,"Yes",Z$4:Z$103,"&gt;"&amp;Z14)+1))</f>
        <v/>
      </c>
      <c r="AB14" s="7">
        <f>IF(I14&lt;&gt;"Yes","",IF(AND(COUNTIFS(T$4:T$103,T14,I$4:I$103,"Yes")&gt;=2,N14&lt;W14*(1-Settings!$B$12)),"Well under median: check scope",""))</f>
        <v/>
      </c>
      <c r="AC14" s="36">
        <f>IF(B14="","",TRIM(IF(COUNTIF(D14:H14,"Yes")&lt;5,"Compliance gates not all Yes. ","")&amp;IF(SUMPRODUCT(--ISTEXT(J14:M14))&gt;0,"A price cell holds text, not a number. ","")&amp;IF(N(J14)&lt;=0,"No quoted price. ",IF(N(N14)&lt;=0,"Levelled price is $0 or less. ",""))&amp;IF(U14=0,"Package isn't on the Packages tab. ","")&amp;IF(SUMPRODUCT(ISTEXT(O14:S14)+(O14:S14&lt;0)+(O14:S14&gt;10))&gt;0,"Scores must be 0 to 10 (capped). ","")&amp;IF(AND(AA14=1,COUNTIFS(T$4:T$103,T14,AA$4:AA$103,1)&gt;1),"Tied for 1st: ask both for clarifications. ","")))</f>
        <v/>
      </c>
      <c r="AD14" s="7">
        <f>T14&amp;"|"&amp;AA14</f>
        <v/>
      </c>
      <c r="AE14" s="22" t="n"/>
      <c r="AF14" s="23" t="n"/>
    </row>
    <row r="15">
      <c r="A15" s="22" t="n"/>
      <c r="B15" s="22" t="n"/>
      <c r="C15" s="24" t="n"/>
      <c r="D15" s="22" t="n"/>
      <c r="E15" s="22" t="n"/>
      <c r="F15" s="22" t="n"/>
      <c r="G15" s="22" t="n"/>
      <c r="H15" s="22" t="n"/>
      <c r="I15" s="7">
        <f>IF(B15="","",IF(AND(COUNTIF(D15:H15,"Yes")=5,SUMPRODUCT(--ISTEXT(J15:M15))=0,N(J15)&gt;0,N(N15)&gt;0,U15&gt;0),"Yes","No"))</f>
        <v/>
      </c>
      <c r="J15" s="33" t="n"/>
      <c r="K15" s="33" t="n"/>
      <c r="L15" s="33" t="n"/>
      <c r="M15" s="33" t="n"/>
      <c r="N15" s="9">
        <f>IF(B15="","",N(J15)+N(K15)+N(L15)+N(M15))</f>
        <v/>
      </c>
      <c r="O15" s="22" t="n"/>
      <c r="P15" s="22" t="n"/>
      <c r="Q15" s="22" t="n"/>
      <c r="R15" s="22" t="n"/>
      <c r="S15" s="22" t="n"/>
      <c r="T15" s="7">
        <f>IF(A15="","",LEFT(A15,2))</f>
        <v/>
      </c>
      <c r="U15" s="7">
        <f>IF(A15="",0,IFERROR(MATCH(LEFT(A15,3)&amp;"*",'Tender Setup'!$A$4:$A$33,0),0))</f>
        <v/>
      </c>
      <c r="V15" s="9">
        <f t="array" ref="V15">IF(I15&lt;&gt;"Yes","",MIN(IF((T$4:T$103=T15)*(I$4:I$103="Yes"),N$4:N$103)))</f>
        <v/>
      </c>
      <c r="W15" s="9">
        <f t="array" ref="W15">IF(I15&lt;&gt;"Yes","",MEDIAN(IF((T$4:T$103=T15)*(I$4:I$103="Yes"),N$4:N$103)))</f>
        <v/>
      </c>
      <c r="X15" s="11">
        <f>IF(I15&lt;&gt;"Yes",0,V15/N15*INDEX('Tender Setup'!$C$4:$C$33,U15))</f>
        <v/>
      </c>
      <c r="Y15" s="11">
        <f>IF(I15&lt;&gt;"Yes",0,(MIN(10,MAX(0,N(O15)))*INDEX('Tender Setup'!$D$4:$D$33,U15)+MIN(10,MAX(0,N(P15)))*INDEX('Tender Setup'!$E$4:$E$33,U15)+MIN(10,MAX(0,N(Q15)))*INDEX('Tender Setup'!$F$4:$F$33,U15)+MIN(10,MAX(0,N(R15)))*INDEX('Tender Setup'!$G$4:$G$33,U15)+MIN(10,MAX(0,N(S15)))*INDEX('Tender Setup'!$H$4:$H$33,U15))/10)</f>
        <v/>
      </c>
      <c r="Z15" s="11">
        <f>IF(B15="","",IF(I15&lt;&gt;"Yes",0,IF(N(INDEX('Tender Setup'!$I$4:$I$33,U15))=0,0,(X15+Y15)*100/INDEX('Tender Setup'!$I$4:$I$33,U15))))</f>
        <v/>
      </c>
      <c r="AA15" s="7">
        <f>IF(B15="","",IF(I15&lt;&gt;"Yes","Excluded",COUNTIFS(T$4:T$103,T15,I$4:I$103,"Yes",Z$4:Z$103,"&gt;"&amp;Z15)+1))</f>
        <v/>
      </c>
      <c r="AB15" s="7">
        <f>IF(I15&lt;&gt;"Yes","",IF(AND(COUNTIFS(T$4:T$103,T15,I$4:I$103,"Yes")&gt;=2,N15&lt;W15*(1-Settings!$B$12)),"Well under median: check scope",""))</f>
        <v/>
      </c>
      <c r="AC15" s="36">
        <f>IF(B15="","",TRIM(IF(COUNTIF(D15:H15,"Yes")&lt;5,"Compliance gates not all Yes. ","")&amp;IF(SUMPRODUCT(--ISTEXT(J15:M15))&gt;0,"A price cell holds text, not a number. ","")&amp;IF(N(J15)&lt;=0,"No quoted price. ",IF(N(N15)&lt;=0,"Levelled price is $0 or less. ",""))&amp;IF(U15=0,"Package isn't on the Packages tab. ","")&amp;IF(SUMPRODUCT(ISTEXT(O15:S15)+(O15:S15&lt;0)+(O15:S15&gt;10))&gt;0,"Scores must be 0 to 10 (capped). ","")&amp;IF(AND(AA15=1,COUNTIFS(T$4:T$103,T15,AA$4:AA$103,1)&gt;1),"Tied for 1st: ask both for clarifications. ","")))</f>
        <v/>
      </c>
      <c r="AD15" s="7">
        <f>T15&amp;"|"&amp;AA15</f>
        <v/>
      </c>
      <c r="AE15" s="22" t="n"/>
      <c r="AF15" s="23" t="n"/>
    </row>
    <row r="16">
      <c r="A16" s="22" t="n"/>
      <c r="B16" s="22" t="n"/>
      <c r="C16" s="24" t="n"/>
      <c r="D16" s="22" t="n"/>
      <c r="E16" s="22" t="n"/>
      <c r="F16" s="22" t="n"/>
      <c r="G16" s="22" t="n"/>
      <c r="H16" s="22" t="n"/>
      <c r="I16" s="7">
        <f>IF(B16="","",IF(AND(COUNTIF(D16:H16,"Yes")=5,SUMPRODUCT(--ISTEXT(J16:M16))=0,N(J16)&gt;0,N(N16)&gt;0,U16&gt;0),"Yes","No"))</f>
        <v/>
      </c>
      <c r="J16" s="33" t="n"/>
      <c r="K16" s="33" t="n"/>
      <c r="L16" s="33" t="n"/>
      <c r="M16" s="33" t="n"/>
      <c r="N16" s="9">
        <f>IF(B16="","",N(J16)+N(K16)+N(L16)+N(M16))</f>
        <v/>
      </c>
      <c r="O16" s="22" t="n"/>
      <c r="P16" s="22" t="n"/>
      <c r="Q16" s="22" t="n"/>
      <c r="R16" s="22" t="n"/>
      <c r="S16" s="22" t="n"/>
      <c r="T16" s="7">
        <f>IF(A16="","",LEFT(A16,2))</f>
        <v/>
      </c>
      <c r="U16" s="7">
        <f>IF(A16="",0,IFERROR(MATCH(LEFT(A16,3)&amp;"*",'Tender Setup'!$A$4:$A$33,0),0))</f>
        <v/>
      </c>
      <c r="V16" s="9">
        <f t="array" ref="V16">IF(I16&lt;&gt;"Yes","",MIN(IF((T$4:T$103=T16)*(I$4:I$103="Yes"),N$4:N$103)))</f>
        <v/>
      </c>
      <c r="W16" s="9">
        <f t="array" ref="W16">IF(I16&lt;&gt;"Yes","",MEDIAN(IF((T$4:T$103=T16)*(I$4:I$103="Yes"),N$4:N$103)))</f>
        <v/>
      </c>
      <c r="X16" s="11">
        <f>IF(I16&lt;&gt;"Yes",0,V16/N16*INDEX('Tender Setup'!$C$4:$C$33,U16))</f>
        <v/>
      </c>
      <c r="Y16" s="11">
        <f>IF(I16&lt;&gt;"Yes",0,(MIN(10,MAX(0,N(O16)))*INDEX('Tender Setup'!$D$4:$D$33,U16)+MIN(10,MAX(0,N(P16)))*INDEX('Tender Setup'!$E$4:$E$33,U16)+MIN(10,MAX(0,N(Q16)))*INDEX('Tender Setup'!$F$4:$F$33,U16)+MIN(10,MAX(0,N(R16)))*INDEX('Tender Setup'!$G$4:$G$33,U16)+MIN(10,MAX(0,N(S16)))*INDEX('Tender Setup'!$H$4:$H$33,U16))/10)</f>
        <v/>
      </c>
      <c r="Z16" s="11">
        <f>IF(B16="","",IF(I16&lt;&gt;"Yes",0,IF(N(INDEX('Tender Setup'!$I$4:$I$33,U16))=0,0,(X16+Y16)*100/INDEX('Tender Setup'!$I$4:$I$33,U16))))</f>
        <v/>
      </c>
      <c r="AA16" s="7">
        <f>IF(B16="","",IF(I16&lt;&gt;"Yes","Excluded",COUNTIFS(T$4:T$103,T16,I$4:I$103,"Yes",Z$4:Z$103,"&gt;"&amp;Z16)+1))</f>
        <v/>
      </c>
      <c r="AB16" s="7">
        <f>IF(I16&lt;&gt;"Yes","",IF(AND(COUNTIFS(T$4:T$103,T16,I$4:I$103,"Yes")&gt;=2,N16&lt;W16*(1-Settings!$B$12)),"Well under median: check scope",""))</f>
        <v/>
      </c>
      <c r="AC16" s="36">
        <f>IF(B16="","",TRIM(IF(COUNTIF(D16:H16,"Yes")&lt;5,"Compliance gates not all Yes. ","")&amp;IF(SUMPRODUCT(--ISTEXT(J16:M16))&gt;0,"A price cell holds text, not a number. ","")&amp;IF(N(J16)&lt;=0,"No quoted price. ",IF(N(N16)&lt;=0,"Levelled price is $0 or less. ",""))&amp;IF(U16=0,"Package isn't on the Packages tab. ","")&amp;IF(SUMPRODUCT(ISTEXT(O16:S16)+(O16:S16&lt;0)+(O16:S16&gt;10))&gt;0,"Scores must be 0 to 10 (capped). ","")&amp;IF(AND(AA16=1,COUNTIFS(T$4:T$103,T16,AA$4:AA$103,1)&gt;1),"Tied for 1st: ask both for clarifications. ","")))</f>
        <v/>
      </c>
      <c r="AD16" s="7">
        <f>T16&amp;"|"&amp;AA16</f>
        <v/>
      </c>
      <c r="AE16" s="22" t="n"/>
      <c r="AF16" s="23" t="n"/>
    </row>
    <row r="17">
      <c r="A17" s="22" t="n"/>
      <c r="B17" s="22" t="n"/>
      <c r="C17" s="24" t="n"/>
      <c r="D17" s="22" t="n"/>
      <c r="E17" s="22" t="n"/>
      <c r="F17" s="22" t="n"/>
      <c r="G17" s="22" t="n"/>
      <c r="H17" s="22" t="n"/>
      <c r="I17" s="7">
        <f>IF(B17="","",IF(AND(COUNTIF(D17:H17,"Yes")=5,SUMPRODUCT(--ISTEXT(J17:M17))=0,N(J17)&gt;0,N(N17)&gt;0,U17&gt;0),"Yes","No"))</f>
        <v/>
      </c>
      <c r="J17" s="33" t="n"/>
      <c r="K17" s="33" t="n"/>
      <c r="L17" s="33" t="n"/>
      <c r="M17" s="33" t="n"/>
      <c r="N17" s="9">
        <f>IF(B17="","",N(J17)+N(K17)+N(L17)+N(M17))</f>
        <v/>
      </c>
      <c r="O17" s="22" t="n"/>
      <c r="P17" s="22" t="n"/>
      <c r="Q17" s="22" t="n"/>
      <c r="R17" s="22" t="n"/>
      <c r="S17" s="22" t="n"/>
      <c r="T17" s="7">
        <f>IF(A17="","",LEFT(A17,2))</f>
        <v/>
      </c>
      <c r="U17" s="7">
        <f>IF(A17="",0,IFERROR(MATCH(LEFT(A17,3)&amp;"*",'Tender Setup'!$A$4:$A$33,0),0))</f>
        <v/>
      </c>
      <c r="V17" s="9">
        <f t="array" ref="V17">IF(I17&lt;&gt;"Yes","",MIN(IF((T$4:T$103=T17)*(I$4:I$103="Yes"),N$4:N$103)))</f>
        <v/>
      </c>
      <c r="W17" s="9">
        <f t="array" ref="W17">IF(I17&lt;&gt;"Yes","",MEDIAN(IF((T$4:T$103=T17)*(I$4:I$103="Yes"),N$4:N$103)))</f>
        <v/>
      </c>
      <c r="X17" s="11">
        <f>IF(I17&lt;&gt;"Yes",0,V17/N17*INDEX('Tender Setup'!$C$4:$C$33,U17))</f>
        <v/>
      </c>
      <c r="Y17" s="11">
        <f>IF(I17&lt;&gt;"Yes",0,(MIN(10,MAX(0,N(O17)))*INDEX('Tender Setup'!$D$4:$D$33,U17)+MIN(10,MAX(0,N(P17)))*INDEX('Tender Setup'!$E$4:$E$33,U17)+MIN(10,MAX(0,N(Q17)))*INDEX('Tender Setup'!$F$4:$F$33,U17)+MIN(10,MAX(0,N(R17)))*INDEX('Tender Setup'!$G$4:$G$33,U17)+MIN(10,MAX(0,N(S17)))*INDEX('Tender Setup'!$H$4:$H$33,U17))/10)</f>
        <v/>
      </c>
      <c r="Z17" s="11">
        <f>IF(B17="","",IF(I17&lt;&gt;"Yes",0,IF(N(INDEX('Tender Setup'!$I$4:$I$33,U17))=0,0,(X17+Y17)*100/INDEX('Tender Setup'!$I$4:$I$33,U17))))</f>
        <v/>
      </c>
      <c r="AA17" s="7">
        <f>IF(B17="","",IF(I17&lt;&gt;"Yes","Excluded",COUNTIFS(T$4:T$103,T17,I$4:I$103,"Yes",Z$4:Z$103,"&gt;"&amp;Z17)+1))</f>
        <v/>
      </c>
      <c r="AB17" s="7">
        <f>IF(I17&lt;&gt;"Yes","",IF(AND(COUNTIFS(T$4:T$103,T17,I$4:I$103,"Yes")&gt;=2,N17&lt;W17*(1-Settings!$B$12)),"Well under median: check scope",""))</f>
        <v/>
      </c>
      <c r="AC17" s="36">
        <f>IF(B17="","",TRIM(IF(COUNTIF(D17:H17,"Yes")&lt;5,"Compliance gates not all Yes. ","")&amp;IF(SUMPRODUCT(--ISTEXT(J17:M17))&gt;0,"A price cell holds text, not a number. ","")&amp;IF(N(J17)&lt;=0,"No quoted price. ",IF(N(N17)&lt;=0,"Levelled price is $0 or less. ",""))&amp;IF(U17=0,"Package isn't on the Packages tab. ","")&amp;IF(SUMPRODUCT(ISTEXT(O17:S17)+(O17:S17&lt;0)+(O17:S17&gt;10))&gt;0,"Scores must be 0 to 10 (capped). ","")&amp;IF(AND(AA17=1,COUNTIFS(T$4:T$103,T17,AA$4:AA$103,1)&gt;1),"Tied for 1st: ask both for clarifications. ","")))</f>
        <v/>
      </c>
      <c r="AD17" s="7">
        <f>T17&amp;"|"&amp;AA17</f>
        <v/>
      </c>
      <c r="AE17" s="22" t="n"/>
      <c r="AF17" s="23" t="n"/>
    </row>
    <row r="18">
      <c r="A18" s="22" t="n"/>
      <c r="B18" s="22" t="n"/>
      <c r="C18" s="24" t="n"/>
      <c r="D18" s="22" t="n"/>
      <c r="E18" s="22" t="n"/>
      <c r="F18" s="22" t="n"/>
      <c r="G18" s="22" t="n"/>
      <c r="H18" s="22" t="n"/>
      <c r="I18" s="7">
        <f>IF(B18="","",IF(AND(COUNTIF(D18:H18,"Yes")=5,SUMPRODUCT(--ISTEXT(J18:M18))=0,N(J18)&gt;0,N(N18)&gt;0,U18&gt;0),"Yes","No"))</f>
        <v/>
      </c>
      <c r="J18" s="33" t="n"/>
      <c r="K18" s="33" t="n"/>
      <c r="L18" s="33" t="n"/>
      <c r="M18" s="33" t="n"/>
      <c r="N18" s="9">
        <f>IF(B18="","",N(J18)+N(K18)+N(L18)+N(M18))</f>
        <v/>
      </c>
      <c r="O18" s="22" t="n"/>
      <c r="P18" s="22" t="n"/>
      <c r="Q18" s="22" t="n"/>
      <c r="R18" s="22" t="n"/>
      <c r="S18" s="22" t="n"/>
      <c r="T18" s="7">
        <f>IF(A18="","",LEFT(A18,2))</f>
        <v/>
      </c>
      <c r="U18" s="7">
        <f>IF(A18="",0,IFERROR(MATCH(LEFT(A18,3)&amp;"*",'Tender Setup'!$A$4:$A$33,0),0))</f>
        <v/>
      </c>
      <c r="V18" s="9">
        <f t="array" ref="V18">IF(I18&lt;&gt;"Yes","",MIN(IF((T$4:T$103=T18)*(I$4:I$103="Yes"),N$4:N$103)))</f>
        <v/>
      </c>
      <c r="W18" s="9">
        <f t="array" ref="W18">IF(I18&lt;&gt;"Yes","",MEDIAN(IF((T$4:T$103=T18)*(I$4:I$103="Yes"),N$4:N$103)))</f>
        <v/>
      </c>
      <c r="X18" s="11">
        <f>IF(I18&lt;&gt;"Yes",0,V18/N18*INDEX('Tender Setup'!$C$4:$C$33,U18))</f>
        <v/>
      </c>
      <c r="Y18" s="11">
        <f>IF(I18&lt;&gt;"Yes",0,(MIN(10,MAX(0,N(O18)))*INDEX('Tender Setup'!$D$4:$D$33,U18)+MIN(10,MAX(0,N(P18)))*INDEX('Tender Setup'!$E$4:$E$33,U18)+MIN(10,MAX(0,N(Q18)))*INDEX('Tender Setup'!$F$4:$F$33,U18)+MIN(10,MAX(0,N(R18)))*INDEX('Tender Setup'!$G$4:$G$33,U18)+MIN(10,MAX(0,N(S18)))*INDEX('Tender Setup'!$H$4:$H$33,U18))/10)</f>
        <v/>
      </c>
      <c r="Z18" s="11">
        <f>IF(B18="","",IF(I18&lt;&gt;"Yes",0,IF(N(INDEX('Tender Setup'!$I$4:$I$33,U18))=0,0,(X18+Y18)*100/INDEX('Tender Setup'!$I$4:$I$33,U18))))</f>
        <v/>
      </c>
      <c r="AA18" s="7">
        <f>IF(B18="","",IF(I18&lt;&gt;"Yes","Excluded",COUNTIFS(T$4:T$103,T18,I$4:I$103,"Yes",Z$4:Z$103,"&gt;"&amp;Z18)+1))</f>
        <v/>
      </c>
      <c r="AB18" s="7">
        <f>IF(I18&lt;&gt;"Yes","",IF(AND(COUNTIFS(T$4:T$103,T18,I$4:I$103,"Yes")&gt;=2,N18&lt;W18*(1-Settings!$B$12)),"Well under median: check scope",""))</f>
        <v/>
      </c>
      <c r="AC18" s="36">
        <f>IF(B18="","",TRIM(IF(COUNTIF(D18:H18,"Yes")&lt;5,"Compliance gates not all Yes. ","")&amp;IF(SUMPRODUCT(--ISTEXT(J18:M18))&gt;0,"A price cell holds text, not a number. ","")&amp;IF(N(J18)&lt;=0,"No quoted price. ",IF(N(N18)&lt;=0,"Levelled price is $0 or less. ",""))&amp;IF(U18=0,"Package isn't on the Packages tab. ","")&amp;IF(SUMPRODUCT(ISTEXT(O18:S18)+(O18:S18&lt;0)+(O18:S18&gt;10))&gt;0,"Scores must be 0 to 10 (capped). ","")&amp;IF(AND(AA18=1,COUNTIFS(T$4:T$103,T18,AA$4:AA$103,1)&gt;1),"Tied for 1st: ask both for clarifications. ","")))</f>
        <v/>
      </c>
      <c r="AD18" s="7">
        <f>T18&amp;"|"&amp;AA18</f>
        <v/>
      </c>
      <c r="AE18" s="22" t="n"/>
      <c r="AF18" s="23" t="n"/>
    </row>
    <row r="19">
      <c r="A19" s="22" t="n"/>
      <c r="B19" s="22" t="n"/>
      <c r="C19" s="24" t="n"/>
      <c r="D19" s="22" t="n"/>
      <c r="E19" s="22" t="n"/>
      <c r="F19" s="22" t="n"/>
      <c r="G19" s="22" t="n"/>
      <c r="H19" s="22" t="n"/>
      <c r="I19" s="7">
        <f>IF(B19="","",IF(AND(COUNTIF(D19:H19,"Yes")=5,SUMPRODUCT(--ISTEXT(J19:M19))=0,N(J19)&gt;0,N(N19)&gt;0,U19&gt;0),"Yes","No"))</f>
        <v/>
      </c>
      <c r="J19" s="33" t="n"/>
      <c r="K19" s="33" t="n"/>
      <c r="L19" s="33" t="n"/>
      <c r="M19" s="33" t="n"/>
      <c r="N19" s="9">
        <f>IF(B19="","",N(J19)+N(K19)+N(L19)+N(M19))</f>
        <v/>
      </c>
      <c r="O19" s="22" t="n"/>
      <c r="P19" s="22" t="n"/>
      <c r="Q19" s="22" t="n"/>
      <c r="R19" s="22" t="n"/>
      <c r="S19" s="22" t="n"/>
      <c r="T19" s="7">
        <f>IF(A19="","",LEFT(A19,2))</f>
        <v/>
      </c>
      <c r="U19" s="7">
        <f>IF(A19="",0,IFERROR(MATCH(LEFT(A19,3)&amp;"*",'Tender Setup'!$A$4:$A$33,0),0))</f>
        <v/>
      </c>
      <c r="V19" s="9">
        <f t="array" ref="V19">IF(I19&lt;&gt;"Yes","",MIN(IF((T$4:T$103=T19)*(I$4:I$103="Yes"),N$4:N$103)))</f>
        <v/>
      </c>
      <c r="W19" s="9">
        <f t="array" ref="W19">IF(I19&lt;&gt;"Yes","",MEDIAN(IF((T$4:T$103=T19)*(I$4:I$103="Yes"),N$4:N$103)))</f>
        <v/>
      </c>
      <c r="X19" s="11">
        <f>IF(I19&lt;&gt;"Yes",0,V19/N19*INDEX('Tender Setup'!$C$4:$C$33,U19))</f>
        <v/>
      </c>
      <c r="Y19" s="11">
        <f>IF(I19&lt;&gt;"Yes",0,(MIN(10,MAX(0,N(O19)))*INDEX('Tender Setup'!$D$4:$D$33,U19)+MIN(10,MAX(0,N(P19)))*INDEX('Tender Setup'!$E$4:$E$33,U19)+MIN(10,MAX(0,N(Q19)))*INDEX('Tender Setup'!$F$4:$F$33,U19)+MIN(10,MAX(0,N(R19)))*INDEX('Tender Setup'!$G$4:$G$33,U19)+MIN(10,MAX(0,N(S19)))*INDEX('Tender Setup'!$H$4:$H$33,U19))/10)</f>
        <v/>
      </c>
      <c r="Z19" s="11">
        <f>IF(B19="","",IF(I19&lt;&gt;"Yes",0,IF(N(INDEX('Tender Setup'!$I$4:$I$33,U19))=0,0,(X19+Y19)*100/INDEX('Tender Setup'!$I$4:$I$33,U19))))</f>
        <v/>
      </c>
      <c r="AA19" s="7">
        <f>IF(B19="","",IF(I19&lt;&gt;"Yes","Excluded",COUNTIFS(T$4:T$103,T19,I$4:I$103,"Yes",Z$4:Z$103,"&gt;"&amp;Z19)+1))</f>
        <v/>
      </c>
      <c r="AB19" s="7">
        <f>IF(I19&lt;&gt;"Yes","",IF(AND(COUNTIFS(T$4:T$103,T19,I$4:I$103,"Yes")&gt;=2,N19&lt;W19*(1-Settings!$B$12)),"Well under median: check scope",""))</f>
        <v/>
      </c>
      <c r="AC19" s="36">
        <f>IF(B19="","",TRIM(IF(COUNTIF(D19:H19,"Yes")&lt;5,"Compliance gates not all Yes. ","")&amp;IF(SUMPRODUCT(--ISTEXT(J19:M19))&gt;0,"A price cell holds text, not a number. ","")&amp;IF(N(J19)&lt;=0,"No quoted price. ",IF(N(N19)&lt;=0,"Levelled price is $0 or less. ",""))&amp;IF(U19=0,"Package isn't on the Packages tab. ","")&amp;IF(SUMPRODUCT(ISTEXT(O19:S19)+(O19:S19&lt;0)+(O19:S19&gt;10))&gt;0,"Scores must be 0 to 10 (capped). ","")&amp;IF(AND(AA19=1,COUNTIFS(T$4:T$103,T19,AA$4:AA$103,1)&gt;1),"Tied for 1st: ask both for clarifications. ","")))</f>
        <v/>
      </c>
      <c r="AD19" s="7">
        <f>T19&amp;"|"&amp;AA19</f>
        <v/>
      </c>
      <c r="AE19" s="22" t="n"/>
      <c r="AF19" s="23" t="n"/>
    </row>
    <row r="20">
      <c r="A20" s="22" t="n"/>
      <c r="B20" s="22" t="n"/>
      <c r="C20" s="24" t="n"/>
      <c r="D20" s="22" t="n"/>
      <c r="E20" s="22" t="n"/>
      <c r="F20" s="22" t="n"/>
      <c r="G20" s="22" t="n"/>
      <c r="H20" s="22" t="n"/>
      <c r="I20" s="7">
        <f>IF(B20="","",IF(AND(COUNTIF(D20:H20,"Yes")=5,SUMPRODUCT(--ISTEXT(J20:M20))=0,N(J20)&gt;0,N(N20)&gt;0,U20&gt;0),"Yes","No"))</f>
        <v/>
      </c>
      <c r="J20" s="33" t="n"/>
      <c r="K20" s="33" t="n"/>
      <c r="L20" s="33" t="n"/>
      <c r="M20" s="33" t="n"/>
      <c r="N20" s="9">
        <f>IF(B20="","",N(J20)+N(K20)+N(L20)+N(M20))</f>
        <v/>
      </c>
      <c r="O20" s="22" t="n"/>
      <c r="P20" s="22" t="n"/>
      <c r="Q20" s="22" t="n"/>
      <c r="R20" s="22" t="n"/>
      <c r="S20" s="22" t="n"/>
      <c r="T20" s="7">
        <f>IF(A20="","",LEFT(A20,2))</f>
        <v/>
      </c>
      <c r="U20" s="7">
        <f>IF(A20="",0,IFERROR(MATCH(LEFT(A20,3)&amp;"*",'Tender Setup'!$A$4:$A$33,0),0))</f>
        <v/>
      </c>
      <c r="V20" s="9">
        <f t="array" ref="V20">IF(I20&lt;&gt;"Yes","",MIN(IF((T$4:T$103=T20)*(I$4:I$103="Yes"),N$4:N$103)))</f>
        <v/>
      </c>
      <c r="W20" s="9">
        <f t="array" ref="W20">IF(I20&lt;&gt;"Yes","",MEDIAN(IF((T$4:T$103=T20)*(I$4:I$103="Yes"),N$4:N$103)))</f>
        <v/>
      </c>
      <c r="X20" s="11">
        <f>IF(I20&lt;&gt;"Yes",0,V20/N20*INDEX('Tender Setup'!$C$4:$C$33,U20))</f>
        <v/>
      </c>
      <c r="Y20" s="11">
        <f>IF(I20&lt;&gt;"Yes",0,(MIN(10,MAX(0,N(O20)))*INDEX('Tender Setup'!$D$4:$D$33,U20)+MIN(10,MAX(0,N(P20)))*INDEX('Tender Setup'!$E$4:$E$33,U20)+MIN(10,MAX(0,N(Q20)))*INDEX('Tender Setup'!$F$4:$F$33,U20)+MIN(10,MAX(0,N(R20)))*INDEX('Tender Setup'!$G$4:$G$33,U20)+MIN(10,MAX(0,N(S20)))*INDEX('Tender Setup'!$H$4:$H$33,U20))/10)</f>
        <v/>
      </c>
      <c r="Z20" s="11">
        <f>IF(B20="","",IF(I20&lt;&gt;"Yes",0,IF(N(INDEX('Tender Setup'!$I$4:$I$33,U20))=0,0,(X20+Y20)*100/INDEX('Tender Setup'!$I$4:$I$33,U20))))</f>
        <v/>
      </c>
      <c r="AA20" s="7">
        <f>IF(B20="","",IF(I20&lt;&gt;"Yes","Excluded",COUNTIFS(T$4:T$103,T20,I$4:I$103,"Yes",Z$4:Z$103,"&gt;"&amp;Z20)+1))</f>
        <v/>
      </c>
      <c r="AB20" s="7">
        <f>IF(I20&lt;&gt;"Yes","",IF(AND(COUNTIFS(T$4:T$103,T20,I$4:I$103,"Yes")&gt;=2,N20&lt;W20*(1-Settings!$B$12)),"Well under median: check scope",""))</f>
        <v/>
      </c>
      <c r="AC20" s="36">
        <f>IF(B20="","",TRIM(IF(COUNTIF(D20:H20,"Yes")&lt;5,"Compliance gates not all Yes. ","")&amp;IF(SUMPRODUCT(--ISTEXT(J20:M20))&gt;0,"A price cell holds text, not a number. ","")&amp;IF(N(J20)&lt;=0,"No quoted price. ",IF(N(N20)&lt;=0,"Levelled price is $0 or less. ",""))&amp;IF(U20=0,"Package isn't on the Packages tab. ","")&amp;IF(SUMPRODUCT(ISTEXT(O20:S20)+(O20:S20&lt;0)+(O20:S20&gt;10))&gt;0,"Scores must be 0 to 10 (capped). ","")&amp;IF(AND(AA20=1,COUNTIFS(T$4:T$103,T20,AA$4:AA$103,1)&gt;1),"Tied for 1st: ask both for clarifications. ","")))</f>
        <v/>
      </c>
      <c r="AD20" s="7">
        <f>T20&amp;"|"&amp;AA20</f>
        <v/>
      </c>
      <c r="AE20" s="22" t="n"/>
      <c r="AF20" s="23" t="n"/>
    </row>
    <row r="21">
      <c r="A21" s="22" t="n"/>
      <c r="B21" s="22" t="n"/>
      <c r="C21" s="24" t="n"/>
      <c r="D21" s="22" t="n"/>
      <c r="E21" s="22" t="n"/>
      <c r="F21" s="22" t="n"/>
      <c r="G21" s="22" t="n"/>
      <c r="H21" s="22" t="n"/>
      <c r="I21" s="7">
        <f>IF(B21="","",IF(AND(COUNTIF(D21:H21,"Yes")=5,SUMPRODUCT(--ISTEXT(J21:M21))=0,N(J21)&gt;0,N(N21)&gt;0,U21&gt;0),"Yes","No"))</f>
        <v/>
      </c>
      <c r="J21" s="33" t="n"/>
      <c r="K21" s="33" t="n"/>
      <c r="L21" s="33" t="n"/>
      <c r="M21" s="33" t="n"/>
      <c r="N21" s="9">
        <f>IF(B21="","",N(J21)+N(K21)+N(L21)+N(M21))</f>
        <v/>
      </c>
      <c r="O21" s="22" t="n"/>
      <c r="P21" s="22" t="n"/>
      <c r="Q21" s="22" t="n"/>
      <c r="R21" s="22" t="n"/>
      <c r="S21" s="22" t="n"/>
      <c r="T21" s="7">
        <f>IF(A21="","",LEFT(A21,2))</f>
        <v/>
      </c>
      <c r="U21" s="7">
        <f>IF(A21="",0,IFERROR(MATCH(LEFT(A21,3)&amp;"*",'Tender Setup'!$A$4:$A$33,0),0))</f>
        <v/>
      </c>
      <c r="V21" s="9">
        <f t="array" ref="V21">IF(I21&lt;&gt;"Yes","",MIN(IF((T$4:T$103=T21)*(I$4:I$103="Yes"),N$4:N$103)))</f>
        <v/>
      </c>
      <c r="W21" s="9">
        <f t="array" ref="W21">IF(I21&lt;&gt;"Yes","",MEDIAN(IF((T$4:T$103=T21)*(I$4:I$103="Yes"),N$4:N$103)))</f>
        <v/>
      </c>
      <c r="X21" s="11">
        <f>IF(I21&lt;&gt;"Yes",0,V21/N21*INDEX('Tender Setup'!$C$4:$C$33,U21))</f>
        <v/>
      </c>
      <c r="Y21" s="11">
        <f>IF(I21&lt;&gt;"Yes",0,(MIN(10,MAX(0,N(O21)))*INDEX('Tender Setup'!$D$4:$D$33,U21)+MIN(10,MAX(0,N(P21)))*INDEX('Tender Setup'!$E$4:$E$33,U21)+MIN(10,MAX(0,N(Q21)))*INDEX('Tender Setup'!$F$4:$F$33,U21)+MIN(10,MAX(0,N(R21)))*INDEX('Tender Setup'!$G$4:$G$33,U21)+MIN(10,MAX(0,N(S21)))*INDEX('Tender Setup'!$H$4:$H$33,U21))/10)</f>
        <v/>
      </c>
      <c r="Z21" s="11">
        <f>IF(B21="","",IF(I21&lt;&gt;"Yes",0,IF(N(INDEX('Tender Setup'!$I$4:$I$33,U21))=0,0,(X21+Y21)*100/INDEX('Tender Setup'!$I$4:$I$33,U21))))</f>
        <v/>
      </c>
      <c r="AA21" s="7">
        <f>IF(B21="","",IF(I21&lt;&gt;"Yes","Excluded",COUNTIFS(T$4:T$103,T21,I$4:I$103,"Yes",Z$4:Z$103,"&gt;"&amp;Z21)+1))</f>
        <v/>
      </c>
      <c r="AB21" s="7">
        <f>IF(I21&lt;&gt;"Yes","",IF(AND(COUNTIFS(T$4:T$103,T21,I$4:I$103,"Yes")&gt;=2,N21&lt;W21*(1-Settings!$B$12)),"Well under median: check scope",""))</f>
        <v/>
      </c>
      <c r="AC21" s="36">
        <f>IF(B21="","",TRIM(IF(COUNTIF(D21:H21,"Yes")&lt;5,"Compliance gates not all Yes. ","")&amp;IF(SUMPRODUCT(--ISTEXT(J21:M21))&gt;0,"A price cell holds text, not a number. ","")&amp;IF(N(J21)&lt;=0,"No quoted price. ",IF(N(N21)&lt;=0,"Levelled price is $0 or less. ",""))&amp;IF(U21=0,"Package isn't on the Packages tab. ","")&amp;IF(SUMPRODUCT(ISTEXT(O21:S21)+(O21:S21&lt;0)+(O21:S21&gt;10))&gt;0,"Scores must be 0 to 10 (capped). ","")&amp;IF(AND(AA21=1,COUNTIFS(T$4:T$103,T21,AA$4:AA$103,1)&gt;1),"Tied for 1st: ask both for clarifications. ","")))</f>
        <v/>
      </c>
      <c r="AD21" s="7">
        <f>T21&amp;"|"&amp;AA21</f>
        <v/>
      </c>
      <c r="AE21" s="22" t="n"/>
      <c r="AF21" s="23" t="n"/>
    </row>
    <row r="22">
      <c r="A22" s="22" t="n"/>
      <c r="B22" s="22" t="n"/>
      <c r="C22" s="24" t="n"/>
      <c r="D22" s="22" t="n"/>
      <c r="E22" s="22" t="n"/>
      <c r="F22" s="22" t="n"/>
      <c r="G22" s="22" t="n"/>
      <c r="H22" s="22" t="n"/>
      <c r="I22" s="7">
        <f>IF(B22="","",IF(AND(COUNTIF(D22:H22,"Yes")=5,SUMPRODUCT(--ISTEXT(J22:M22))=0,N(J22)&gt;0,N(N22)&gt;0,U22&gt;0),"Yes","No"))</f>
        <v/>
      </c>
      <c r="J22" s="33" t="n"/>
      <c r="K22" s="33" t="n"/>
      <c r="L22" s="33" t="n"/>
      <c r="M22" s="33" t="n"/>
      <c r="N22" s="9">
        <f>IF(B22="","",N(J22)+N(K22)+N(L22)+N(M22))</f>
        <v/>
      </c>
      <c r="O22" s="22" t="n"/>
      <c r="P22" s="22" t="n"/>
      <c r="Q22" s="22" t="n"/>
      <c r="R22" s="22" t="n"/>
      <c r="S22" s="22" t="n"/>
      <c r="T22" s="7">
        <f>IF(A22="","",LEFT(A22,2))</f>
        <v/>
      </c>
      <c r="U22" s="7">
        <f>IF(A22="",0,IFERROR(MATCH(LEFT(A22,3)&amp;"*",'Tender Setup'!$A$4:$A$33,0),0))</f>
        <v/>
      </c>
      <c r="V22" s="9">
        <f t="array" ref="V22">IF(I22&lt;&gt;"Yes","",MIN(IF((T$4:T$103=T22)*(I$4:I$103="Yes"),N$4:N$103)))</f>
        <v/>
      </c>
      <c r="W22" s="9">
        <f t="array" ref="W22">IF(I22&lt;&gt;"Yes","",MEDIAN(IF((T$4:T$103=T22)*(I$4:I$103="Yes"),N$4:N$103)))</f>
        <v/>
      </c>
      <c r="X22" s="11">
        <f>IF(I22&lt;&gt;"Yes",0,V22/N22*INDEX('Tender Setup'!$C$4:$C$33,U22))</f>
        <v/>
      </c>
      <c r="Y22" s="11">
        <f>IF(I22&lt;&gt;"Yes",0,(MIN(10,MAX(0,N(O22)))*INDEX('Tender Setup'!$D$4:$D$33,U22)+MIN(10,MAX(0,N(P22)))*INDEX('Tender Setup'!$E$4:$E$33,U22)+MIN(10,MAX(0,N(Q22)))*INDEX('Tender Setup'!$F$4:$F$33,U22)+MIN(10,MAX(0,N(R22)))*INDEX('Tender Setup'!$G$4:$G$33,U22)+MIN(10,MAX(0,N(S22)))*INDEX('Tender Setup'!$H$4:$H$33,U22))/10)</f>
        <v/>
      </c>
      <c r="Z22" s="11">
        <f>IF(B22="","",IF(I22&lt;&gt;"Yes",0,IF(N(INDEX('Tender Setup'!$I$4:$I$33,U22))=0,0,(X22+Y22)*100/INDEX('Tender Setup'!$I$4:$I$33,U22))))</f>
        <v/>
      </c>
      <c r="AA22" s="7">
        <f>IF(B22="","",IF(I22&lt;&gt;"Yes","Excluded",COUNTIFS(T$4:T$103,T22,I$4:I$103,"Yes",Z$4:Z$103,"&gt;"&amp;Z22)+1))</f>
        <v/>
      </c>
      <c r="AB22" s="7">
        <f>IF(I22&lt;&gt;"Yes","",IF(AND(COUNTIFS(T$4:T$103,T22,I$4:I$103,"Yes")&gt;=2,N22&lt;W22*(1-Settings!$B$12)),"Well under median: check scope",""))</f>
        <v/>
      </c>
      <c r="AC22" s="36">
        <f>IF(B22="","",TRIM(IF(COUNTIF(D22:H22,"Yes")&lt;5,"Compliance gates not all Yes. ","")&amp;IF(SUMPRODUCT(--ISTEXT(J22:M22))&gt;0,"A price cell holds text, not a number. ","")&amp;IF(N(J22)&lt;=0,"No quoted price. ",IF(N(N22)&lt;=0,"Levelled price is $0 or less. ",""))&amp;IF(U22=0,"Package isn't on the Packages tab. ","")&amp;IF(SUMPRODUCT(ISTEXT(O22:S22)+(O22:S22&lt;0)+(O22:S22&gt;10))&gt;0,"Scores must be 0 to 10 (capped). ","")&amp;IF(AND(AA22=1,COUNTIFS(T$4:T$103,T22,AA$4:AA$103,1)&gt;1),"Tied for 1st: ask both for clarifications. ","")))</f>
        <v/>
      </c>
      <c r="AD22" s="7">
        <f>T22&amp;"|"&amp;AA22</f>
        <v/>
      </c>
      <c r="AE22" s="22" t="n"/>
      <c r="AF22" s="23" t="n"/>
    </row>
    <row r="23">
      <c r="A23" s="22" t="n"/>
      <c r="B23" s="22" t="n"/>
      <c r="C23" s="24" t="n"/>
      <c r="D23" s="22" t="n"/>
      <c r="E23" s="22" t="n"/>
      <c r="F23" s="22" t="n"/>
      <c r="G23" s="22" t="n"/>
      <c r="H23" s="22" t="n"/>
      <c r="I23" s="7">
        <f>IF(B23="","",IF(AND(COUNTIF(D23:H23,"Yes")=5,SUMPRODUCT(--ISTEXT(J23:M23))=0,N(J23)&gt;0,N(N23)&gt;0,U23&gt;0),"Yes","No"))</f>
        <v/>
      </c>
      <c r="J23" s="33" t="n"/>
      <c r="K23" s="33" t="n"/>
      <c r="L23" s="33" t="n"/>
      <c r="M23" s="33" t="n"/>
      <c r="N23" s="9">
        <f>IF(B23="","",N(J23)+N(K23)+N(L23)+N(M23))</f>
        <v/>
      </c>
      <c r="O23" s="22" t="n"/>
      <c r="P23" s="22" t="n"/>
      <c r="Q23" s="22" t="n"/>
      <c r="R23" s="22" t="n"/>
      <c r="S23" s="22" t="n"/>
      <c r="T23" s="7">
        <f>IF(A23="","",LEFT(A23,2))</f>
        <v/>
      </c>
      <c r="U23" s="7">
        <f>IF(A23="",0,IFERROR(MATCH(LEFT(A23,3)&amp;"*",'Tender Setup'!$A$4:$A$33,0),0))</f>
        <v/>
      </c>
      <c r="V23" s="9">
        <f t="array" ref="V23">IF(I23&lt;&gt;"Yes","",MIN(IF((T$4:T$103=T23)*(I$4:I$103="Yes"),N$4:N$103)))</f>
        <v/>
      </c>
      <c r="W23" s="9">
        <f t="array" ref="W23">IF(I23&lt;&gt;"Yes","",MEDIAN(IF((T$4:T$103=T23)*(I$4:I$103="Yes"),N$4:N$103)))</f>
        <v/>
      </c>
      <c r="X23" s="11">
        <f>IF(I23&lt;&gt;"Yes",0,V23/N23*INDEX('Tender Setup'!$C$4:$C$33,U23))</f>
        <v/>
      </c>
      <c r="Y23" s="11">
        <f>IF(I23&lt;&gt;"Yes",0,(MIN(10,MAX(0,N(O23)))*INDEX('Tender Setup'!$D$4:$D$33,U23)+MIN(10,MAX(0,N(P23)))*INDEX('Tender Setup'!$E$4:$E$33,U23)+MIN(10,MAX(0,N(Q23)))*INDEX('Tender Setup'!$F$4:$F$33,U23)+MIN(10,MAX(0,N(R23)))*INDEX('Tender Setup'!$G$4:$G$33,U23)+MIN(10,MAX(0,N(S23)))*INDEX('Tender Setup'!$H$4:$H$33,U23))/10)</f>
        <v/>
      </c>
      <c r="Z23" s="11">
        <f>IF(B23="","",IF(I23&lt;&gt;"Yes",0,IF(N(INDEX('Tender Setup'!$I$4:$I$33,U23))=0,0,(X23+Y23)*100/INDEX('Tender Setup'!$I$4:$I$33,U23))))</f>
        <v/>
      </c>
      <c r="AA23" s="7">
        <f>IF(B23="","",IF(I23&lt;&gt;"Yes","Excluded",COUNTIFS(T$4:T$103,T23,I$4:I$103,"Yes",Z$4:Z$103,"&gt;"&amp;Z23)+1))</f>
        <v/>
      </c>
      <c r="AB23" s="7">
        <f>IF(I23&lt;&gt;"Yes","",IF(AND(COUNTIFS(T$4:T$103,T23,I$4:I$103,"Yes")&gt;=2,N23&lt;W23*(1-Settings!$B$12)),"Well under median: check scope",""))</f>
        <v/>
      </c>
      <c r="AC23" s="36">
        <f>IF(B23="","",TRIM(IF(COUNTIF(D23:H23,"Yes")&lt;5,"Compliance gates not all Yes. ","")&amp;IF(SUMPRODUCT(--ISTEXT(J23:M23))&gt;0,"A price cell holds text, not a number. ","")&amp;IF(N(J23)&lt;=0,"No quoted price. ",IF(N(N23)&lt;=0,"Levelled price is $0 or less. ",""))&amp;IF(U23=0,"Package isn't on the Packages tab. ","")&amp;IF(SUMPRODUCT(ISTEXT(O23:S23)+(O23:S23&lt;0)+(O23:S23&gt;10))&gt;0,"Scores must be 0 to 10 (capped). ","")&amp;IF(AND(AA23=1,COUNTIFS(T$4:T$103,T23,AA$4:AA$103,1)&gt;1),"Tied for 1st: ask both for clarifications. ","")))</f>
        <v/>
      </c>
      <c r="AD23" s="7">
        <f>T23&amp;"|"&amp;AA23</f>
        <v/>
      </c>
      <c r="AE23" s="22" t="n"/>
      <c r="AF23" s="23" t="n"/>
    </row>
    <row r="24">
      <c r="A24" s="22" t="n"/>
      <c r="B24" s="22" t="n"/>
      <c r="C24" s="24" t="n"/>
      <c r="D24" s="22" t="n"/>
      <c r="E24" s="22" t="n"/>
      <c r="F24" s="22" t="n"/>
      <c r="G24" s="22" t="n"/>
      <c r="H24" s="22" t="n"/>
      <c r="I24" s="7">
        <f>IF(B24="","",IF(AND(COUNTIF(D24:H24,"Yes")=5,SUMPRODUCT(--ISTEXT(J24:M24))=0,N(J24)&gt;0,N(N24)&gt;0,U24&gt;0),"Yes","No"))</f>
        <v/>
      </c>
      <c r="J24" s="33" t="n"/>
      <c r="K24" s="33" t="n"/>
      <c r="L24" s="33" t="n"/>
      <c r="M24" s="33" t="n"/>
      <c r="N24" s="9">
        <f>IF(B24="","",N(J24)+N(K24)+N(L24)+N(M24))</f>
        <v/>
      </c>
      <c r="O24" s="22" t="n"/>
      <c r="P24" s="22" t="n"/>
      <c r="Q24" s="22" t="n"/>
      <c r="R24" s="22" t="n"/>
      <c r="S24" s="22" t="n"/>
      <c r="T24" s="7">
        <f>IF(A24="","",LEFT(A24,2))</f>
        <v/>
      </c>
      <c r="U24" s="7">
        <f>IF(A24="",0,IFERROR(MATCH(LEFT(A24,3)&amp;"*",'Tender Setup'!$A$4:$A$33,0),0))</f>
        <v/>
      </c>
      <c r="V24" s="9">
        <f t="array" ref="V24">IF(I24&lt;&gt;"Yes","",MIN(IF((T$4:T$103=T24)*(I$4:I$103="Yes"),N$4:N$103)))</f>
        <v/>
      </c>
      <c r="W24" s="9">
        <f t="array" ref="W24">IF(I24&lt;&gt;"Yes","",MEDIAN(IF((T$4:T$103=T24)*(I$4:I$103="Yes"),N$4:N$103)))</f>
        <v/>
      </c>
      <c r="X24" s="11">
        <f>IF(I24&lt;&gt;"Yes",0,V24/N24*INDEX('Tender Setup'!$C$4:$C$33,U24))</f>
        <v/>
      </c>
      <c r="Y24" s="11">
        <f>IF(I24&lt;&gt;"Yes",0,(MIN(10,MAX(0,N(O24)))*INDEX('Tender Setup'!$D$4:$D$33,U24)+MIN(10,MAX(0,N(P24)))*INDEX('Tender Setup'!$E$4:$E$33,U24)+MIN(10,MAX(0,N(Q24)))*INDEX('Tender Setup'!$F$4:$F$33,U24)+MIN(10,MAX(0,N(R24)))*INDEX('Tender Setup'!$G$4:$G$33,U24)+MIN(10,MAX(0,N(S24)))*INDEX('Tender Setup'!$H$4:$H$33,U24))/10)</f>
        <v/>
      </c>
      <c r="Z24" s="11">
        <f>IF(B24="","",IF(I24&lt;&gt;"Yes",0,IF(N(INDEX('Tender Setup'!$I$4:$I$33,U24))=0,0,(X24+Y24)*100/INDEX('Tender Setup'!$I$4:$I$33,U24))))</f>
        <v/>
      </c>
      <c r="AA24" s="7">
        <f>IF(B24="","",IF(I24&lt;&gt;"Yes","Excluded",COUNTIFS(T$4:T$103,T24,I$4:I$103,"Yes",Z$4:Z$103,"&gt;"&amp;Z24)+1))</f>
        <v/>
      </c>
      <c r="AB24" s="7">
        <f>IF(I24&lt;&gt;"Yes","",IF(AND(COUNTIFS(T$4:T$103,T24,I$4:I$103,"Yes")&gt;=2,N24&lt;W24*(1-Settings!$B$12)),"Well under median: check scope",""))</f>
        <v/>
      </c>
      <c r="AC24" s="36">
        <f>IF(B24="","",TRIM(IF(COUNTIF(D24:H24,"Yes")&lt;5,"Compliance gates not all Yes. ","")&amp;IF(SUMPRODUCT(--ISTEXT(J24:M24))&gt;0,"A price cell holds text, not a number. ","")&amp;IF(N(J24)&lt;=0,"No quoted price. ",IF(N(N24)&lt;=0,"Levelled price is $0 or less. ",""))&amp;IF(U24=0,"Package isn't on the Packages tab. ","")&amp;IF(SUMPRODUCT(ISTEXT(O24:S24)+(O24:S24&lt;0)+(O24:S24&gt;10))&gt;0,"Scores must be 0 to 10 (capped). ","")&amp;IF(AND(AA24=1,COUNTIFS(T$4:T$103,T24,AA$4:AA$103,1)&gt;1),"Tied for 1st: ask both for clarifications. ","")))</f>
        <v/>
      </c>
      <c r="AD24" s="7">
        <f>T24&amp;"|"&amp;AA24</f>
        <v/>
      </c>
      <c r="AE24" s="22" t="n"/>
      <c r="AF24" s="23" t="n"/>
    </row>
    <row r="25">
      <c r="A25" s="22" t="n"/>
      <c r="B25" s="22" t="n"/>
      <c r="C25" s="24" t="n"/>
      <c r="D25" s="22" t="n"/>
      <c r="E25" s="22" t="n"/>
      <c r="F25" s="22" t="n"/>
      <c r="G25" s="22" t="n"/>
      <c r="H25" s="22" t="n"/>
      <c r="I25" s="7">
        <f>IF(B25="","",IF(AND(COUNTIF(D25:H25,"Yes")=5,SUMPRODUCT(--ISTEXT(J25:M25))=0,N(J25)&gt;0,N(N25)&gt;0,U25&gt;0),"Yes","No"))</f>
        <v/>
      </c>
      <c r="J25" s="33" t="n"/>
      <c r="K25" s="33" t="n"/>
      <c r="L25" s="33" t="n"/>
      <c r="M25" s="33" t="n"/>
      <c r="N25" s="9">
        <f>IF(B25="","",N(J25)+N(K25)+N(L25)+N(M25))</f>
        <v/>
      </c>
      <c r="O25" s="22" t="n"/>
      <c r="P25" s="22" t="n"/>
      <c r="Q25" s="22" t="n"/>
      <c r="R25" s="22" t="n"/>
      <c r="S25" s="22" t="n"/>
      <c r="T25" s="7">
        <f>IF(A25="","",LEFT(A25,2))</f>
        <v/>
      </c>
      <c r="U25" s="7">
        <f>IF(A25="",0,IFERROR(MATCH(LEFT(A25,3)&amp;"*",'Tender Setup'!$A$4:$A$33,0),0))</f>
        <v/>
      </c>
      <c r="V25" s="9">
        <f t="array" ref="V25">IF(I25&lt;&gt;"Yes","",MIN(IF((T$4:T$103=T25)*(I$4:I$103="Yes"),N$4:N$103)))</f>
        <v/>
      </c>
      <c r="W25" s="9">
        <f t="array" ref="W25">IF(I25&lt;&gt;"Yes","",MEDIAN(IF((T$4:T$103=T25)*(I$4:I$103="Yes"),N$4:N$103)))</f>
        <v/>
      </c>
      <c r="X25" s="11">
        <f>IF(I25&lt;&gt;"Yes",0,V25/N25*INDEX('Tender Setup'!$C$4:$C$33,U25))</f>
        <v/>
      </c>
      <c r="Y25" s="11">
        <f>IF(I25&lt;&gt;"Yes",0,(MIN(10,MAX(0,N(O25)))*INDEX('Tender Setup'!$D$4:$D$33,U25)+MIN(10,MAX(0,N(P25)))*INDEX('Tender Setup'!$E$4:$E$33,U25)+MIN(10,MAX(0,N(Q25)))*INDEX('Tender Setup'!$F$4:$F$33,U25)+MIN(10,MAX(0,N(R25)))*INDEX('Tender Setup'!$G$4:$G$33,U25)+MIN(10,MAX(0,N(S25)))*INDEX('Tender Setup'!$H$4:$H$33,U25))/10)</f>
        <v/>
      </c>
      <c r="Z25" s="11">
        <f>IF(B25="","",IF(I25&lt;&gt;"Yes",0,IF(N(INDEX('Tender Setup'!$I$4:$I$33,U25))=0,0,(X25+Y25)*100/INDEX('Tender Setup'!$I$4:$I$33,U25))))</f>
        <v/>
      </c>
      <c r="AA25" s="7">
        <f>IF(B25="","",IF(I25&lt;&gt;"Yes","Excluded",COUNTIFS(T$4:T$103,T25,I$4:I$103,"Yes",Z$4:Z$103,"&gt;"&amp;Z25)+1))</f>
        <v/>
      </c>
      <c r="AB25" s="7">
        <f>IF(I25&lt;&gt;"Yes","",IF(AND(COUNTIFS(T$4:T$103,T25,I$4:I$103,"Yes")&gt;=2,N25&lt;W25*(1-Settings!$B$12)),"Well under median: check scope",""))</f>
        <v/>
      </c>
      <c r="AC25" s="36">
        <f>IF(B25="","",TRIM(IF(COUNTIF(D25:H25,"Yes")&lt;5,"Compliance gates not all Yes. ","")&amp;IF(SUMPRODUCT(--ISTEXT(J25:M25))&gt;0,"A price cell holds text, not a number. ","")&amp;IF(N(J25)&lt;=0,"No quoted price. ",IF(N(N25)&lt;=0,"Levelled price is $0 or less. ",""))&amp;IF(U25=0,"Package isn't on the Packages tab. ","")&amp;IF(SUMPRODUCT(ISTEXT(O25:S25)+(O25:S25&lt;0)+(O25:S25&gt;10))&gt;0,"Scores must be 0 to 10 (capped). ","")&amp;IF(AND(AA25=1,COUNTIFS(T$4:T$103,T25,AA$4:AA$103,1)&gt;1),"Tied for 1st: ask both for clarifications. ","")))</f>
        <v/>
      </c>
      <c r="AD25" s="7">
        <f>T25&amp;"|"&amp;AA25</f>
        <v/>
      </c>
      <c r="AE25" s="22" t="n"/>
      <c r="AF25" s="23" t="n"/>
    </row>
    <row r="26">
      <c r="A26" s="22" t="n"/>
      <c r="B26" s="22" t="n"/>
      <c r="C26" s="24" t="n"/>
      <c r="D26" s="22" t="n"/>
      <c r="E26" s="22" t="n"/>
      <c r="F26" s="22" t="n"/>
      <c r="G26" s="22" t="n"/>
      <c r="H26" s="22" t="n"/>
      <c r="I26" s="7">
        <f>IF(B26="","",IF(AND(COUNTIF(D26:H26,"Yes")=5,SUMPRODUCT(--ISTEXT(J26:M26))=0,N(J26)&gt;0,N(N26)&gt;0,U26&gt;0),"Yes","No"))</f>
        <v/>
      </c>
      <c r="J26" s="33" t="n"/>
      <c r="K26" s="33" t="n"/>
      <c r="L26" s="33" t="n"/>
      <c r="M26" s="33" t="n"/>
      <c r="N26" s="9">
        <f>IF(B26="","",N(J26)+N(K26)+N(L26)+N(M26))</f>
        <v/>
      </c>
      <c r="O26" s="22" t="n"/>
      <c r="P26" s="22" t="n"/>
      <c r="Q26" s="22" t="n"/>
      <c r="R26" s="22" t="n"/>
      <c r="S26" s="22" t="n"/>
      <c r="T26" s="7">
        <f>IF(A26="","",LEFT(A26,2))</f>
        <v/>
      </c>
      <c r="U26" s="7">
        <f>IF(A26="",0,IFERROR(MATCH(LEFT(A26,3)&amp;"*",'Tender Setup'!$A$4:$A$33,0),0))</f>
        <v/>
      </c>
      <c r="V26" s="9">
        <f t="array" ref="V26">IF(I26&lt;&gt;"Yes","",MIN(IF((T$4:T$103=T26)*(I$4:I$103="Yes"),N$4:N$103)))</f>
        <v/>
      </c>
      <c r="W26" s="9">
        <f t="array" ref="W26">IF(I26&lt;&gt;"Yes","",MEDIAN(IF((T$4:T$103=T26)*(I$4:I$103="Yes"),N$4:N$103)))</f>
        <v/>
      </c>
      <c r="X26" s="11">
        <f>IF(I26&lt;&gt;"Yes",0,V26/N26*INDEX('Tender Setup'!$C$4:$C$33,U26))</f>
        <v/>
      </c>
      <c r="Y26" s="11">
        <f>IF(I26&lt;&gt;"Yes",0,(MIN(10,MAX(0,N(O26)))*INDEX('Tender Setup'!$D$4:$D$33,U26)+MIN(10,MAX(0,N(P26)))*INDEX('Tender Setup'!$E$4:$E$33,U26)+MIN(10,MAX(0,N(Q26)))*INDEX('Tender Setup'!$F$4:$F$33,U26)+MIN(10,MAX(0,N(R26)))*INDEX('Tender Setup'!$G$4:$G$33,U26)+MIN(10,MAX(0,N(S26)))*INDEX('Tender Setup'!$H$4:$H$33,U26))/10)</f>
        <v/>
      </c>
      <c r="Z26" s="11">
        <f>IF(B26="","",IF(I26&lt;&gt;"Yes",0,IF(N(INDEX('Tender Setup'!$I$4:$I$33,U26))=0,0,(X26+Y26)*100/INDEX('Tender Setup'!$I$4:$I$33,U26))))</f>
        <v/>
      </c>
      <c r="AA26" s="7">
        <f>IF(B26="","",IF(I26&lt;&gt;"Yes","Excluded",COUNTIFS(T$4:T$103,T26,I$4:I$103,"Yes",Z$4:Z$103,"&gt;"&amp;Z26)+1))</f>
        <v/>
      </c>
      <c r="AB26" s="7">
        <f>IF(I26&lt;&gt;"Yes","",IF(AND(COUNTIFS(T$4:T$103,T26,I$4:I$103,"Yes")&gt;=2,N26&lt;W26*(1-Settings!$B$12)),"Well under median: check scope",""))</f>
        <v/>
      </c>
      <c r="AC26" s="36">
        <f>IF(B26="","",TRIM(IF(COUNTIF(D26:H26,"Yes")&lt;5,"Compliance gates not all Yes. ","")&amp;IF(SUMPRODUCT(--ISTEXT(J26:M26))&gt;0,"A price cell holds text, not a number. ","")&amp;IF(N(J26)&lt;=0,"No quoted price. ",IF(N(N26)&lt;=0,"Levelled price is $0 or less. ",""))&amp;IF(U26=0,"Package isn't on the Packages tab. ","")&amp;IF(SUMPRODUCT(ISTEXT(O26:S26)+(O26:S26&lt;0)+(O26:S26&gt;10))&gt;0,"Scores must be 0 to 10 (capped). ","")&amp;IF(AND(AA26=1,COUNTIFS(T$4:T$103,T26,AA$4:AA$103,1)&gt;1),"Tied for 1st: ask both for clarifications. ","")))</f>
        <v/>
      </c>
      <c r="AD26" s="7">
        <f>T26&amp;"|"&amp;AA26</f>
        <v/>
      </c>
      <c r="AE26" s="22" t="n"/>
      <c r="AF26" s="23" t="n"/>
    </row>
    <row r="27">
      <c r="A27" s="22" t="n"/>
      <c r="B27" s="22" t="n"/>
      <c r="C27" s="24" t="n"/>
      <c r="D27" s="22" t="n"/>
      <c r="E27" s="22" t="n"/>
      <c r="F27" s="22" t="n"/>
      <c r="G27" s="22" t="n"/>
      <c r="H27" s="22" t="n"/>
      <c r="I27" s="7">
        <f>IF(B27="","",IF(AND(COUNTIF(D27:H27,"Yes")=5,SUMPRODUCT(--ISTEXT(J27:M27))=0,N(J27)&gt;0,N(N27)&gt;0,U27&gt;0),"Yes","No"))</f>
        <v/>
      </c>
      <c r="J27" s="33" t="n"/>
      <c r="K27" s="33" t="n"/>
      <c r="L27" s="33" t="n"/>
      <c r="M27" s="33" t="n"/>
      <c r="N27" s="9">
        <f>IF(B27="","",N(J27)+N(K27)+N(L27)+N(M27))</f>
        <v/>
      </c>
      <c r="O27" s="22" t="n"/>
      <c r="P27" s="22" t="n"/>
      <c r="Q27" s="22" t="n"/>
      <c r="R27" s="22" t="n"/>
      <c r="S27" s="22" t="n"/>
      <c r="T27" s="7">
        <f>IF(A27="","",LEFT(A27,2))</f>
        <v/>
      </c>
      <c r="U27" s="7">
        <f>IF(A27="",0,IFERROR(MATCH(LEFT(A27,3)&amp;"*",'Tender Setup'!$A$4:$A$33,0),0))</f>
        <v/>
      </c>
      <c r="V27" s="9">
        <f t="array" ref="V27">IF(I27&lt;&gt;"Yes","",MIN(IF((T$4:T$103=T27)*(I$4:I$103="Yes"),N$4:N$103)))</f>
        <v/>
      </c>
      <c r="W27" s="9">
        <f t="array" ref="W27">IF(I27&lt;&gt;"Yes","",MEDIAN(IF((T$4:T$103=T27)*(I$4:I$103="Yes"),N$4:N$103)))</f>
        <v/>
      </c>
      <c r="X27" s="11">
        <f>IF(I27&lt;&gt;"Yes",0,V27/N27*INDEX('Tender Setup'!$C$4:$C$33,U27))</f>
        <v/>
      </c>
      <c r="Y27" s="11">
        <f>IF(I27&lt;&gt;"Yes",0,(MIN(10,MAX(0,N(O27)))*INDEX('Tender Setup'!$D$4:$D$33,U27)+MIN(10,MAX(0,N(P27)))*INDEX('Tender Setup'!$E$4:$E$33,U27)+MIN(10,MAX(0,N(Q27)))*INDEX('Tender Setup'!$F$4:$F$33,U27)+MIN(10,MAX(0,N(R27)))*INDEX('Tender Setup'!$G$4:$G$33,U27)+MIN(10,MAX(0,N(S27)))*INDEX('Tender Setup'!$H$4:$H$33,U27))/10)</f>
        <v/>
      </c>
      <c r="Z27" s="11">
        <f>IF(B27="","",IF(I27&lt;&gt;"Yes",0,IF(N(INDEX('Tender Setup'!$I$4:$I$33,U27))=0,0,(X27+Y27)*100/INDEX('Tender Setup'!$I$4:$I$33,U27))))</f>
        <v/>
      </c>
      <c r="AA27" s="7">
        <f>IF(B27="","",IF(I27&lt;&gt;"Yes","Excluded",COUNTIFS(T$4:T$103,T27,I$4:I$103,"Yes",Z$4:Z$103,"&gt;"&amp;Z27)+1))</f>
        <v/>
      </c>
      <c r="AB27" s="7">
        <f>IF(I27&lt;&gt;"Yes","",IF(AND(COUNTIFS(T$4:T$103,T27,I$4:I$103,"Yes")&gt;=2,N27&lt;W27*(1-Settings!$B$12)),"Well under median: check scope",""))</f>
        <v/>
      </c>
      <c r="AC27" s="36">
        <f>IF(B27="","",TRIM(IF(COUNTIF(D27:H27,"Yes")&lt;5,"Compliance gates not all Yes. ","")&amp;IF(SUMPRODUCT(--ISTEXT(J27:M27))&gt;0,"A price cell holds text, not a number. ","")&amp;IF(N(J27)&lt;=0,"No quoted price. ",IF(N(N27)&lt;=0,"Levelled price is $0 or less. ",""))&amp;IF(U27=0,"Package isn't on the Packages tab. ","")&amp;IF(SUMPRODUCT(ISTEXT(O27:S27)+(O27:S27&lt;0)+(O27:S27&gt;10))&gt;0,"Scores must be 0 to 10 (capped). ","")&amp;IF(AND(AA27=1,COUNTIFS(T$4:T$103,T27,AA$4:AA$103,1)&gt;1),"Tied for 1st: ask both for clarifications. ","")))</f>
        <v/>
      </c>
      <c r="AD27" s="7">
        <f>T27&amp;"|"&amp;AA27</f>
        <v/>
      </c>
      <c r="AE27" s="22" t="n"/>
      <c r="AF27" s="23" t="n"/>
    </row>
    <row r="28">
      <c r="A28" s="22" t="n"/>
      <c r="B28" s="22" t="n"/>
      <c r="C28" s="24" t="n"/>
      <c r="D28" s="22" t="n"/>
      <c r="E28" s="22" t="n"/>
      <c r="F28" s="22" t="n"/>
      <c r="G28" s="22" t="n"/>
      <c r="H28" s="22" t="n"/>
      <c r="I28" s="7">
        <f>IF(B28="","",IF(AND(COUNTIF(D28:H28,"Yes")=5,SUMPRODUCT(--ISTEXT(J28:M28))=0,N(J28)&gt;0,N(N28)&gt;0,U28&gt;0),"Yes","No"))</f>
        <v/>
      </c>
      <c r="J28" s="33" t="n"/>
      <c r="K28" s="33" t="n"/>
      <c r="L28" s="33" t="n"/>
      <c r="M28" s="33" t="n"/>
      <c r="N28" s="9">
        <f>IF(B28="","",N(J28)+N(K28)+N(L28)+N(M28))</f>
        <v/>
      </c>
      <c r="O28" s="22" t="n"/>
      <c r="P28" s="22" t="n"/>
      <c r="Q28" s="22" t="n"/>
      <c r="R28" s="22" t="n"/>
      <c r="S28" s="22" t="n"/>
      <c r="T28" s="7">
        <f>IF(A28="","",LEFT(A28,2))</f>
        <v/>
      </c>
      <c r="U28" s="7">
        <f>IF(A28="",0,IFERROR(MATCH(LEFT(A28,3)&amp;"*",'Tender Setup'!$A$4:$A$33,0),0))</f>
        <v/>
      </c>
      <c r="V28" s="9">
        <f t="array" ref="V28">IF(I28&lt;&gt;"Yes","",MIN(IF((T$4:T$103=T28)*(I$4:I$103="Yes"),N$4:N$103)))</f>
        <v/>
      </c>
      <c r="W28" s="9">
        <f t="array" ref="W28">IF(I28&lt;&gt;"Yes","",MEDIAN(IF((T$4:T$103=T28)*(I$4:I$103="Yes"),N$4:N$103)))</f>
        <v/>
      </c>
      <c r="X28" s="11">
        <f>IF(I28&lt;&gt;"Yes",0,V28/N28*INDEX('Tender Setup'!$C$4:$C$33,U28))</f>
        <v/>
      </c>
      <c r="Y28" s="11">
        <f>IF(I28&lt;&gt;"Yes",0,(MIN(10,MAX(0,N(O28)))*INDEX('Tender Setup'!$D$4:$D$33,U28)+MIN(10,MAX(0,N(P28)))*INDEX('Tender Setup'!$E$4:$E$33,U28)+MIN(10,MAX(0,N(Q28)))*INDEX('Tender Setup'!$F$4:$F$33,U28)+MIN(10,MAX(0,N(R28)))*INDEX('Tender Setup'!$G$4:$G$33,U28)+MIN(10,MAX(0,N(S28)))*INDEX('Tender Setup'!$H$4:$H$33,U28))/10)</f>
        <v/>
      </c>
      <c r="Z28" s="11">
        <f>IF(B28="","",IF(I28&lt;&gt;"Yes",0,IF(N(INDEX('Tender Setup'!$I$4:$I$33,U28))=0,0,(X28+Y28)*100/INDEX('Tender Setup'!$I$4:$I$33,U28))))</f>
        <v/>
      </c>
      <c r="AA28" s="7">
        <f>IF(B28="","",IF(I28&lt;&gt;"Yes","Excluded",COUNTIFS(T$4:T$103,T28,I$4:I$103,"Yes",Z$4:Z$103,"&gt;"&amp;Z28)+1))</f>
        <v/>
      </c>
      <c r="AB28" s="7">
        <f>IF(I28&lt;&gt;"Yes","",IF(AND(COUNTIFS(T$4:T$103,T28,I$4:I$103,"Yes")&gt;=2,N28&lt;W28*(1-Settings!$B$12)),"Well under median: check scope",""))</f>
        <v/>
      </c>
      <c r="AC28" s="36">
        <f>IF(B28="","",TRIM(IF(COUNTIF(D28:H28,"Yes")&lt;5,"Compliance gates not all Yes. ","")&amp;IF(SUMPRODUCT(--ISTEXT(J28:M28))&gt;0,"A price cell holds text, not a number. ","")&amp;IF(N(J28)&lt;=0,"No quoted price. ",IF(N(N28)&lt;=0,"Levelled price is $0 or less. ",""))&amp;IF(U28=0,"Package isn't on the Packages tab. ","")&amp;IF(SUMPRODUCT(ISTEXT(O28:S28)+(O28:S28&lt;0)+(O28:S28&gt;10))&gt;0,"Scores must be 0 to 10 (capped). ","")&amp;IF(AND(AA28=1,COUNTIFS(T$4:T$103,T28,AA$4:AA$103,1)&gt;1),"Tied for 1st: ask both for clarifications. ","")))</f>
        <v/>
      </c>
      <c r="AD28" s="7">
        <f>T28&amp;"|"&amp;AA28</f>
        <v/>
      </c>
      <c r="AE28" s="22" t="n"/>
      <c r="AF28" s="23" t="n"/>
    </row>
    <row r="29">
      <c r="A29" s="22" t="n"/>
      <c r="B29" s="22" t="n"/>
      <c r="C29" s="24" t="n"/>
      <c r="D29" s="22" t="n"/>
      <c r="E29" s="22" t="n"/>
      <c r="F29" s="22" t="n"/>
      <c r="G29" s="22" t="n"/>
      <c r="H29" s="22" t="n"/>
      <c r="I29" s="7">
        <f>IF(B29="","",IF(AND(COUNTIF(D29:H29,"Yes")=5,SUMPRODUCT(--ISTEXT(J29:M29))=0,N(J29)&gt;0,N(N29)&gt;0,U29&gt;0),"Yes","No"))</f>
        <v/>
      </c>
      <c r="J29" s="33" t="n"/>
      <c r="K29" s="33" t="n"/>
      <c r="L29" s="33" t="n"/>
      <c r="M29" s="33" t="n"/>
      <c r="N29" s="9">
        <f>IF(B29="","",N(J29)+N(K29)+N(L29)+N(M29))</f>
        <v/>
      </c>
      <c r="O29" s="22" t="n"/>
      <c r="P29" s="22" t="n"/>
      <c r="Q29" s="22" t="n"/>
      <c r="R29" s="22" t="n"/>
      <c r="S29" s="22" t="n"/>
      <c r="T29" s="7">
        <f>IF(A29="","",LEFT(A29,2))</f>
        <v/>
      </c>
      <c r="U29" s="7">
        <f>IF(A29="",0,IFERROR(MATCH(LEFT(A29,3)&amp;"*",'Tender Setup'!$A$4:$A$33,0),0))</f>
        <v/>
      </c>
      <c r="V29" s="9">
        <f t="array" ref="V29">IF(I29&lt;&gt;"Yes","",MIN(IF((T$4:T$103=T29)*(I$4:I$103="Yes"),N$4:N$103)))</f>
        <v/>
      </c>
      <c r="W29" s="9">
        <f t="array" ref="W29">IF(I29&lt;&gt;"Yes","",MEDIAN(IF((T$4:T$103=T29)*(I$4:I$103="Yes"),N$4:N$103)))</f>
        <v/>
      </c>
      <c r="X29" s="11">
        <f>IF(I29&lt;&gt;"Yes",0,V29/N29*INDEX('Tender Setup'!$C$4:$C$33,U29))</f>
        <v/>
      </c>
      <c r="Y29" s="11">
        <f>IF(I29&lt;&gt;"Yes",0,(MIN(10,MAX(0,N(O29)))*INDEX('Tender Setup'!$D$4:$D$33,U29)+MIN(10,MAX(0,N(P29)))*INDEX('Tender Setup'!$E$4:$E$33,U29)+MIN(10,MAX(0,N(Q29)))*INDEX('Tender Setup'!$F$4:$F$33,U29)+MIN(10,MAX(0,N(R29)))*INDEX('Tender Setup'!$G$4:$G$33,U29)+MIN(10,MAX(0,N(S29)))*INDEX('Tender Setup'!$H$4:$H$33,U29))/10)</f>
        <v/>
      </c>
      <c r="Z29" s="11">
        <f>IF(B29="","",IF(I29&lt;&gt;"Yes",0,IF(N(INDEX('Tender Setup'!$I$4:$I$33,U29))=0,0,(X29+Y29)*100/INDEX('Tender Setup'!$I$4:$I$33,U29))))</f>
        <v/>
      </c>
      <c r="AA29" s="7">
        <f>IF(B29="","",IF(I29&lt;&gt;"Yes","Excluded",COUNTIFS(T$4:T$103,T29,I$4:I$103,"Yes",Z$4:Z$103,"&gt;"&amp;Z29)+1))</f>
        <v/>
      </c>
      <c r="AB29" s="7">
        <f>IF(I29&lt;&gt;"Yes","",IF(AND(COUNTIFS(T$4:T$103,T29,I$4:I$103,"Yes")&gt;=2,N29&lt;W29*(1-Settings!$B$12)),"Well under median: check scope",""))</f>
        <v/>
      </c>
      <c r="AC29" s="36">
        <f>IF(B29="","",TRIM(IF(COUNTIF(D29:H29,"Yes")&lt;5,"Compliance gates not all Yes. ","")&amp;IF(SUMPRODUCT(--ISTEXT(J29:M29))&gt;0,"A price cell holds text, not a number. ","")&amp;IF(N(J29)&lt;=0,"No quoted price. ",IF(N(N29)&lt;=0,"Levelled price is $0 or less. ",""))&amp;IF(U29=0,"Package isn't on the Packages tab. ","")&amp;IF(SUMPRODUCT(ISTEXT(O29:S29)+(O29:S29&lt;0)+(O29:S29&gt;10))&gt;0,"Scores must be 0 to 10 (capped). ","")&amp;IF(AND(AA29=1,COUNTIFS(T$4:T$103,T29,AA$4:AA$103,1)&gt;1),"Tied for 1st: ask both for clarifications. ","")))</f>
        <v/>
      </c>
      <c r="AD29" s="7">
        <f>T29&amp;"|"&amp;AA29</f>
        <v/>
      </c>
      <c r="AE29" s="22" t="n"/>
      <c r="AF29" s="23" t="n"/>
    </row>
    <row r="30">
      <c r="A30" s="22" t="n"/>
      <c r="B30" s="22" t="n"/>
      <c r="C30" s="24" t="n"/>
      <c r="D30" s="22" t="n"/>
      <c r="E30" s="22" t="n"/>
      <c r="F30" s="22" t="n"/>
      <c r="G30" s="22" t="n"/>
      <c r="H30" s="22" t="n"/>
      <c r="I30" s="7">
        <f>IF(B30="","",IF(AND(COUNTIF(D30:H30,"Yes")=5,SUMPRODUCT(--ISTEXT(J30:M30))=0,N(J30)&gt;0,N(N30)&gt;0,U30&gt;0),"Yes","No"))</f>
        <v/>
      </c>
      <c r="J30" s="33" t="n"/>
      <c r="K30" s="33" t="n"/>
      <c r="L30" s="33" t="n"/>
      <c r="M30" s="33" t="n"/>
      <c r="N30" s="9">
        <f>IF(B30="","",N(J30)+N(K30)+N(L30)+N(M30))</f>
        <v/>
      </c>
      <c r="O30" s="22" t="n"/>
      <c r="P30" s="22" t="n"/>
      <c r="Q30" s="22" t="n"/>
      <c r="R30" s="22" t="n"/>
      <c r="S30" s="22" t="n"/>
      <c r="T30" s="7">
        <f>IF(A30="","",LEFT(A30,2))</f>
        <v/>
      </c>
      <c r="U30" s="7">
        <f>IF(A30="",0,IFERROR(MATCH(LEFT(A30,3)&amp;"*",'Tender Setup'!$A$4:$A$33,0),0))</f>
        <v/>
      </c>
      <c r="V30" s="9">
        <f t="array" ref="V30">IF(I30&lt;&gt;"Yes","",MIN(IF((T$4:T$103=T30)*(I$4:I$103="Yes"),N$4:N$103)))</f>
        <v/>
      </c>
      <c r="W30" s="9">
        <f t="array" ref="W30">IF(I30&lt;&gt;"Yes","",MEDIAN(IF((T$4:T$103=T30)*(I$4:I$103="Yes"),N$4:N$103)))</f>
        <v/>
      </c>
      <c r="X30" s="11">
        <f>IF(I30&lt;&gt;"Yes",0,V30/N30*INDEX('Tender Setup'!$C$4:$C$33,U30))</f>
        <v/>
      </c>
      <c r="Y30" s="11">
        <f>IF(I30&lt;&gt;"Yes",0,(MIN(10,MAX(0,N(O30)))*INDEX('Tender Setup'!$D$4:$D$33,U30)+MIN(10,MAX(0,N(P30)))*INDEX('Tender Setup'!$E$4:$E$33,U30)+MIN(10,MAX(0,N(Q30)))*INDEX('Tender Setup'!$F$4:$F$33,U30)+MIN(10,MAX(0,N(R30)))*INDEX('Tender Setup'!$G$4:$G$33,U30)+MIN(10,MAX(0,N(S30)))*INDEX('Tender Setup'!$H$4:$H$33,U30))/10)</f>
        <v/>
      </c>
      <c r="Z30" s="11">
        <f>IF(B30="","",IF(I30&lt;&gt;"Yes",0,IF(N(INDEX('Tender Setup'!$I$4:$I$33,U30))=0,0,(X30+Y30)*100/INDEX('Tender Setup'!$I$4:$I$33,U30))))</f>
        <v/>
      </c>
      <c r="AA30" s="7">
        <f>IF(B30="","",IF(I30&lt;&gt;"Yes","Excluded",COUNTIFS(T$4:T$103,T30,I$4:I$103,"Yes",Z$4:Z$103,"&gt;"&amp;Z30)+1))</f>
        <v/>
      </c>
      <c r="AB30" s="7">
        <f>IF(I30&lt;&gt;"Yes","",IF(AND(COUNTIFS(T$4:T$103,T30,I$4:I$103,"Yes")&gt;=2,N30&lt;W30*(1-Settings!$B$12)),"Well under median: check scope",""))</f>
        <v/>
      </c>
      <c r="AC30" s="36">
        <f>IF(B30="","",TRIM(IF(COUNTIF(D30:H30,"Yes")&lt;5,"Compliance gates not all Yes. ","")&amp;IF(SUMPRODUCT(--ISTEXT(J30:M30))&gt;0,"A price cell holds text, not a number. ","")&amp;IF(N(J30)&lt;=0,"No quoted price. ",IF(N(N30)&lt;=0,"Levelled price is $0 or less. ",""))&amp;IF(U30=0,"Package isn't on the Packages tab. ","")&amp;IF(SUMPRODUCT(ISTEXT(O30:S30)+(O30:S30&lt;0)+(O30:S30&gt;10))&gt;0,"Scores must be 0 to 10 (capped). ","")&amp;IF(AND(AA30=1,COUNTIFS(T$4:T$103,T30,AA$4:AA$103,1)&gt;1),"Tied for 1st: ask both for clarifications. ","")))</f>
        <v/>
      </c>
      <c r="AD30" s="7">
        <f>T30&amp;"|"&amp;AA30</f>
        <v/>
      </c>
      <c r="AE30" s="22" t="n"/>
      <c r="AF30" s="23" t="n"/>
    </row>
    <row r="31">
      <c r="A31" s="22" t="n"/>
      <c r="B31" s="22" t="n"/>
      <c r="C31" s="24" t="n"/>
      <c r="D31" s="22" t="n"/>
      <c r="E31" s="22" t="n"/>
      <c r="F31" s="22" t="n"/>
      <c r="G31" s="22" t="n"/>
      <c r="H31" s="22" t="n"/>
      <c r="I31" s="7">
        <f>IF(B31="","",IF(AND(COUNTIF(D31:H31,"Yes")=5,SUMPRODUCT(--ISTEXT(J31:M31))=0,N(J31)&gt;0,N(N31)&gt;0,U31&gt;0),"Yes","No"))</f>
        <v/>
      </c>
      <c r="J31" s="33" t="n"/>
      <c r="K31" s="33" t="n"/>
      <c r="L31" s="33" t="n"/>
      <c r="M31" s="33" t="n"/>
      <c r="N31" s="9">
        <f>IF(B31="","",N(J31)+N(K31)+N(L31)+N(M31))</f>
        <v/>
      </c>
      <c r="O31" s="22" t="n"/>
      <c r="P31" s="22" t="n"/>
      <c r="Q31" s="22" t="n"/>
      <c r="R31" s="22" t="n"/>
      <c r="S31" s="22" t="n"/>
      <c r="T31" s="7">
        <f>IF(A31="","",LEFT(A31,2))</f>
        <v/>
      </c>
      <c r="U31" s="7">
        <f>IF(A31="",0,IFERROR(MATCH(LEFT(A31,3)&amp;"*",'Tender Setup'!$A$4:$A$33,0),0))</f>
        <v/>
      </c>
      <c r="V31" s="9">
        <f t="array" ref="V31">IF(I31&lt;&gt;"Yes","",MIN(IF((T$4:T$103=T31)*(I$4:I$103="Yes"),N$4:N$103)))</f>
        <v/>
      </c>
      <c r="W31" s="9">
        <f t="array" ref="W31">IF(I31&lt;&gt;"Yes","",MEDIAN(IF((T$4:T$103=T31)*(I$4:I$103="Yes"),N$4:N$103)))</f>
        <v/>
      </c>
      <c r="X31" s="11">
        <f>IF(I31&lt;&gt;"Yes",0,V31/N31*INDEX('Tender Setup'!$C$4:$C$33,U31))</f>
        <v/>
      </c>
      <c r="Y31" s="11">
        <f>IF(I31&lt;&gt;"Yes",0,(MIN(10,MAX(0,N(O31)))*INDEX('Tender Setup'!$D$4:$D$33,U31)+MIN(10,MAX(0,N(P31)))*INDEX('Tender Setup'!$E$4:$E$33,U31)+MIN(10,MAX(0,N(Q31)))*INDEX('Tender Setup'!$F$4:$F$33,U31)+MIN(10,MAX(0,N(R31)))*INDEX('Tender Setup'!$G$4:$G$33,U31)+MIN(10,MAX(0,N(S31)))*INDEX('Tender Setup'!$H$4:$H$33,U31))/10)</f>
        <v/>
      </c>
      <c r="Z31" s="11">
        <f>IF(B31="","",IF(I31&lt;&gt;"Yes",0,IF(N(INDEX('Tender Setup'!$I$4:$I$33,U31))=0,0,(X31+Y31)*100/INDEX('Tender Setup'!$I$4:$I$33,U31))))</f>
        <v/>
      </c>
      <c r="AA31" s="7">
        <f>IF(B31="","",IF(I31&lt;&gt;"Yes","Excluded",COUNTIFS(T$4:T$103,T31,I$4:I$103,"Yes",Z$4:Z$103,"&gt;"&amp;Z31)+1))</f>
        <v/>
      </c>
      <c r="AB31" s="7">
        <f>IF(I31&lt;&gt;"Yes","",IF(AND(COUNTIFS(T$4:T$103,T31,I$4:I$103,"Yes")&gt;=2,N31&lt;W31*(1-Settings!$B$12)),"Well under median: check scope",""))</f>
        <v/>
      </c>
      <c r="AC31" s="36">
        <f>IF(B31="","",TRIM(IF(COUNTIF(D31:H31,"Yes")&lt;5,"Compliance gates not all Yes. ","")&amp;IF(SUMPRODUCT(--ISTEXT(J31:M31))&gt;0,"A price cell holds text, not a number. ","")&amp;IF(N(J31)&lt;=0,"No quoted price. ",IF(N(N31)&lt;=0,"Levelled price is $0 or less. ",""))&amp;IF(U31=0,"Package isn't on the Packages tab. ","")&amp;IF(SUMPRODUCT(ISTEXT(O31:S31)+(O31:S31&lt;0)+(O31:S31&gt;10))&gt;0,"Scores must be 0 to 10 (capped). ","")&amp;IF(AND(AA31=1,COUNTIFS(T$4:T$103,T31,AA$4:AA$103,1)&gt;1),"Tied for 1st: ask both for clarifications. ","")))</f>
        <v/>
      </c>
      <c r="AD31" s="7">
        <f>T31&amp;"|"&amp;AA31</f>
        <v/>
      </c>
      <c r="AE31" s="22" t="n"/>
      <c r="AF31" s="23" t="n"/>
    </row>
    <row r="32">
      <c r="A32" s="22" t="n"/>
      <c r="B32" s="22" t="n"/>
      <c r="C32" s="24" t="n"/>
      <c r="D32" s="22" t="n"/>
      <c r="E32" s="22" t="n"/>
      <c r="F32" s="22" t="n"/>
      <c r="G32" s="22" t="n"/>
      <c r="H32" s="22" t="n"/>
      <c r="I32" s="7">
        <f>IF(B32="","",IF(AND(COUNTIF(D32:H32,"Yes")=5,SUMPRODUCT(--ISTEXT(J32:M32))=0,N(J32)&gt;0,N(N32)&gt;0,U32&gt;0),"Yes","No"))</f>
        <v/>
      </c>
      <c r="J32" s="33" t="n"/>
      <c r="K32" s="33" t="n"/>
      <c r="L32" s="33" t="n"/>
      <c r="M32" s="33" t="n"/>
      <c r="N32" s="9">
        <f>IF(B32="","",N(J32)+N(K32)+N(L32)+N(M32))</f>
        <v/>
      </c>
      <c r="O32" s="22" t="n"/>
      <c r="P32" s="22" t="n"/>
      <c r="Q32" s="22" t="n"/>
      <c r="R32" s="22" t="n"/>
      <c r="S32" s="22" t="n"/>
      <c r="T32" s="7">
        <f>IF(A32="","",LEFT(A32,2))</f>
        <v/>
      </c>
      <c r="U32" s="7">
        <f>IF(A32="",0,IFERROR(MATCH(LEFT(A32,3)&amp;"*",'Tender Setup'!$A$4:$A$33,0),0))</f>
        <v/>
      </c>
      <c r="V32" s="9">
        <f t="array" ref="V32">IF(I32&lt;&gt;"Yes","",MIN(IF((T$4:T$103=T32)*(I$4:I$103="Yes"),N$4:N$103)))</f>
        <v/>
      </c>
      <c r="W32" s="9">
        <f t="array" ref="W32">IF(I32&lt;&gt;"Yes","",MEDIAN(IF((T$4:T$103=T32)*(I$4:I$103="Yes"),N$4:N$103)))</f>
        <v/>
      </c>
      <c r="X32" s="11">
        <f>IF(I32&lt;&gt;"Yes",0,V32/N32*INDEX('Tender Setup'!$C$4:$C$33,U32))</f>
        <v/>
      </c>
      <c r="Y32" s="11">
        <f>IF(I32&lt;&gt;"Yes",0,(MIN(10,MAX(0,N(O32)))*INDEX('Tender Setup'!$D$4:$D$33,U32)+MIN(10,MAX(0,N(P32)))*INDEX('Tender Setup'!$E$4:$E$33,U32)+MIN(10,MAX(0,N(Q32)))*INDEX('Tender Setup'!$F$4:$F$33,U32)+MIN(10,MAX(0,N(R32)))*INDEX('Tender Setup'!$G$4:$G$33,U32)+MIN(10,MAX(0,N(S32)))*INDEX('Tender Setup'!$H$4:$H$33,U32))/10)</f>
        <v/>
      </c>
      <c r="Z32" s="11">
        <f>IF(B32="","",IF(I32&lt;&gt;"Yes",0,IF(N(INDEX('Tender Setup'!$I$4:$I$33,U32))=0,0,(X32+Y32)*100/INDEX('Tender Setup'!$I$4:$I$33,U32))))</f>
        <v/>
      </c>
      <c r="AA32" s="7">
        <f>IF(B32="","",IF(I32&lt;&gt;"Yes","Excluded",COUNTIFS(T$4:T$103,T32,I$4:I$103,"Yes",Z$4:Z$103,"&gt;"&amp;Z32)+1))</f>
        <v/>
      </c>
      <c r="AB32" s="7">
        <f>IF(I32&lt;&gt;"Yes","",IF(AND(COUNTIFS(T$4:T$103,T32,I$4:I$103,"Yes")&gt;=2,N32&lt;W32*(1-Settings!$B$12)),"Well under median: check scope",""))</f>
        <v/>
      </c>
      <c r="AC32" s="36">
        <f>IF(B32="","",TRIM(IF(COUNTIF(D32:H32,"Yes")&lt;5,"Compliance gates not all Yes. ","")&amp;IF(SUMPRODUCT(--ISTEXT(J32:M32))&gt;0,"A price cell holds text, not a number. ","")&amp;IF(N(J32)&lt;=0,"No quoted price. ",IF(N(N32)&lt;=0,"Levelled price is $0 or less. ",""))&amp;IF(U32=0,"Package isn't on the Packages tab. ","")&amp;IF(SUMPRODUCT(ISTEXT(O32:S32)+(O32:S32&lt;0)+(O32:S32&gt;10))&gt;0,"Scores must be 0 to 10 (capped). ","")&amp;IF(AND(AA32=1,COUNTIFS(T$4:T$103,T32,AA$4:AA$103,1)&gt;1),"Tied for 1st: ask both for clarifications. ","")))</f>
        <v/>
      </c>
      <c r="AD32" s="7">
        <f>T32&amp;"|"&amp;AA32</f>
        <v/>
      </c>
      <c r="AE32" s="22" t="n"/>
      <c r="AF32" s="23" t="n"/>
    </row>
    <row r="33">
      <c r="A33" s="22" t="n"/>
      <c r="B33" s="22" t="n"/>
      <c r="C33" s="24" t="n"/>
      <c r="D33" s="22" t="n"/>
      <c r="E33" s="22" t="n"/>
      <c r="F33" s="22" t="n"/>
      <c r="G33" s="22" t="n"/>
      <c r="H33" s="22" t="n"/>
      <c r="I33" s="7">
        <f>IF(B33="","",IF(AND(COUNTIF(D33:H33,"Yes")=5,SUMPRODUCT(--ISTEXT(J33:M33))=0,N(J33)&gt;0,N(N33)&gt;0,U33&gt;0),"Yes","No"))</f>
        <v/>
      </c>
      <c r="J33" s="33" t="n"/>
      <c r="K33" s="33" t="n"/>
      <c r="L33" s="33" t="n"/>
      <c r="M33" s="33" t="n"/>
      <c r="N33" s="9">
        <f>IF(B33="","",N(J33)+N(K33)+N(L33)+N(M33))</f>
        <v/>
      </c>
      <c r="O33" s="22" t="n"/>
      <c r="P33" s="22" t="n"/>
      <c r="Q33" s="22" t="n"/>
      <c r="R33" s="22" t="n"/>
      <c r="S33" s="22" t="n"/>
      <c r="T33" s="7">
        <f>IF(A33="","",LEFT(A33,2))</f>
        <v/>
      </c>
      <c r="U33" s="7">
        <f>IF(A33="",0,IFERROR(MATCH(LEFT(A33,3)&amp;"*",'Tender Setup'!$A$4:$A$33,0),0))</f>
        <v/>
      </c>
      <c r="V33" s="9">
        <f t="array" ref="V33">IF(I33&lt;&gt;"Yes","",MIN(IF((T$4:T$103=T33)*(I$4:I$103="Yes"),N$4:N$103)))</f>
        <v/>
      </c>
      <c r="W33" s="9">
        <f t="array" ref="W33">IF(I33&lt;&gt;"Yes","",MEDIAN(IF((T$4:T$103=T33)*(I$4:I$103="Yes"),N$4:N$103)))</f>
        <v/>
      </c>
      <c r="X33" s="11">
        <f>IF(I33&lt;&gt;"Yes",0,V33/N33*INDEX('Tender Setup'!$C$4:$C$33,U33))</f>
        <v/>
      </c>
      <c r="Y33" s="11">
        <f>IF(I33&lt;&gt;"Yes",0,(MIN(10,MAX(0,N(O33)))*INDEX('Tender Setup'!$D$4:$D$33,U33)+MIN(10,MAX(0,N(P33)))*INDEX('Tender Setup'!$E$4:$E$33,U33)+MIN(10,MAX(0,N(Q33)))*INDEX('Tender Setup'!$F$4:$F$33,U33)+MIN(10,MAX(0,N(R33)))*INDEX('Tender Setup'!$G$4:$G$33,U33)+MIN(10,MAX(0,N(S33)))*INDEX('Tender Setup'!$H$4:$H$33,U33))/10)</f>
        <v/>
      </c>
      <c r="Z33" s="11">
        <f>IF(B33="","",IF(I33&lt;&gt;"Yes",0,IF(N(INDEX('Tender Setup'!$I$4:$I$33,U33))=0,0,(X33+Y33)*100/INDEX('Tender Setup'!$I$4:$I$33,U33))))</f>
        <v/>
      </c>
      <c r="AA33" s="7">
        <f>IF(B33="","",IF(I33&lt;&gt;"Yes","Excluded",COUNTIFS(T$4:T$103,T33,I$4:I$103,"Yes",Z$4:Z$103,"&gt;"&amp;Z33)+1))</f>
        <v/>
      </c>
      <c r="AB33" s="7">
        <f>IF(I33&lt;&gt;"Yes","",IF(AND(COUNTIFS(T$4:T$103,T33,I$4:I$103,"Yes")&gt;=2,N33&lt;W33*(1-Settings!$B$12)),"Well under median: check scope",""))</f>
        <v/>
      </c>
      <c r="AC33" s="36">
        <f>IF(B33="","",TRIM(IF(COUNTIF(D33:H33,"Yes")&lt;5,"Compliance gates not all Yes. ","")&amp;IF(SUMPRODUCT(--ISTEXT(J33:M33))&gt;0,"A price cell holds text, not a number. ","")&amp;IF(N(J33)&lt;=0,"No quoted price. ",IF(N(N33)&lt;=0,"Levelled price is $0 or less. ",""))&amp;IF(U33=0,"Package isn't on the Packages tab. ","")&amp;IF(SUMPRODUCT(ISTEXT(O33:S33)+(O33:S33&lt;0)+(O33:S33&gt;10))&gt;0,"Scores must be 0 to 10 (capped). ","")&amp;IF(AND(AA33=1,COUNTIFS(T$4:T$103,T33,AA$4:AA$103,1)&gt;1),"Tied for 1st: ask both for clarifications. ","")))</f>
        <v/>
      </c>
      <c r="AD33" s="7">
        <f>T33&amp;"|"&amp;AA33</f>
        <v/>
      </c>
      <c r="AE33" s="22" t="n"/>
      <c r="AF33" s="23" t="n"/>
    </row>
    <row r="34">
      <c r="A34" s="22" t="n"/>
      <c r="B34" s="22" t="n"/>
      <c r="C34" s="24" t="n"/>
      <c r="D34" s="22" t="n"/>
      <c r="E34" s="22" t="n"/>
      <c r="F34" s="22" t="n"/>
      <c r="G34" s="22" t="n"/>
      <c r="H34" s="22" t="n"/>
      <c r="I34" s="7">
        <f>IF(B34="","",IF(AND(COUNTIF(D34:H34,"Yes")=5,SUMPRODUCT(--ISTEXT(J34:M34))=0,N(J34)&gt;0,N(N34)&gt;0,U34&gt;0),"Yes","No"))</f>
        <v/>
      </c>
      <c r="J34" s="33" t="n"/>
      <c r="K34" s="33" t="n"/>
      <c r="L34" s="33" t="n"/>
      <c r="M34" s="33" t="n"/>
      <c r="N34" s="9">
        <f>IF(B34="","",N(J34)+N(K34)+N(L34)+N(M34))</f>
        <v/>
      </c>
      <c r="O34" s="22" t="n"/>
      <c r="P34" s="22" t="n"/>
      <c r="Q34" s="22" t="n"/>
      <c r="R34" s="22" t="n"/>
      <c r="S34" s="22" t="n"/>
      <c r="T34" s="7">
        <f>IF(A34="","",LEFT(A34,2))</f>
        <v/>
      </c>
      <c r="U34" s="7">
        <f>IF(A34="",0,IFERROR(MATCH(LEFT(A34,3)&amp;"*",'Tender Setup'!$A$4:$A$33,0),0))</f>
        <v/>
      </c>
      <c r="V34" s="9">
        <f t="array" ref="V34">IF(I34&lt;&gt;"Yes","",MIN(IF((T$4:T$103=T34)*(I$4:I$103="Yes"),N$4:N$103)))</f>
        <v/>
      </c>
      <c r="W34" s="9">
        <f t="array" ref="W34">IF(I34&lt;&gt;"Yes","",MEDIAN(IF((T$4:T$103=T34)*(I$4:I$103="Yes"),N$4:N$103)))</f>
        <v/>
      </c>
      <c r="X34" s="11">
        <f>IF(I34&lt;&gt;"Yes",0,V34/N34*INDEX('Tender Setup'!$C$4:$C$33,U34))</f>
        <v/>
      </c>
      <c r="Y34" s="11">
        <f>IF(I34&lt;&gt;"Yes",0,(MIN(10,MAX(0,N(O34)))*INDEX('Tender Setup'!$D$4:$D$33,U34)+MIN(10,MAX(0,N(P34)))*INDEX('Tender Setup'!$E$4:$E$33,U34)+MIN(10,MAX(0,N(Q34)))*INDEX('Tender Setup'!$F$4:$F$33,U34)+MIN(10,MAX(0,N(R34)))*INDEX('Tender Setup'!$G$4:$G$33,U34)+MIN(10,MAX(0,N(S34)))*INDEX('Tender Setup'!$H$4:$H$33,U34))/10)</f>
        <v/>
      </c>
      <c r="Z34" s="11">
        <f>IF(B34="","",IF(I34&lt;&gt;"Yes",0,IF(N(INDEX('Tender Setup'!$I$4:$I$33,U34))=0,0,(X34+Y34)*100/INDEX('Tender Setup'!$I$4:$I$33,U34))))</f>
        <v/>
      </c>
      <c r="AA34" s="7">
        <f>IF(B34="","",IF(I34&lt;&gt;"Yes","Excluded",COUNTIFS(T$4:T$103,T34,I$4:I$103,"Yes",Z$4:Z$103,"&gt;"&amp;Z34)+1))</f>
        <v/>
      </c>
      <c r="AB34" s="7">
        <f>IF(I34&lt;&gt;"Yes","",IF(AND(COUNTIFS(T$4:T$103,T34,I$4:I$103,"Yes")&gt;=2,N34&lt;W34*(1-Settings!$B$12)),"Well under median: check scope",""))</f>
        <v/>
      </c>
      <c r="AC34" s="36">
        <f>IF(B34="","",TRIM(IF(COUNTIF(D34:H34,"Yes")&lt;5,"Compliance gates not all Yes. ","")&amp;IF(SUMPRODUCT(--ISTEXT(J34:M34))&gt;0,"A price cell holds text, not a number. ","")&amp;IF(N(J34)&lt;=0,"No quoted price. ",IF(N(N34)&lt;=0,"Levelled price is $0 or less. ",""))&amp;IF(U34=0,"Package isn't on the Packages tab. ","")&amp;IF(SUMPRODUCT(ISTEXT(O34:S34)+(O34:S34&lt;0)+(O34:S34&gt;10))&gt;0,"Scores must be 0 to 10 (capped). ","")&amp;IF(AND(AA34=1,COUNTIFS(T$4:T$103,T34,AA$4:AA$103,1)&gt;1),"Tied for 1st: ask both for clarifications. ","")))</f>
        <v/>
      </c>
      <c r="AD34" s="7">
        <f>T34&amp;"|"&amp;AA34</f>
        <v/>
      </c>
      <c r="AE34" s="22" t="n"/>
      <c r="AF34" s="23" t="n"/>
    </row>
    <row r="35">
      <c r="A35" s="22" t="n"/>
      <c r="B35" s="22" t="n"/>
      <c r="C35" s="24" t="n"/>
      <c r="D35" s="22" t="n"/>
      <c r="E35" s="22" t="n"/>
      <c r="F35" s="22" t="n"/>
      <c r="G35" s="22" t="n"/>
      <c r="H35" s="22" t="n"/>
      <c r="I35" s="7">
        <f>IF(B35="","",IF(AND(COUNTIF(D35:H35,"Yes")=5,SUMPRODUCT(--ISTEXT(J35:M35))=0,N(J35)&gt;0,N(N35)&gt;0,U35&gt;0),"Yes","No"))</f>
        <v/>
      </c>
      <c r="J35" s="33" t="n"/>
      <c r="K35" s="33" t="n"/>
      <c r="L35" s="33" t="n"/>
      <c r="M35" s="33" t="n"/>
      <c r="N35" s="9">
        <f>IF(B35="","",N(J35)+N(K35)+N(L35)+N(M35))</f>
        <v/>
      </c>
      <c r="O35" s="22" t="n"/>
      <c r="P35" s="22" t="n"/>
      <c r="Q35" s="22" t="n"/>
      <c r="R35" s="22" t="n"/>
      <c r="S35" s="22" t="n"/>
      <c r="T35" s="7">
        <f>IF(A35="","",LEFT(A35,2))</f>
        <v/>
      </c>
      <c r="U35" s="7">
        <f>IF(A35="",0,IFERROR(MATCH(LEFT(A35,3)&amp;"*",'Tender Setup'!$A$4:$A$33,0),0))</f>
        <v/>
      </c>
      <c r="V35" s="9">
        <f t="array" ref="V35">IF(I35&lt;&gt;"Yes","",MIN(IF((T$4:T$103=T35)*(I$4:I$103="Yes"),N$4:N$103)))</f>
        <v/>
      </c>
      <c r="W35" s="9">
        <f t="array" ref="W35">IF(I35&lt;&gt;"Yes","",MEDIAN(IF((T$4:T$103=T35)*(I$4:I$103="Yes"),N$4:N$103)))</f>
        <v/>
      </c>
      <c r="X35" s="11">
        <f>IF(I35&lt;&gt;"Yes",0,V35/N35*INDEX('Tender Setup'!$C$4:$C$33,U35))</f>
        <v/>
      </c>
      <c r="Y35" s="11">
        <f>IF(I35&lt;&gt;"Yes",0,(MIN(10,MAX(0,N(O35)))*INDEX('Tender Setup'!$D$4:$D$33,U35)+MIN(10,MAX(0,N(P35)))*INDEX('Tender Setup'!$E$4:$E$33,U35)+MIN(10,MAX(0,N(Q35)))*INDEX('Tender Setup'!$F$4:$F$33,U35)+MIN(10,MAX(0,N(R35)))*INDEX('Tender Setup'!$G$4:$G$33,U35)+MIN(10,MAX(0,N(S35)))*INDEX('Tender Setup'!$H$4:$H$33,U35))/10)</f>
        <v/>
      </c>
      <c r="Z35" s="11">
        <f>IF(B35="","",IF(I35&lt;&gt;"Yes",0,IF(N(INDEX('Tender Setup'!$I$4:$I$33,U35))=0,0,(X35+Y35)*100/INDEX('Tender Setup'!$I$4:$I$33,U35))))</f>
        <v/>
      </c>
      <c r="AA35" s="7">
        <f>IF(B35="","",IF(I35&lt;&gt;"Yes","Excluded",COUNTIFS(T$4:T$103,T35,I$4:I$103,"Yes",Z$4:Z$103,"&gt;"&amp;Z35)+1))</f>
        <v/>
      </c>
      <c r="AB35" s="7">
        <f>IF(I35&lt;&gt;"Yes","",IF(AND(COUNTIFS(T$4:T$103,T35,I$4:I$103,"Yes")&gt;=2,N35&lt;W35*(1-Settings!$B$12)),"Well under median: check scope",""))</f>
        <v/>
      </c>
      <c r="AC35" s="36">
        <f>IF(B35="","",TRIM(IF(COUNTIF(D35:H35,"Yes")&lt;5,"Compliance gates not all Yes. ","")&amp;IF(SUMPRODUCT(--ISTEXT(J35:M35))&gt;0,"A price cell holds text, not a number. ","")&amp;IF(N(J35)&lt;=0,"No quoted price. ",IF(N(N35)&lt;=0,"Levelled price is $0 or less. ",""))&amp;IF(U35=0,"Package isn't on the Packages tab. ","")&amp;IF(SUMPRODUCT(ISTEXT(O35:S35)+(O35:S35&lt;0)+(O35:S35&gt;10))&gt;0,"Scores must be 0 to 10 (capped). ","")&amp;IF(AND(AA35=1,COUNTIFS(T$4:T$103,T35,AA$4:AA$103,1)&gt;1),"Tied for 1st: ask both for clarifications. ","")))</f>
        <v/>
      </c>
      <c r="AD35" s="7">
        <f>T35&amp;"|"&amp;AA35</f>
        <v/>
      </c>
      <c r="AE35" s="22" t="n"/>
      <c r="AF35" s="23" t="n"/>
    </row>
    <row r="36">
      <c r="A36" s="22" t="n"/>
      <c r="B36" s="22" t="n"/>
      <c r="C36" s="24" t="n"/>
      <c r="D36" s="22" t="n"/>
      <c r="E36" s="22" t="n"/>
      <c r="F36" s="22" t="n"/>
      <c r="G36" s="22" t="n"/>
      <c r="H36" s="22" t="n"/>
      <c r="I36" s="7">
        <f>IF(B36="","",IF(AND(COUNTIF(D36:H36,"Yes")=5,SUMPRODUCT(--ISTEXT(J36:M36))=0,N(J36)&gt;0,N(N36)&gt;0,U36&gt;0),"Yes","No"))</f>
        <v/>
      </c>
      <c r="J36" s="33" t="n"/>
      <c r="K36" s="33" t="n"/>
      <c r="L36" s="33" t="n"/>
      <c r="M36" s="33" t="n"/>
      <c r="N36" s="9">
        <f>IF(B36="","",N(J36)+N(K36)+N(L36)+N(M36))</f>
        <v/>
      </c>
      <c r="O36" s="22" t="n"/>
      <c r="P36" s="22" t="n"/>
      <c r="Q36" s="22" t="n"/>
      <c r="R36" s="22" t="n"/>
      <c r="S36" s="22" t="n"/>
      <c r="T36" s="7">
        <f>IF(A36="","",LEFT(A36,2))</f>
        <v/>
      </c>
      <c r="U36" s="7">
        <f>IF(A36="",0,IFERROR(MATCH(LEFT(A36,3)&amp;"*",'Tender Setup'!$A$4:$A$33,0),0))</f>
        <v/>
      </c>
      <c r="V36" s="9">
        <f t="array" ref="V36">IF(I36&lt;&gt;"Yes","",MIN(IF((T$4:T$103=T36)*(I$4:I$103="Yes"),N$4:N$103)))</f>
        <v/>
      </c>
      <c r="W36" s="9">
        <f t="array" ref="W36">IF(I36&lt;&gt;"Yes","",MEDIAN(IF((T$4:T$103=T36)*(I$4:I$103="Yes"),N$4:N$103)))</f>
        <v/>
      </c>
      <c r="X36" s="11">
        <f>IF(I36&lt;&gt;"Yes",0,V36/N36*INDEX('Tender Setup'!$C$4:$C$33,U36))</f>
        <v/>
      </c>
      <c r="Y36" s="11">
        <f>IF(I36&lt;&gt;"Yes",0,(MIN(10,MAX(0,N(O36)))*INDEX('Tender Setup'!$D$4:$D$33,U36)+MIN(10,MAX(0,N(P36)))*INDEX('Tender Setup'!$E$4:$E$33,U36)+MIN(10,MAX(0,N(Q36)))*INDEX('Tender Setup'!$F$4:$F$33,U36)+MIN(10,MAX(0,N(R36)))*INDEX('Tender Setup'!$G$4:$G$33,U36)+MIN(10,MAX(0,N(S36)))*INDEX('Tender Setup'!$H$4:$H$33,U36))/10)</f>
        <v/>
      </c>
      <c r="Z36" s="11">
        <f>IF(B36="","",IF(I36&lt;&gt;"Yes",0,IF(N(INDEX('Tender Setup'!$I$4:$I$33,U36))=0,0,(X36+Y36)*100/INDEX('Tender Setup'!$I$4:$I$33,U36))))</f>
        <v/>
      </c>
      <c r="AA36" s="7">
        <f>IF(B36="","",IF(I36&lt;&gt;"Yes","Excluded",COUNTIFS(T$4:T$103,T36,I$4:I$103,"Yes",Z$4:Z$103,"&gt;"&amp;Z36)+1))</f>
        <v/>
      </c>
      <c r="AB36" s="7">
        <f>IF(I36&lt;&gt;"Yes","",IF(AND(COUNTIFS(T$4:T$103,T36,I$4:I$103,"Yes")&gt;=2,N36&lt;W36*(1-Settings!$B$12)),"Well under median: check scope",""))</f>
        <v/>
      </c>
      <c r="AC36" s="36">
        <f>IF(B36="","",TRIM(IF(COUNTIF(D36:H36,"Yes")&lt;5,"Compliance gates not all Yes. ","")&amp;IF(SUMPRODUCT(--ISTEXT(J36:M36))&gt;0,"A price cell holds text, not a number. ","")&amp;IF(N(J36)&lt;=0,"No quoted price. ",IF(N(N36)&lt;=0,"Levelled price is $0 or less. ",""))&amp;IF(U36=0,"Package isn't on the Packages tab. ","")&amp;IF(SUMPRODUCT(ISTEXT(O36:S36)+(O36:S36&lt;0)+(O36:S36&gt;10))&gt;0,"Scores must be 0 to 10 (capped). ","")&amp;IF(AND(AA36=1,COUNTIFS(T$4:T$103,T36,AA$4:AA$103,1)&gt;1),"Tied for 1st: ask both for clarifications. ","")))</f>
        <v/>
      </c>
      <c r="AD36" s="7">
        <f>T36&amp;"|"&amp;AA36</f>
        <v/>
      </c>
      <c r="AE36" s="22" t="n"/>
      <c r="AF36" s="23" t="n"/>
    </row>
    <row r="37">
      <c r="A37" s="22" t="n"/>
      <c r="B37" s="22" t="n"/>
      <c r="C37" s="24" t="n"/>
      <c r="D37" s="22" t="n"/>
      <c r="E37" s="22" t="n"/>
      <c r="F37" s="22" t="n"/>
      <c r="G37" s="22" t="n"/>
      <c r="H37" s="22" t="n"/>
      <c r="I37" s="7">
        <f>IF(B37="","",IF(AND(COUNTIF(D37:H37,"Yes")=5,SUMPRODUCT(--ISTEXT(J37:M37))=0,N(J37)&gt;0,N(N37)&gt;0,U37&gt;0),"Yes","No"))</f>
        <v/>
      </c>
      <c r="J37" s="33" t="n"/>
      <c r="K37" s="33" t="n"/>
      <c r="L37" s="33" t="n"/>
      <c r="M37" s="33" t="n"/>
      <c r="N37" s="9">
        <f>IF(B37="","",N(J37)+N(K37)+N(L37)+N(M37))</f>
        <v/>
      </c>
      <c r="O37" s="22" t="n"/>
      <c r="P37" s="22" t="n"/>
      <c r="Q37" s="22" t="n"/>
      <c r="R37" s="22" t="n"/>
      <c r="S37" s="22" t="n"/>
      <c r="T37" s="7">
        <f>IF(A37="","",LEFT(A37,2))</f>
        <v/>
      </c>
      <c r="U37" s="7">
        <f>IF(A37="",0,IFERROR(MATCH(LEFT(A37,3)&amp;"*",'Tender Setup'!$A$4:$A$33,0),0))</f>
        <v/>
      </c>
      <c r="V37" s="9">
        <f t="array" ref="V37">IF(I37&lt;&gt;"Yes","",MIN(IF((T$4:T$103=T37)*(I$4:I$103="Yes"),N$4:N$103)))</f>
        <v/>
      </c>
      <c r="W37" s="9">
        <f t="array" ref="W37">IF(I37&lt;&gt;"Yes","",MEDIAN(IF((T$4:T$103=T37)*(I$4:I$103="Yes"),N$4:N$103)))</f>
        <v/>
      </c>
      <c r="X37" s="11">
        <f>IF(I37&lt;&gt;"Yes",0,V37/N37*INDEX('Tender Setup'!$C$4:$C$33,U37))</f>
        <v/>
      </c>
      <c r="Y37" s="11">
        <f>IF(I37&lt;&gt;"Yes",0,(MIN(10,MAX(0,N(O37)))*INDEX('Tender Setup'!$D$4:$D$33,U37)+MIN(10,MAX(0,N(P37)))*INDEX('Tender Setup'!$E$4:$E$33,U37)+MIN(10,MAX(0,N(Q37)))*INDEX('Tender Setup'!$F$4:$F$33,U37)+MIN(10,MAX(0,N(R37)))*INDEX('Tender Setup'!$G$4:$G$33,U37)+MIN(10,MAX(0,N(S37)))*INDEX('Tender Setup'!$H$4:$H$33,U37))/10)</f>
        <v/>
      </c>
      <c r="Z37" s="11">
        <f>IF(B37="","",IF(I37&lt;&gt;"Yes",0,IF(N(INDEX('Tender Setup'!$I$4:$I$33,U37))=0,0,(X37+Y37)*100/INDEX('Tender Setup'!$I$4:$I$33,U37))))</f>
        <v/>
      </c>
      <c r="AA37" s="7">
        <f>IF(B37="","",IF(I37&lt;&gt;"Yes","Excluded",COUNTIFS(T$4:T$103,T37,I$4:I$103,"Yes",Z$4:Z$103,"&gt;"&amp;Z37)+1))</f>
        <v/>
      </c>
      <c r="AB37" s="7">
        <f>IF(I37&lt;&gt;"Yes","",IF(AND(COUNTIFS(T$4:T$103,T37,I$4:I$103,"Yes")&gt;=2,N37&lt;W37*(1-Settings!$B$12)),"Well under median: check scope",""))</f>
        <v/>
      </c>
      <c r="AC37" s="36">
        <f>IF(B37="","",TRIM(IF(COUNTIF(D37:H37,"Yes")&lt;5,"Compliance gates not all Yes. ","")&amp;IF(SUMPRODUCT(--ISTEXT(J37:M37))&gt;0,"A price cell holds text, not a number. ","")&amp;IF(N(J37)&lt;=0,"No quoted price. ",IF(N(N37)&lt;=0,"Levelled price is $0 or less. ",""))&amp;IF(U37=0,"Package isn't on the Packages tab. ","")&amp;IF(SUMPRODUCT(ISTEXT(O37:S37)+(O37:S37&lt;0)+(O37:S37&gt;10))&gt;0,"Scores must be 0 to 10 (capped). ","")&amp;IF(AND(AA37=1,COUNTIFS(T$4:T$103,T37,AA$4:AA$103,1)&gt;1),"Tied for 1st: ask both for clarifications. ","")))</f>
        <v/>
      </c>
      <c r="AD37" s="7">
        <f>T37&amp;"|"&amp;AA37</f>
        <v/>
      </c>
      <c r="AE37" s="22" t="n"/>
      <c r="AF37" s="23" t="n"/>
    </row>
    <row r="38">
      <c r="A38" s="22" t="n"/>
      <c r="B38" s="22" t="n"/>
      <c r="C38" s="24" t="n"/>
      <c r="D38" s="22" t="n"/>
      <c r="E38" s="22" t="n"/>
      <c r="F38" s="22" t="n"/>
      <c r="G38" s="22" t="n"/>
      <c r="H38" s="22" t="n"/>
      <c r="I38" s="7">
        <f>IF(B38="","",IF(AND(COUNTIF(D38:H38,"Yes")=5,SUMPRODUCT(--ISTEXT(J38:M38))=0,N(J38)&gt;0,N(N38)&gt;0,U38&gt;0),"Yes","No"))</f>
        <v/>
      </c>
      <c r="J38" s="33" t="n"/>
      <c r="K38" s="33" t="n"/>
      <c r="L38" s="33" t="n"/>
      <c r="M38" s="33" t="n"/>
      <c r="N38" s="9">
        <f>IF(B38="","",N(J38)+N(K38)+N(L38)+N(M38))</f>
        <v/>
      </c>
      <c r="O38" s="22" t="n"/>
      <c r="P38" s="22" t="n"/>
      <c r="Q38" s="22" t="n"/>
      <c r="R38" s="22" t="n"/>
      <c r="S38" s="22" t="n"/>
      <c r="T38" s="7">
        <f>IF(A38="","",LEFT(A38,2))</f>
        <v/>
      </c>
      <c r="U38" s="7">
        <f>IF(A38="",0,IFERROR(MATCH(LEFT(A38,3)&amp;"*",'Tender Setup'!$A$4:$A$33,0),0))</f>
        <v/>
      </c>
      <c r="V38" s="9">
        <f t="array" ref="V38">IF(I38&lt;&gt;"Yes","",MIN(IF((T$4:T$103=T38)*(I$4:I$103="Yes"),N$4:N$103)))</f>
        <v/>
      </c>
      <c r="W38" s="9">
        <f t="array" ref="W38">IF(I38&lt;&gt;"Yes","",MEDIAN(IF((T$4:T$103=T38)*(I$4:I$103="Yes"),N$4:N$103)))</f>
        <v/>
      </c>
      <c r="X38" s="11">
        <f>IF(I38&lt;&gt;"Yes",0,V38/N38*INDEX('Tender Setup'!$C$4:$C$33,U38))</f>
        <v/>
      </c>
      <c r="Y38" s="11">
        <f>IF(I38&lt;&gt;"Yes",0,(MIN(10,MAX(0,N(O38)))*INDEX('Tender Setup'!$D$4:$D$33,U38)+MIN(10,MAX(0,N(P38)))*INDEX('Tender Setup'!$E$4:$E$33,U38)+MIN(10,MAX(0,N(Q38)))*INDEX('Tender Setup'!$F$4:$F$33,U38)+MIN(10,MAX(0,N(R38)))*INDEX('Tender Setup'!$G$4:$G$33,U38)+MIN(10,MAX(0,N(S38)))*INDEX('Tender Setup'!$H$4:$H$33,U38))/10)</f>
        <v/>
      </c>
      <c r="Z38" s="11">
        <f>IF(B38="","",IF(I38&lt;&gt;"Yes",0,IF(N(INDEX('Tender Setup'!$I$4:$I$33,U38))=0,0,(X38+Y38)*100/INDEX('Tender Setup'!$I$4:$I$33,U38))))</f>
        <v/>
      </c>
      <c r="AA38" s="7">
        <f>IF(B38="","",IF(I38&lt;&gt;"Yes","Excluded",COUNTIFS(T$4:T$103,T38,I$4:I$103,"Yes",Z$4:Z$103,"&gt;"&amp;Z38)+1))</f>
        <v/>
      </c>
      <c r="AB38" s="7">
        <f>IF(I38&lt;&gt;"Yes","",IF(AND(COUNTIFS(T$4:T$103,T38,I$4:I$103,"Yes")&gt;=2,N38&lt;W38*(1-Settings!$B$12)),"Well under median: check scope",""))</f>
        <v/>
      </c>
      <c r="AC38" s="36">
        <f>IF(B38="","",TRIM(IF(COUNTIF(D38:H38,"Yes")&lt;5,"Compliance gates not all Yes. ","")&amp;IF(SUMPRODUCT(--ISTEXT(J38:M38))&gt;0,"A price cell holds text, not a number. ","")&amp;IF(N(J38)&lt;=0,"No quoted price. ",IF(N(N38)&lt;=0,"Levelled price is $0 or less. ",""))&amp;IF(U38=0,"Package isn't on the Packages tab. ","")&amp;IF(SUMPRODUCT(ISTEXT(O38:S38)+(O38:S38&lt;0)+(O38:S38&gt;10))&gt;0,"Scores must be 0 to 10 (capped). ","")&amp;IF(AND(AA38=1,COUNTIFS(T$4:T$103,T38,AA$4:AA$103,1)&gt;1),"Tied for 1st: ask both for clarifications. ","")))</f>
        <v/>
      </c>
      <c r="AD38" s="7">
        <f>T38&amp;"|"&amp;AA38</f>
        <v/>
      </c>
      <c r="AE38" s="22" t="n"/>
      <c r="AF38" s="23" t="n"/>
    </row>
    <row r="39">
      <c r="A39" s="22" t="n"/>
      <c r="B39" s="22" t="n"/>
      <c r="C39" s="24" t="n"/>
      <c r="D39" s="22" t="n"/>
      <c r="E39" s="22" t="n"/>
      <c r="F39" s="22" t="n"/>
      <c r="G39" s="22" t="n"/>
      <c r="H39" s="22" t="n"/>
      <c r="I39" s="7">
        <f>IF(B39="","",IF(AND(COUNTIF(D39:H39,"Yes")=5,SUMPRODUCT(--ISTEXT(J39:M39))=0,N(J39)&gt;0,N(N39)&gt;0,U39&gt;0),"Yes","No"))</f>
        <v/>
      </c>
      <c r="J39" s="33" t="n"/>
      <c r="K39" s="33" t="n"/>
      <c r="L39" s="33" t="n"/>
      <c r="M39" s="33" t="n"/>
      <c r="N39" s="9">
        <f>IF(B39="","",N(J39)+N(K39)+N(L39)+N(M39))</f>
        <v/>
      </c>
      <c r="O39" s="22" t="n"/>
      <c r="P39" s="22" t="n"/>
      <c r="Q39" s="22" t="n"/>
      <c r="R39" s="22" t="n"/>
      <c r="S39" s="22" t="n"/>
      <c r="T39" s="7">
        <f>IF(A39="","",LEFT(A39,2))</f>
        <v/>
      </c>
      <c r="U39" s="7">
        <f>IF(A39="",0,IFERROR(MATCH(LEFT(A39,3)&amp;"*",'Tender Setup'!$A$4:$A$33,0),0))</f>
        <v/>
      </c>
      <c r="V39" s="9">
        <f t="array" ref="V39">IF(I39&lt;&gt;"Yes","",MIN(IF((T$4:T$103=T39)*(I$4:I$103="Yes"),N$4:N$103)))</f>
        <v/>
      </c>
      <c r="W39" s="9">
        <f t="array" ref="W39">IF(I39&lt;&gt;"Yes","",MEDIAN(IF((T$4:T$103=T39)*(I$4:I$103="Yes"),N$4:N$103)))</f>
        <v/>
      </c>
      <c r="X39" s="11">
        <f>IF(I39&lt;&gt;"Yes",0,V39/N39*INDEX('Tender Setup'!$C$4:$C$33,U39))</f>
        <v/>
      </c>
      <c r="Y39" s="11">
        <f>IF(I39&lt;&gt;"Yes",0,(MIN(10,MAX(0,N(O39)))*INDEX('Tender Setup'!$D$4:$D$33,U39)+MIN(10,MAX(0,N(P39)))*INDEX('Tender Setup'!$E$4:$E$33,U39)+MIN(10,MAX(0,N(Q39)))*INDEX('Tender Setup'!$F$4:$F$33,U39)+MIN(10,MAX(0,N(R39)))*INDEX('Tender Setup'!$G$4:$G$33,U39)+MIN(10,MAX(0,N(S39)))*INDEX('Tender Setup'!$H$4:$H$33,U39))/10)</f>
        <v/>
      </c>
      <c r="Z39" s="11">
        <f>IF(B39="","",IF(I39&lt;&gt;"Yes",0,IF(N(INDEX('Tender Setup'!$I$4:$I$33,U39))=0,0,(X39+Y39)*100/INDEX('Tender Setup'!$I$4:$I$33,U39))))</f>
        <v/>
      </c>
      <c r="AA39" s="7">
        <f>IF(B39="","",IF(I39&lt;&gt;"Yes","Excluded",COUNTIFS(T$4:T$103,T39,I$4:I$103,"Yes",Z$4:Z$103,"&gt;"&amp;Z39)+1))</f>
        <v/>
      </c>
      <c r="AB39" s="7">
        <f>IF(I39&lt;&gt;"Yes","",IF(AND(COUNTIFS(T$4:T$103,T39,I$4:I$103,"Yes")&gt;=2,N39&lt;W39*(1-Settings!$B$12)),"Well under median: check scope",""))</f>
        <v/>
      </c>
      <c r="AC39" s="36">
        <f>IF(B39="","",TRIM(IF(COUNTIF(D39:H39,"Yes")&lt;5,"Compliance gates not all Yes. ","")&amp;IF(SUMPRODUCT(--ISTEXT(J39:M39))&gt;0,"A price cell holds text, not a number. ","")&amp;IF(N(J39)&lt;=0,"No quoted price. ",IF(N(N39)&lt;=0,"Levelled price is $0 or less. ",""))&amp;IF(U39=0,"Package isn't on the Packages tab. ","")&amp;IF(SUMPRODUCT(ISTEXT(O39:S39)+(O39:S39&lt;0)+(O39:S39&gt;10))&gt;0,"Scores must be 0 to 10 (capped). ","")&amp;IF(AND(AA39=1,COUNTIFS(T$4:T$103,T39,AA$4:AA$103,1)&gt;1),"Tied for 1st: ask both for clarifications. ","")))</f>
        <v/>
      </c>
      <c r="AD39" s="7">
        <f>T39&amp;"|"&amp;AA39</f>
        <v/>
      </c>
      <c r="AE39" s="22" t="n"/>
      <c r="AF39" s="23" t="n"/>
    </row>
    <row r="40">
      <c r="A40" s="22" t="n"/>
      <c r="B40" s="22" t="n"/>
      <c r="C40" s="24" t="n"/>
      <c r="D40" s="22" t="n"/>
      <c r="E40" s="22" t="n"/>
      <c r="F40" s="22" t="n"/>
      <c r="G40" s="22" t="n"/>
      <c r="H40" s="22" t="n"/>
      <c r="I40" s="7">
        <f>IF(B40="","",IF(AND(COUNTIF(D40:H40,"Yes")=5,SUMPRODUCT(--ISTEXT(J40:M40))=0,N(J40)&gt;0,N(N40)&gt;0,U40&gt;0),"Yes","No"))</f>
        <v/>
      </c>
      <c r="J40" s="33" t="n"/>
      <c r="K40" s="33" t="n"/>
      <c r="L40" s="33" t="n"/>
      <c r="M40" s="33" t="n"/>
      <c r="N40" s="9">
        <f>IF(B40="","",N(J40)+N(K40)+N(L40)+N(M40))</f>
        <v/>
      </c>
      <c r="O40" s="22" t="n"/>
      <c r="P40" s="22" t="n"/>
      <c r="Q40" s="22" t="n"/>
      <c r="R40" s="22" t="n"/>
      <c r="S40" s="22" t="n"/>
      <c r="T40" s="7">
        <f>IF(A40="","",LEFT(A40,2))</f>
        <v/>
      </c>
      <c r="U40" s="7">
        <f>IF(A40="",0,IFERROR(MATCH(LEFT(A40,3)&amp;"*",'Tender Setup'!$A$4:$A$33,0),0))</f>
        <v/>
      </c>
      <c r="V40" s="9">
        <f t="array" ref="V40">IF(I40&lt;&gt;"Yes","",MIN(IF((T$4:T$103=T40)*(I$4:I$103="Yes"),N$4:N$103)))</f>
        <v/>
      </c>
      <c r="W40" s="9">
        <f t="array" ref="W40">IF(I40&lt;&gt;"Yes","",MEDIAN(IF((T$4:T$103=T40)*(I$4:I$103="Yes"),N$4:N$103)))</f>
        <v/>
      </c>
      <c r="X40" s="11">
        <f>IF(I40&lt;&gt;"Yes",0,V40/N40*INDEX('Tender Setup'!$C$4:$C$33,U40))</f>
        <v/>
      </c>
      <c r="Y40" s="11">
        <f>IF(I40&lt;&gt;"Yes",0,(MIN(10,MAX(0,N(O40)))*INDEX('Tender Setup'!$D$4:$D$33,U40)+MIN(10,MAX(0,N(P40)))*INDEX('Tender Setup'!$E$4:$E$33,U40)+MIN(10,MAX(0,N(Q40)))*INDEX('Tender Setup'!$F$4:$F$33,U40)+MIN(10,MAX(0,N(R40)))*INDEX('Tender Setup'!$G$4:$G$33,U40)+MIN(10,MAX(0,N(S40)))*INDEX('Tender Setup'!$H$4:$H$33,U40))/10)</f>
        <v/>
      </c>
      <c r="Z40" s="11">
        <f>IF(B40="","",IF(I40&lt;&gt;"Yes",0,IF(N(INDEX('Tender Setup'!$I$4:$I$33,U40))=0,0,(X40+Y40)*100/INDEX('Tender Setup'!$I$4:$I$33,U40))))</f>
        <v/>
      </c>
      <c r="AA40" s="7">
        <f>IF(B40="","",IF(I40&lt;&gt;"Yes","Excluded",COUNTIFS(T$4:T$103,T40,I$4:I$103,"Yes",Z$4:Z$103,"&gt;"&amp;Z40)+1))</f>
        <v/>
      </c>
      <c r="AB40" s="7">
        <f>IF(I40&lt;&gt;"Yes","",IF(AND(COUNTIFS(T$4:T$103,T40,I$4:I$103,"Yes")&gt;=2,N40&lt;W40*(1-Settings!$B$12)),"Well under median: check scope",""))</f>
        <v/>
      </c>
      <c r="AC40" s="36">
        <f>IF(B40="","",TRIM(IF(COUNTIF(D40:H40,"Yes")&lt;5,"Compliance gates not all Yes. ","")&amp;IF(SUMPRODUCT(--ISTEXT(J40:M40))&gt;0,"A price cell holds text, not a number. ","")&amp;IF(N(J40)&lt;=0,"No quoted price. ",IF(N(N40)&lt;=0,"Levelled price is $0 or less. ",""))&amp;IF(U40=0,"Package isn't on the Packages tab. ","")&amp;IF(SUMPRODUCT(ISTEXT(O40:S40)+(O40:S40&lt;0)+(O40:S40&gt;10))&gt;0,"Scores must be 0 to 10 (capped). ","")&amp;IF(AND(AA40=1,COUNTIFS(T$4:T$103,T40,AA$4:AA$103,1)&gt;1),"Tied for 1st: ask both for clarifications. ","")))</f>
        <v/>
      </c>
      <c r="AD40" s="7">
        <f>T40&amp;"|"&amp;AA40</f>
        <v/>
      </c>
      <c r="AE40" s="22" t="n"/>
      <c r="AF40" s="23" t="n"/>
    </row>
    <row r="41">
      <c r="A41" s="22" t="n"/>
      <c r="B41" s="22" t="n"/>
      <c r="C41" s="24" t="n"/>
      <c r="D41" s="22" t="n"/>
      <c r="E41" s="22" t="n"/>
      <c r="F41" s="22" t="n"/>
      <c r="G41" s="22" t="n"/>
      <c r="H41" s="22" t="n"/>
      <c r="I41" s="7">
        <f>IF(B41="","",IF(AND(COUNTIF(D41:H41,"Yes")=5,SUMPRODUCT(--ISTEXT(J41:M41))=0,N(J41)&gt;0,N(N41)&gt;0,U41&gt;0),"Yes","No"))</f>
        <v/>
      </c>
      <c r="J41" s="33" t="n"/>
      <c r="K41" s="33" t="n"/>
      <c r="L41" s="33" t="n"/>
      <c r="M41" s="33" t="n"/>
      <c r="N41" s="9">
        <f>IF(B41="","",N(J41)+N(K41)+N(L41)+N(M41))</f>
        <v/>
      </c>
      <c r="O41" s="22" t="n"/>
      <c r="P41" s="22" t="n"/>
      <c r="Q41" s="22" t="n"/>
      <c r="R41" s="22" t="n"/>
      <c r="S41" s="22" t="n"/>
      <c r="T41" s="7">
        <f>IF(A41="","",LEFT(A41,2))</f>
        <v/>
      </c>
      <c r="U41" s="7">
        <f>IF(A41="",0,IFERROR(MATCH(LEFT(A41,3)&amp;"*",'Tender Setup'!$A$4:$A$33,0),0))</f>
        <v/>
      </c>
      <c r="V41" s="9">
        <f t="array" ref="V41">IF(I41&lt;&gt;"Yes","",MIN(IF((T$4:T$103=T41)*(I$4:I$103="Yes"),N$4:N$103)))</f>
        <v/>
      </c>
      <c r="W41" s="9">
        <f t="array" ref="W41">IF(I41&lt;&gt;"Yes","",MEDIAN(IF((T$4:T$103=T41)*(I$4:I$103="Yes"),N$4:N$103)))</f>
        <v/>
      </c>
      <c r="X41" s="11">
        <f>IF(I41&lt;&gt;"Yes",0,V41/N41*INDEX('Tender Setup'!$C$4:$C$33,U41))</f>
        <v/>
      </c>
      <c r="Y41" s="11">
        <f>IF(I41&lt;&gt;"Yes",0,(MIN(10,MAX(0,N(O41)))*INDEX('Tender Setup'!$D$4:$D$33,U41)+MIN(10,MAX(0,N(P41)))*INDEX('Tender Setup'!$E$4:$E$33,U41)+MIN(10,MAX(0,N(Q41)))*INDEX('Tender Setup'!$F$4:$F$33,U41)+MIN(10,MAX(0,N(R41)))*INDEX('Tender Setup'!$G$4:$G$33,U41)+MIN(10,MAX(0,N(S41)))*INDEX('Tender Setup'!$H$4:$H$33,U41))/10)</f>
        <v/>
      </c>
      <c r="Z41" s="11">
        <f>IF(B41="","",IF(I41&lt;&gt;"Yes",0,IF(N(INDEX('Tender Setup'!$I$4:$I$33,U41))=0,0,(X41+Y41)*100/INDEX('Tender Setup'!$I$4:$I$33,U41))))</f>
        <v/>
      </c>
      <c r="AA41" s="7">
        <f>IF(B41="","",IF(I41&lt;&gt;"Yes","Excluded",COUNTIFS(T$4:T$103,T41,I$4:I$103,"Yes",Z$4:Z$103,"&gt;"&amp;Z41)+1))</f>
        <v/>
      </c>
      <c r="AB41" s="7">
        <f>IF(I41&lt;&gt;"Yes","",IF(AND(COUNTIFS(T$4:T$103,T41,I$4:I$103,"Yes")&gt;=2,N41&lt;W41*(1-Settings!$B$12)),"Well under median: check scope",""))</f>
        <v/>
      </c>
      <c r="AC41" s="36">
        <f>IF(B41="","",TRIM(IF(COUNTIF(D41:H41,"Yes")&lt;5,"Compliance gates not all Yes. ","")&amp;IF(SUMPRODUCT(--ISTEXT(J41:M41))&gt;0,"A price cell holds text, not a number. ","")&amp;IF(N(J41)&lt;=0,"No quoted price. ",IF(N(N41)&lt;=0,"Levelled price is $0 or less. ",""))&amp;IF(U41=0,"Package isn't on the Packages tab. ","")&amp;IF(SUMPRODUCT(ISTEXT(O41:S41)+(O41:S41&lt;0)+(O41:S41&gt;10))&gt;0,"Scores must be 0 to 10 (capped). ","")&amp;IF(AND(AA41=1,COUNTIFS(T$4:T$103,T41,AA$4:AA$103,1)&gt;1),"Tied for 1st: ask both for clarifications. ","")))</f>
        <v/>
      </c>
      <c r="AD41" s="7">
        <f>T41&amp;"|"&amp;AA41</f>
        <v/>
      </c>
      <c r="AE41" s="22" t="n"/>
      <c r="AF41" s="23" t="n"/>
    </row>
    <row r="42">
      <c r="A42" s="22" t="n"/>
      <c r="B42" s="22" t="n"/>
      <c r="C42" s="24" t="n"/>
      <c r="D42" s="22" t="n"/>
      <c r="E42" s="22" t="n"/>
      <c r="F42" s="22" t="n"/>
      <c r="G42" s="22" t="n"/>
      <c r="H42" s="22" t="n"/>
      <c r="I42" s="7">
        <f>IF(B42="","",IF(AND(COUNTIF(D42:H42,"Yes")=5,SUMPRODUCT(--ISTEXT(J42:M42))=0,N(J42)&gt;0,N(N42)&gt;0,U42&gt;0),"Yes","No"))</f>
        <v/>
      </c>
      <c r="J42" s="33" t="n"/>
      <c r="K42" s="33" t="n"/>
      <c r="L42" s="33" t="n"/>
      <c r="M42" s="33" t="n"/>
      <c r="N42" s="9">
        <f>IF(B42="","",N(J42)+N(K42)+N(L42)+N(M42))</f>
        <v/>
      </c>
      <c r="O42" s="22" t="n"/>
      <c r="P42" s="22" t="n"/>
      <c r="Q42" s="22" t="n"/>
      <c r="R42" s="22" t="n"/>
      <c r="S42" s="22" t="n"/>
      <c r="T42" s="7">
        <f>IF(A42="","",LEFT(A42,2))</f>
        <v/>
      </c>
      <c r="U42" s="7">
        <f>IF(A42="",0,IFERROR(MATCH(LEFT(A42,3)&amp;"*",'Tender Setup'!$A$4:$A$33,0),0))</f>
        <v/>
      </c>
      <c r="V42" s="9">
        <f t="array" ref="V42">IF(I42&lt;&gt;"Yes","",MIN(IF((T$4:T$103=T42)*(I$4:I$103="Yes"),N$4:N$103)))</f>
        <v/>
      </c>
      <c r="W42" s="9">
        <f t="array" ref="W42">IF(I42&lt;&gt;"Yes","",MEDIAN(IF((T$4:T$103=T42)*(I$4:I$103="Yes"),N$4:N$103)))</f>
        <v/>
      </c>
      <c r="X42" s="11">
        <f>IF(I42&lt;&gt;"Yes",0,V42/N42*INDEX('Tender Setup'!$C$4:$C$33,U42))</f>
        <v/>
      </c>
      <c r="Y42" s="11">
        <f>IF(I42&lt;&gt;"Yes",0,(MIN(10,MAX(0,N(O42)))*INDEX('Tender Setup'!$D$4:$D$33,U42)+MIN(10,MAX(0,N(P42)))*INDEX('Tender Setup'!$E$4:$E$33,U42)+MIN(10,MAX(0,N(Q42)))*INDEX('Tender Setup'!$F$4:$F$33,U42)+MIN(10,MAX(0,N(R42)))*INDEX('Tender Setup'!$G$4:$G$33,U42)+MIN(10,MAX(0,N(S42)))*INDEX('Tender Setup'!$H$4:$H$33,U42))/10)</f>
        <v/>
      </c>
      <c r="Z42" s="11">
        <f>IF(B42="","",IF(I42&lt;&gt;"Yes",0,IF(N(INDEX('Tender Setup'!$I$4:$I$33,U42))=0,0,(X42+Y42)*100/INDEX('Tender Setup'!$I$4:$I$33,U42))))</f>
        <v/>
      </c>
      <c r="AA42" s="7">
        <f>IF(B42="","",IF(I42&lt;&gt;"Yes","Excluded",COUNTIFS(T$4:T$103,T42,I$4:I$103,"Yes",Z$4:Z$103,"&gt;"&amp;Z42)+1))</f>
        <v/>
      </c>
      <c r="AB42" s="7">
        <f>IF(I42&lt;&gt;"Yes","",IF(AND(COUNTIFS(T$4:T$103,T42,I$4:I$103,"Yes")&gt;=2,N42&lt;W42*(1-Settings!$B$12)),"Well under median: check scope",""))</f>
        <v/>
      </c>
      <c r="AC42" s="36">
        <f>IF(B42="","",TRIM(IF(COUNTIF(D42:H42,"Yes")&lt;5,"Compliance gates not all Yes. ","")&amp;IF(SUMPRODUCT(--ISTEXT(J42:M42))&gt;0,"A price cell holds text, not a number. ","")&amp;IF(N(J42)&lt;=0,"No quoted price. ",IF(N(N42)&lt;=0,"Levelled price is $0 or less. ",""))&amp;IF(U42=0,"Package isn't on the Packages tab. ","")&amp;IF(SUMPRODUCT(ISTEXT(O42:S42)+(O42:S42&lt;0)+(O42:S42&gt;10))&gt;0,"Scores must be 0 to 10 (capped). ","")&amp;IF(AND(AA42=1,COUNTIFS(T$4:T$103,T42,AA$4:AA$103,1)&gt;1),"Tied for 1st: ask both for clarifications. ","")))</f>
        <v/>
      </c>
      <c r="AD42" s="7">
        <f>T42&amp;"|"&amp;AA42</f>
        <v/>
      </c>
      <c r="AE42" s="22" t="n"/>
      <c r="AF42" s="23" t="n"/>
    </row>
    <row r="43">
      <c r="A43" s="22" t="n"/>
      <c r="B43" s="22" t="n"/>
      <c r="C43" s="24" t="n"/>
      <c r="D43" s="22" t="n"/>
      <c r="E43" s="22" t="n"/>
      <c r="F43" s="22" t="n"/>
      <c r="G43" s="22" t="n"/>
      <c r="H43" s="22" t="n"/>
      <c r="I43" s="7">
        <f>IF(B43="","",IF(AND(COUNTIF(D43:H43,"Yes")=5,SUMPRODUCT(--ISTEXT(J43:M43))=0,N(J43)&gt;0,N(N43)&gt;0,U43&gt;0),"Yes","No"))</f>
        <v/>
      </c>
      <c r="J43" s="33" t="n"/>
      <c r="K43" s="33" t="n"/>
      <c r="L43" s="33" t="n"/>
      <c r="M43" s="33" t="n"/>
      <c r="N43" s="9">
        <f>IF(B43="","",N(J43)+N(K43)+N(L43)+N(M43))</f>
        <v/>
      </c>
      <c r="O43" s="22" t="n"/>
      <c r="P43" s="22" t="n"/>
      <c r="Q43" s="22" t="n"/>
      <c r="R43" s="22" t="n"/>
      <c r="S43" s="22" t="n"/>
      <c r="T43" s="7">
        <f>IF(A43="","",LEFT(A43,2))</f>
        <v/>
      </c>
      <c r="U43" s="7">
        <f>IF(A43="",0,IFERROR(MATCH(LEFT(A43,3)&amp;"*",'Tender Setup'!$A$4:$A$33,0),0))</f>
        <v/>
      </c>
      <c r="V43" s="9">
        <f t="array" ref="V43">IF(I43&lt;&gt;"Yes","",MIN(IF((T$4:T$103=T43)*(I$4:I$103="Yes"),N$4:N$103)))</f>
        <v/>
      </c>
      <c r="W43" s="9">
        <f t="array" ref="W43">IF(I43&lt;&gt;"Yes","",MEDIAN(IF((T$4:T$103=T43)*(I$4:I$103="Yes"),N$4:N$103)))</f>
        <v/>
      </c>
      <c r="X43" s="11">
        <f>IF(I43&lt;&gt;"Yes",0,V43/N43*INDEX('Tender Setup'!$C$4:$C$33,U43))</f>
        <v/>
      </c>
      <c r="Y43" s="11">
        <f>IF(I43&lt;&gt;"Yes",0,(MIN(10,MAX(0,N(O43)))*INDEX('Tender Setup'!$D$4:$D$33,U43)+MIN(10,MAX(0,N(P43)))*INDEX('Tender Setup'!$E$4:$E$33,U43)+MIN(10,MAX(0,N(Q43)))*INDEX('Tender Setup'!$F$4:$F$33,U43)+MIN(10,MAX(0,N(R43)))*INDEX('Tender Setup'!$G$4:$G$33,U43)+MIN(10,MAX(0,N(S43)))*INDEX('Tender Setup'!$H$4:$H$33,U43))/10)</f>
        <v/>
      </c>
      <c r="Z43" s="11">
        <f>IF(B43="","",IF(I43&lt;&gt;"Yes",0,IF(N(INDEX('Tender Setup'!$I$4:$I$33,U43))=0,0,(X43+Y43)*100/INDEX('Tender Setup'!$I$4:$I$33,U43))))</f>
        <v/>
      </c>
      <c r="AA43" s="7">
        <f>IF(B43="","",IF(I43&lt;&gt;"Yes","Excluded",COUNTIFS(T$4:T$103,T43,I$4:I$103,"Yes",Z$4:Z$103,"&gt;"&amp;Z43)+1))</f>
        <v/>
      </c>
      <c r="AB43" s="7">
        <f>IF(I43&lt;&gt;"Yes","",IF(AND(COUNTIFS(T$4:T$103,T43,I$4:I$103,"Yes")&gt;=2,N43&lt;W43*(1-Settings!$B$12)),"Well under median: check scope",""))</f>
        <v/>
      </c>
      <c r="AC43" s="36">
        <f>IF(B43="","",TRIM(IF(COUNTIF(D43:H43,"Yes")&lt;5,"Compliance gates not all Yes. ","")&amp;IF(SUMPRODUCT(--ISTEXT(J43:M43))&gt;0,"A price cell holds text, not a number. ","")&amp;IF(N(J43)&lt;=0,"No quoted price. ",IF(N(N43)&lt;=0,"Levelled price is $0 or less. ",""))&amp;IF(U43=0,"Package isn't on the Packages tab. ","")&amp;IF(SUMPRODUCT(ISTEXT(O43:S43)+(O43:S43&lt;0)+(O43:S43&gt;10))&gt;0,"Scores must be 0 to 10 (capped). ","")&amp;IF(AND(AA43=1,COUNTIFS(T$4:T$103,T43,AA$4:AA$103,1)&gt;1),"Tied for 1st: ask both for clarifications. ","")))</f>
        <v/>
      </c>
      <c r="AD43" s="7">
        <f>T43&amp;"|"&amp;AA43</f>
        <v/>
      </c>
      <c r="AE43" s="22" t="n"/>
      <c r="AF43" s="23" t="n"/>
    </row>
    <row r="44">
      <c r="A44" s="22" t="n"/>
      <c r="B44" s="22" t="n"/>
      <c r="C44" s="24" t="n"/>
      <c r="D44" s="22" t="n"/>
      <c r="E44" s="22" t="n"/>
      <c r="F44" s="22" t="n"/>
      <c r="G44" s="22" t="n"/>
      <c r="H44" s="22" t="n"/>
      <c r="I44" s="7">
        <f>IF(B44="","",IF(AND(COUNTIF(D44:H44,"Yes")=5,SUMPRODUCT(--ISTEXT(J44:M44))=0,N(J44)&gt;0,N(N44)&gt;0,U44&gt;0),"Yes","No"))</f>
        <v/>
      </c>
      <c r="J44" s="33" t="n"/>
      <c r="K44" s="33" t="n"/>
      <c r="L44" s="33" t="n"/>
      <c r="M44" s="33" t="n"/>
      <c r="N44" s="9">
        <f>IF(B44="","",N(J44)+N(K44)+N(L44)+N(M44))</f>
        <v/>
      </c>
      <c r="O44" s="22" t="n"/>
      <c r="P44" s="22" t="n"/>
      <c r="Q44" s="22" t="n"/>
      <c r="R44" s="22" t="n"/>
      <c r="S44" s="22" t="n"/>
      <c r="T44" s="7">
        <f>IF(A44="","",LEFT(A44,2))</f>
        <v/>
      </c>
      <c r="U44" s="7">
        <f>IF(A44="",0,IFERROR(MATCH(LEFT(A44,3)&amp;"*",'Tender Setup'!$A$4:$A$33,0),0))</f>
        <v/>
      </c>
      <c r="V44" s="9">
        <f t="array" ref="V44">IF(I44&lt;&gt;"Yes","",MIN(IF((T$4:T$103=T44)*(I$4:I$103="Yes"),N$4:N$103)))</f>
        <v/>
      </c>
      <c r="W44" s="9">
        <f t="array" ref="W44">IF(I44&lt;&gt;"Yes","",MEDIAN(IF((T$4:T$103=T44)*(I$4:I$103="Yes"),N$4:N$103)))</f>
        <v/>
      </c>
      <c r="X44" s="11">
        <f>IF(I44&lt;&gt;"Yes",0,V44/N44*INDEX('Tender Setup'!$C$4:$C$33,U44))</f>
        <v/>
      </c>
      <c r="Y44" s="11">
        <f>IF(I44&lt;&gt;"Yes",0,(MIN(10,MAX(0,N(O44)))*INDEX('Tender Setup'!$D$4:$D$33,U44)+MIN(10,MAX(0,N(P44)))*INDEX('Tender Setup'!$E$4:$E$33,U44)+MIN(10,MAX(0,N(Q44)))*INDEX('Tender Setup'!$F$4:$F$33,U44)+MIN(10,MAX(0,N(R44)))*INDEX('Tender Setup'!$G$4:$G$33,U44)+MIN(10,MAX(0,N(S44)))*INDEX('Tender Setup'!$H$4:$H$33,U44))/10)</f>
        <v/>
      </c>
      <c r="Z44" s="11">
        <f>IF(B44="","",IF(I44&lt;&gt;"Yes",0,IF(N(INDEX('Tender Setup'!$I$4:$I$33,U44))=0,0,(X44+Y44)*100/INDEX('Tender Setup'!$I$4:$I$33,U44))))</f>
        <v/>
      </c>
      <c r="AA44" s="7">
        <f>IF(B44="","",IF(I44&lt;&gt;"Yes","Excluded",COUNTIFS(T$4:T$103,T44,I$4:I$103,"Yes",Z$4:Z$103,"&gt;"&amp;Z44)+1))</f>
        <v/>
      </c>
      <c r="AB44" s="7">
        <f>IF(I44&lt;&gt;"Yes","",IF(AND(COUNTIFS(T$4:T$103,T44,I$4:I$103,"Yes")&gt;=2,N44&lt;W44*(1-Settings!$B$12)),"Well under median: check scope",""))</f>
        <v/>
      </c>
      <c r="AC44" s="36">
        <f>IF(B44="","",TRIM(IF(COUNTIF(D44:H44,"Yes")&lt;5,"Compliance gates not all Yes. ","")&amp;IF(SUMPRODUCT(--ISTEXT(J44:M44))&gt;0,"A price cell holds text, not a number. ","")&amp;IF(N(J44)&lt;=0,"No quoted price. ",IF(N(N44)&lt;=0,"Levelled price is $0 or less. ",""))&amp;IF(U44=0,"Package isn't on the Packages tab. ","")&amp;IF(SUMPRODUCT(ISTEXT(O44:S44)+(O44:S44&lt;0)+(O44:S44&gt;10))&gt;0,"Scores must be 0 to 10 (capped). ","")&amp;IF(AND(AA44=1,COUNTIFS(T$4:T$103,T44,AA$4:AA$103,1)&gt;1),"Tied for 1st: ask both for clarifications. ","")))</f>
        <v/>
      </c>
      <c r="AD44" s="7">
        <f>T44&amp;"|"&amp;AA44</f>
        <v/>
      </c>
      <c r="AE44" s="22" t="n"/>
      <c r="AF44" s="23" t="n"/>
    </row>
    <row r="45">
      <c r="A45" s="22" t="n"/>
      <c r="B45" s="22" t="n"/>
      <c r="C45" s="24" t="n"/>
      <c r="D45" s="22" t="n"/>
      <c r="E45" s="22" t="n"/>
      <c r="F45" s="22" t="n"/>
      <c r="G45" s="22" t="n"/>
      <c r="H45" s="22" t="n"/>
      <c r="I45" s="7">
        <f>IF(B45="","",IF(AND(COUNTIF(D45:H45,"Yes")=5,SUMPRODUCT(--ISTEXT(J45:M45))=0,N(J45)&gt;0,N(N45)&gt;0,U45&gt;0),"Yes","No"))</f>
        <v/>
      </c>
      <c r="J45" s="33" t="n"/>
      <c r="K45" s="33" t="n"/>
      <c r="L45" s="33" t="n"/>
      <c r="M45" s="33" t="n"/>
      <c r="N45" s="9">
        <f>IF(B45="","",N(J45)+N(K45)+N(L45)+N(M45))</f>
        <v/>
      </c>
      <c r="O45" s="22" t="n"/>
      <c r="P45" s="22" t="n"/>
      <c r="Q45" s="22" t="n"/>
      <c r="R45" s="22" t="n"/>
      <c r="S45" s="22" t="n"/>
      <c r="T45" s="7">
        <f>IF(A45="","",LEFT(A45,2))</f>
        <v/>
      </c>
      <c r="U45" s="7">
        <f>IF(A45="",0,IFERROR(MATCH(LEFT(A45,3)&amp;"*",'Tender Setup'!$A$4:$A$33,0),0))</f>
        <v/>
      </c>
      <c r="V45" s="9">
        <f t="array" ref="V45">IF(I45&lt;&gt;"Yes","",MIN(IF((T$4:T$103=T45)*(I$4:I$103="Yes"),N$4:N$103)))</f>
        <v/>
      </c>
      <c r="W45" s="9">
        <f t="array" ref="W45">IF(I45&lt;&gt;"Yes","",MEDIAN(IF((T$4:T$103=T45)*(I$4:I$103="Yes"),N$4:N$103)))</f>
        <v/>
      </c>
      <c r="X45" s="11">
        <f>IF(I45&lt;&gt;"Yes",0,V45/N45*INDEX('Tender Setup'!$C$4:$C$33,U45))</f>
        <v/>
      </c>
      <c r="Y45" s="11">
        <f>IF(I45&lt;&gt;"Yes",0,(MIN(10,MAX(0,N(O45)))*INDEX('Tender Setup'!$D$4:$D$33,U45)+MIN(10,MAX(0,N(P45)))*INDEX('Tender Setup'!$E$4:$E$33,U45)+MIN(10,MAX(0,N(Q45)))*INDEX('Tender Setup'!$F$4:$F$33,U45)+MIN(10,MAX(0,N(R45)))*INDEX('Tender Setup'!$G$4:$G$33,U45)+MIN(10,MAX(0,N(S45)))*INDEX('Tender Setup'!$H$4:$H$33,U45))/10)</f>
        <v/>
      </c>
      <c r="Z45" s="11">
        <f>IF(B45="","",IF(I45&lt;&gt;"Yes",0,IF(N(INDEX('Tender Setup'!$I$4:$I$33,U45))=0,0,(X45+Y45)*100/INDEX('Tender Setup'!$I$4:$I$33,U45))))</f>
        <v/>
      </c>
      <c r="AA45" s="7">
        <f>IF(B45="","",IF(I45&lt;&gt;"Yes","Excluded",COUNTIFS(T$4:T$103,T45,I$4:I$103,"Yes",Z$4:Z$103,"&gt;"&amp;Z45)+1))</f>
        <v/>
      </c>
      <c r="AB45" s="7">
        <f>IF(I45&lt;&gt;"Yes","",IF(AND(COUNTIFS(T$4:T$103,T45,I$4:I$103,"Yes")&gt;=2,N45&lt;W45*(1-Settings!$B$12)),"Well under median: check scope",""))</f>
        <v/>
      </c>
      <c r="AC45" s="36">
        <f>IF(B45="","",TRIM(IF(COUNTIF(D45:H45,"Yes")&lt;5,"Compliance gates not all Yes. ","")&amp;IF(SUMPRODUCT(--ISTEXT(J45:M45))&gt;0,"A price cell holds text, not a number. ","")&amp;IF(N(J45)&lt;=0,"No quoted price. ",IF(N(N45)&lt;=0,"Levelled price is $0 or less. ",""))&amp;IF(U45=0,"Package isn't on the Packages tab. ","")&amp;IF(SUMPRODUCT(ISTEXT(O45:S45)+(O45:S45&lt;0)+(O45:S45&gt;10))&gt;0,"Scores must be 0 to 10 (capped). ","")&amp;IF(AND(AA45=1,COUNTIFS(T$4:T$103,T45,AA$4:AA$103,1)&gt;1),"Tied for 1st: ask both for clarifications. ","")))</f>
        <v/>
      </c>
      <c r="AD45" s="7">
        <f>T45&amp;"|"&amp;AA45</f>
        <v/>
      </c>
      <c r="AE45" s="22" t="n"/>
      <c r="AF45" s="23" t="n"/>
    </row>
    <row r="46">
      <c r="A46" s="22" t="n"/>
      <c r="B46" s="22" t="n"/>
      <c r="C46" s="24" t="n"/>
      <c r="D46" s="22" t="n"/>
      <c r="E46" s="22" t="n"/>
      <c r="F46" s="22" t="n"/>
      <c r="G46" s="22" t="n"/>
      <c r="H46" s="22" t="n"/>
      <c r="I46" s="7">
        <f>IF(B46="","",IF(AND(COUNTIF(D46:H46,"Yes")=5,SUMPRODUCT(--ISTEXT(J46:M46))=0,N(J46)&gt;0,N(N46)&gt;0,U46&gt;0),"Yes","No"))</f>
        <v/>
      </c>
      <c r="J46" s="33" t="n"/>
      <c r="K46" s="33" t="n"/>
      <c r="L46" s="33" t="n"/>
      <c r="M46" s="33" t="n"/>
      <c r="N46" s="9">
        <f>IF(B46="","",N(J46)+N(K46)+N(L46)+N(M46))</f>
        <v/>
      </c>
      <c r="O46" s="22" t="n"/>
      <c r="P46" s="22" t="n"/>
      <c r="Q46" s="22" t="n"/>
      <c r="R46" s="22" t="n"/>
      <c r="S46" s="22" t="n"/>
      <c r="T46" s="7">
        <f>IF(A46="","",LEFT(A46,2))</f>
        <v/>
      </c>
      <c r="U46" s="7">
        <f>IF(A46="",0,IFERROR(MATCH(LEFT(A46,3)&amp;"*",'Tender Setup'!$A$4:$A$33,0),0))</f>
        <v/>
      </c>
      <c r="V46" s="9">
        <f t="array" ref="V46">IF(I46&lt;&gt;"Yes","",MIN(IF((T$4:T$103=T46)*(I$4:I$103="Yes"),N$4:N$103)))</f>
        <v/>
      </c>
      <c r="W46" s="9">
        <f t="array" ref="W46">IF(I46&lt;&gt;"Yes","",MEDIAN(IF((T$4:T$103=T46)*(I$4:I$103="Yes"),N$4:N$103)))</f>
        <v/>
      </c>
      <c r="X46" s="11">
        <f>IF(I46&lt;&gt;"Yes",0,V46/N46*INDEX('Tender Setup'!$C$4:$C$33,U46))</f>
        <v/>
      </c>
      <c r="Y46" s="11">
        <f>IF(I46&lt;&gt;"Yes",0,(MIN(10,MAX(0,N(O46)))*INDEX('Tender Setup'!$D$4:$D$33,U46)+MIN(10,MAX(0,N(P46)))*INDEX('Tender Setup'!$E$4:$E$33,U46)+MIN(10,MAX(0,N(Q46)))*INDEX('Tender Setup'!$F$4:$F$33,U46)+MIN(10,MAX(0,N(R46)))*INDEX('Tender Setup'!$G$4:$G$33,U46)+MIN(10,MAX(0,N(S46)))*INDEX('Tender Setup'!$H$4:$H$33,U46))/10)</f>
        <v/>
      </c>
      <c r="Z46" s="11">
        <f>IF(B46="","",IF(I46&lt;&gt;"Yes",0,IF(N(INDEX('Tender Setup'!$I$4:$I$33,U46))=0,0,(X46+Y46)*100/INDEX('Tender Setup'!$I$4:$I$33,U46))))</f>
        <v/>
      </c>
      <c r="AA46" s="7">
        <f>IF(B46="","",IF(I46&lt;&gt;"Yes","Excluded",COUNTIFS(T$4:T$103,T46,I$4:I$103,"Yes",Z$4:Z$103,"&gt;"&amp;Z46)+1))</f>
        <v/>
      </c>
      <c r="AB46" s="7">
        <f>IF(I46&lt;&gt;"Yes","",IF(AND(COUNTIFS(T$4:T$103,T46,I$4:I$103,"Yes")&gt;=2,N46&lt;W46*(1-Settings!$B$12)),"Well under median: check scope",""))</f>
        <v/>
      </c>
      <c r="AC46" s="36">
        <f>IF(B46="","",TRIM(IF(COUNTIF(D46:H46,"Yes")&lt;5,"Compliance gates not all Yes. ","")&amp;IF(SUMPRODUCT(--ISTEXT(J46:M46))&gt;0,"A price cell holds text, not a number. ","")&amp;IF(N(J46)&lt;=0,"No quoted price. ",IF(N(N46)&lt;=0,"Levelled price is $0 or less. ",""))&amp;IF(U46=0,"Package isn't on the Packages tab. ","")&amp;IF(SUMPRODUCT(ISTEXT(O46:S46)+(O46:S46&lt;0)+(O46:S46&gt;10))&gt;0,"Scores must be 0 to 10 (capped). ","")&amp;IF(AND(AA46=1,COUNTIFS(T$4:T$103,T46,AA$4:AA$103,1)&gt;1),"Tied for 1st: ask both for clarifications. ","")))</f>
        <v/>
      </c>
      <c r="AD46" s="7">
        <f>T46&amp;"|"&amp;AA46</f>
        <v/>
      </c>
      <c r="AE46" s="22" t="n"/>
      <c r="AF46" s="23" t="n"/>
    </row>
    <row r="47">
      <c r="A47" s="22" t="n"/>
      <c r="B47" s="22" t="n"/>
      <c r="C47" s="24" t="n"/>
      <c r="D47" s="22" t="n"/>
      <c r="E47" s="22" t="n"/>
      <c r="F47" s="22" t="n"/>
      <c r="G47" s="22" t="n"/>
      <c r="H47" s="22" t="n"/>
      <c r="I47" s="7">
        <f>IF(B47="","",IF(AND(COUNTIF(D47:H47,"Yes")=5,SUMPRODUCT(--ISTEXT(J47:M47))=0,N(J47)&gt;0,N(N47)&gt;0,U47&gt;0),"Yes","No"))</f>
        <v/>
      </c>
      <c r="J47" s="33" t="n"/>
      <c r="K47" s="33" t="n"/>
      <c r="L47" s="33" t="n"/>
      <c r="M47" s="33" t="n"/>
      <c r="N47" s="9">
        <f>IF(B47="","",N(J47)+N(K47)+N(L47)+N(M47))</f>
        <v/>
      </c>
      <c r="O47" s="22" t="n"/>
      <c r="P47" s="22" t="n"/>
      <c r="Q47" s="22" t="n"/>
      <c r="R47" s="22" t="n"/>
      <c r="S47" s="22" t="n"/>
      <c r="T47" s="7">
        <f>IF(A47="","",LEFT(A47,2))</f>
        <v/>
      </c>
      <c r="U47" s="7">
        <f>IF(A47="",0,IFERROR(MATCH(LEFT(A47,3)&amp;"*",'Tender Setup'!$A$4:$A$33,0),0))</f>
        <v/>
      </c>
      <c r="V47" s="9">
        <f t="array" ref="V47">IF(I47&lt;&gt;"Yes","",MIN(IF((T$4:T$103=T47)*(I$4:I$103="Yes"),N$4:N$103)))</f>
        <v/>
      </c>
      <c r="W47" s="9">
        <f t="array" ref="W47">IF(I47&lt;&gt;"Yes","",MEDIAN(IF((T$4:T$103=T47)*(I$4:I$103="Yes"),N$4:N$103)))</f>
        <v/>
      </c>
      <c r="X47" s="11">
        <f>IF(I47&lt;&gt;"Yes",0,V47/N47*INDEX('Tender Setup'!$C$4:$C$33,U47))</f>
        <v/>
      </c>
      <c r="Y47" s="11">
        <f>IF(I47&lt;&gt;"Yes",0,(MIN(10,MAX(0,N(O47)))*INDEX('Tender Setup'!$D$4:$D$33,U47)+MIN(10,MAX(0,N(P47)))*INDEX('Tender Setup'!$E$4:$E$33,U47)+MIN(10,MAX(0,N(Q47)))*INDEX('Tender Setup'!$F$4:$F$33,U47)+MIN(10,MAX(0,N(R47)))*INDEX('Tender Setup'!$G$4:$G$33,U47)+MIN(10,MAX(0,N(S47)))*INDEX('Tender Setup'!$H$4:$H$33,U47))/10)</f>
        <v/>
      </c>
      <c r="Z47" s="11">
        <f>IF(B47="","",IF(I47&lt;&gt;"Yes",0,IF(N(INDEX('Tender Setup'!$I$4:$I$33,U47))=0,0,(X47+Y47)*100/INDEX('Tender Setup'!$I$4:$I$33,U47))))</f>
        <v/>
      </c>
      <c r="AA47" s="7">
        <f>IF(B47="","",IF(I47&lt;&gt;"Yes","Excluded",COUNTIFS(T$4:T$103,T47,I$4:I$103,"Yes",Z$4:Z$103,"&gt;"&amp;Z47)+1))</f>
        <v/>
      </c>
      <c r="AB47" s="7">
        <f>IF(I47&lt;&gt;"Yes","",IF(AND(COUNTIFS(T$4:T$103,T47,I$4:I$103,"Yes")&gt;=2,N47&lt;W47*(1-Settings!$B$12)),"Well under median: check scope",""))</f>
        <v/>
      </c>
      <c r="AC47" s="36">
        <f>IF(B47="","",TRIM(IF(COUNTIF(D47:H47,"Yes")&lt;5,"Compliance gates not all Yes. ","")&amp;IF(SUMPRODUCT(--ISTEXT(J47:M47))&gt;0,"A price cell holds text, not a number. ","")&amp;IF(N(J47)&lt;=0,"No quoted price. ",IF(N(N47)&lt;=0,"Levelled price is $0 or less. ",""))&amp;IF(U47=0,"Package isn't on the Packages tab. ","")&amp;IF(SUMPRODUCT(ISTEXT(O47:S47)+(O47:S47&lt;0)+(O47:S47&gt;10))&gt;0,"Scores must be 0 to 10 (capped). ","")&amp;IF(AND(AA47=1,COUNTIFS(T$4:T$103,T47,AA$4:AA$103,1)&gt;1),"Tied for 1st: ask both for clarifications. ","")))</f>
        <v/>
      </c>
      <c r="AD47" s="7">
        <f>T47&amp;"|"&amp;AA47</f>
        <v/>
      </c>
      <c r="AE47" s="22" t="n"/>
      <c r="AF47" s="23" t="n"/>
    </row>
    <row r="48">
      <c r="A48" s="22" t="n"/>
      <c r="B48" s="22" t="n"/>
      <c r="C48" s="24" t="n"/>
      <c r="D48" s="22" t="n"/>
      <c r="E48" s="22" t="n"/>
      <c r="F48" s="22" t="n"/>
      <c r="G48" s="22" t="n"/>
      <c r="H48" s="22" t="n"/>
      <c r="I48" s="7">
        <f>IF(B48="","",IF(AND(COUNTIF(D48:H48,"Yes")=5,SUMPRODUCT(--ISTEXT(J48:M48))=0,N(J48)&gt;0,N(N48)&gt;0,U48&gt;0),"Yes","No"))</f>
        <v/>
      </c>
      <c r="J48" s="33" t="n"/>
      <c r="K48" s="33" t="n"/>
      <c r="L48" s="33" t="n"/>
      <c r="M48" s="33" t="n"/>
      <c r="N48" s="9">
        <f>IF(B48="","",N(J48)+N(K48)+N(L48)+N(M48))</f>
        <v/>
      </c>
      <c r="O48" s="22" t="n"/>
      <c r="P48" s="22" t="n"/>
      <c r="Q48" s="22" t="n"/>
      <c r="R48" s="22" t="n"/>
      <c r="S48" s="22" t="n"/>
      <c r="T48" s="7">
        <f>IF(A48="","",LEFT(A48,2))</f>
        <v/>
      </c>
      <c r="U48" s="7">
        <f>IF(A48="",0,IFERROR(MATCH(LEFT(A48,3)&amp;"*",'Tender Setup'!$A$4:$A$33,0),0))</f>
        <v/>
      </c>
      <c r="V48" s="9">
        <f t="array" ref="V48">IF(I48&lt;&gt;"Yes","",MIN(IF((T$4:T$103=T48)*(I$4:I$103="Yes"),N$4:N$103)))</f>
        <v/>
      </c>
      <c r="W48" s="9">
        <f t="array" ref="W48">IF(I48&lt;&gt;"Yes","",MEDIAN(IF((T$4:T$103=T48)*(I$4:I$103="Yes"),N$4:N$103)))</f>
        <v/>
      </c>
      <c r="X48" s="11">
        <f>IF(I48&lt;&gt;"Yes",0,V48/N48*INDEX('Tender Setup'!$C$4:$C$33,U48))</f>
        <v/>
      </c>
      <c r="Y48" s="11">
        <f>IF(I48&lt;&gt;"Yes",0,(MIN(10,MAX(0,N(O48)))*INDEX('Tender Setup'!$D$4:$D$33,U48)+MIN(10,MAX(0,N(P48)))*INDEX('Tender Setup'!$E$4:$E$33,U48)+MIN(10,MAX(0,N(Q48)))*INDEX('Tender Setup'!$F$4:$F$33,U48)+MIN(10,MAX(0,N(R48)))*INDEX('Tender Setup'!$G$4:$G$33,U48)+MIN(10,MAX(0,N(S48)))*INDEX('Tender Setup'!$H$4:$H$33,U48))/10)</f>
        <v/>
      </c>
      <c r="Z48" s="11">
        <f>IF(B48="","",IF(I48&lt;&gt;"Yes",0,IF(N(INDEX('Tender Setup'!$I$4:$I$33,U48))=0,0,(X48+Y48)*100/INDEX('Tender Setup'!$I$4:$I$33,U48))))</f>
        <v/>
      </c>
      <c r="AA48" s="7">
        <f>IF(B48="","",IF(I48&lt;&gt;"Yes","Excluded",COUNTIFS(T$4:T$103,T48,I$4:I$103,"Yes",Z$4:Z$103,"&gt;"&amp;Z48)+1))</f>
        <v/>
      </c>
      <c r="AB48" s="7">
        <f>IF(I48&lt;&gt;"Yes","",IF(AND(COUNTIFS(T$4:T$103,T48,I$4:I$103,"Yes")&gt;=2,N48&lt;W48*(1-Settings!$B$12)),"Well under median: check scope",""))</f>
        <v/>
      </c>
      <c r="AC48" s="36">
        <f>IF(B48="","",TRIM(IF(COUNTIF(D48:H48,"Yes")&lt;5,"Compliance gates not all Yes. ","")&amp;IF(SUMPRODUCT(--ISTEXT(J48:M48))&gt;0,"A price cell holds text, not a number. ","")&amp;IF(N(J48)&lt;=0,"No quoted price. ",IF(N(N48)&lt;=0,"Levelled price is $0 or less. ",""))&amp;IF(U48=0,"Package isn't on the Packages tab. ","")&amp;IF(SUMPRODUCT(ISTEXT(O48:S48)+(O48:S48&lt;0)+(O48:S48&gt;10))&gt;0,"Scores must be 0 to 10 (capped). ","")&amp;IF(AND(AA48=1,COUNTIFS(T$4:T$103,T48,AA$4:AA$103,1)&gt;1),"Tied for 1st: ask both for clarifications. ","")))</f>
        <v/>
      </c>
      <c r="AD48" s="7">
        <f>T48&amp;"|"&amp;AA48</f>
        <v/>
      </c>
      <c r="AE48" s="22" t="n"/>
      <c r="AF48" s="23" t="n"/>
    </row>
    <row r="49">
      <c r="A49" s="22" t="n"/>
      <c r="B49" s="22" t="n"/>
      <c r="C49" s="24" t="n"/>
      <c r="D49" s="22" t="n"/>
      <c r="E49" s="22" t="n"/>
      <c r="F49" s="22" t="n"/>
      <c r="G49" s="22" t="n"/>
      <c r="H49" s="22" t="n"/>
      <c r="I49" s="7">
        <f>IF(B49="","",IF(AND(COUNTIF(D49:H49,"Yes")=5,SUMPRODUCT(--ISTEXT(J49:M49))=0,N(J49)&gt;0,N(N49)&gt;0,U49&gt;0),"Yes","No"))</f>
        <v/>
      </c>
      <c r="J49" s="33" t="n"/>
      <c r="K49" s="33" t="n"/>
      <c r="L49" s="33" t="n"/>
      <c r="M49" s="33" t="n"/>
      <c r="N49" s="9">
        <f>IF(B49="","",N(J49)+N(K49)+N(L49)+N(M49))</f>
        <v/>
      </c>
      <c r="O49" s="22" t="n"/>
      <c r="P49" s="22" t="n"/>
      <c r="Q49" s="22" t="n"/>
      <c r="R49" s="22" t="n"/>
      <c r="S49" s="22" t="n"/>
      <c r="T49" s="7">
        <f>IF(A49="","",LEFT(A49,2))</f>
        <v/>
      </c>
      <c r="U49" s="7">
        <f>IF(A49="",0,IFERROR(MATCH(LEFT(A49,3)&amp;"*",'Tender Setup'!$A$4:$A$33,0),0))</f>
        <v/>
      </c>
      <c r="V49" s="9">
        <f t="array" ref="V49">IF(I49&lt;&gt;"Yes","",MIN(IF((T$4:T$103=T49)*(I$4:I$103="Yes"),N$4:N$103)))</f>
        <v/>
      </c>
      <c r="W49" s="9">
        <f t="array" ref="W49">IF(I49&lt;&gt;"Yes","",MEDIAN(IF((T$4:T$103=T49)*(I$4:I$103="Yes"),N$4:N$103)))</f>
        <v/>
      </c>
      <c r="X49" s="11">
        <f>IF(I49&lt;&gt;"Yes",0,V49/N49*INDEX('Tender Setup'!$C$4:$C$33,U49))</f>
        <v/>
      </c>
      <c r="Y49" s="11">
        <f>IF(I49&lt;&gt;"Yes",0,(MIN(10,MAX(0,N(O49)))*INDEX('Tender Setup'!$D$4:$D$33,U49)+MIN(10,MAX(0,N(P49)))*INDEX('Tender Setup'!$E$4:$E$33,U49)+MIN(10,MAX(0,N(Q49)))*INDEX('Tender Setup'!$F$4:$F$33,U49)+MIN(10,MAX(0,N(R49)))*INDEX('Tender Setup'!$G$4:$G$33,U49)+MIN(10,MAX(0,N(S49)))*INDEX('Tender Setup'!$H$4:$H$33,U49))/10)</f>
        <v/>
      </c>
      <c r="Z49" s="11">
        <f>IF(B49="","",IF(I49&lt;&gt;"Yes",0,IF(N(INDEX('Tender Setup'!$I$4:$I$33,U49))=0,0,(X49+Y49)*100/INDEX('Tender Setup'!$I$4:$I$33,U49))))</f>
        <v/>
      </c>
      <c r="AA49" s="7">
        <f>IF(B49="","",IF(I49&lt;&gt;"Yes","Excluded",COUNTIFS(T$4:T$103,T49,I$4:I$103,"Yes",Z$4:Z$103,"&gt;"&amp;Z49)+1))</f>
        <v/>
      </c>
      <c r="AB49" s="7">
        <f>IF(I49&lt;&gt;"Yes","",IF(AND(COUNTIFS(T$4:T$103,T49,I$4:I$103,"Yes")&gt;=2,N49&lt;W49*(1-Settings!$B$12)),"Well under median: check scope",""))</f>
        <v/>
      </c>
      <c r="AC49" s="36">
        <f>IF(B49="","",TRIM(IF(COUNTIF(D49:H49,"Yes")&lt;5,"Compliance gates not all Yes. ","")&amp;IF(SUMPRODUCT(--ISTEXT(J49:M49))&gt;0,"A price cell holds text, not a number. ","")&amp;IF(N(J49)&lt;=0,"No quoted price. ",IF(N(N49)&lt;=0,"Levelled price is $0 or less. ",""))&amp;IF(U49=0,"Package isn't on the Packages tab. ","")&amp;IF(SUMPRODUCT(ISTEXT(O49:S49)+(O49:S49&lt;0)+(O49:S49&gt;10))&gt;0,"Scores must be 0 to 10 (capped). ","")&amp;IF(AND(AA49=1,COUNTIFS(T$4:T$103,T49,AA$4:AA$103,1)&gt;1),"Tied for 1st: ask both for clarifications. ","")))</f>
        <v/>
      </c>
      <c r="AD49" s="7">
        <f>T49&amp;"|"&amp;AA49</f>
        <v/>
      </c>
      <c r="AE49" s="22" t="n"/>
      <c r="AF49" s="23" t="n"/>
    </row>
    <row r="50">
      <c r="A50" s="22" t="n"/>
      <c r="B50" s="22" t="n"/>
      <c r="C50" s="24" t="n"/>
      <c r="D50" s="22" t="n"/>
      <c r="E50" s="22" t="n"/>
      <c r="F50" s="22" t="n"/>
      <c r="G50" s="22" t="n"/>
      <c r="H50" s="22" t="n"/>
      <c r="I50" s="7">
        <f>IF(B50="","",IF(AND(COUNTIF(D50:H50,"Yes")=5,SUMPRODUCT(--ISTEXT(J50:M50))=0,N(J50)&gt;0,N(N50)&gt;0,U50&gt;0),"Yes","No"))</f>
        <v/>
      </c>
      <c r="J50" s="33" t="n"/>
      <c r="K50" s="33" t="n"/>
      <c r="L50" s="33" t="n"/>
      <c r="M50" s="33" t="n"/>
      <c r="N50" s="9">
        <f>IF(B50="","",N(J50)+N(K50)+N(L50)+N(M50))</f>
        <v/>
      </c>
      <c r="O50" s="22" t="n"/>
      <c r="P50" s="22" t="n"/>
      <c r="Q50" s="22" t="n"/>
      <c r="R50" s="22" t="n"/>
      <c r="S50" s="22" t="n"/>
      <c r="T50" s="7">
        <f>IF(A50="","",LEFT(A50,2))</f>
        <v/>
      </c>
      <c r="U50" s="7">
        <f>IF(A50="",0,IFERROR(MATCH(LEFT(A50,3)&amp;"*",'Tender Setup'!$A$4:$A$33,0),0))</f>
        <v/>
      </c>
      <c r="V50" s="9">
        <f t="array" ref="V50">IF(I50&lt;&gt;"Yes","",MIN(IF((T$4:T$103=T50)*(I$4:I$103="Yes"),N$4:N$103)))</f>
        <v/>
      </c>
      <c r="W50" s="9">
        <f t="array" ref="W50">IF(I50&lt;&gt;"Yes","",MEDIAN(IF((T$4:T$103=T50)*(I$4:I$103="Yes"),N$4:N$103)))</f>
        <v/>
      </c>
      <c r="X50" s="11">
        <f>IF(I50&lt;&gt;"Yes",0,V50/N50*INDEX('Tender Setup'!$C$4:$C$33,U50))</f>
        <v/>
      </c>
      <c r="Y50" s="11">
        <f>IF(I50&lt;&gt;"Yes",0,(MIN(10,MAX(0,N(O50)))*INDEX('Tender Setup'!$D$4:$D$33,U50)+MIN(10,MAX(0,N(P50)))*INDEX('Tender Setup'!$E$4:$E$33,U50)+MIN(10,MAX(0,N(Q50)))*INDEX('Tender Setup'!$F$4:$F$33,U50)+MIN(10,MAX(0,N(R50)))*INDEX('Tender Setup'!$G$4:$G$33,U50)+MIN(10,MAX(0,N(S50)))*INDEX('Tender Setup'!$H$4:$H$33,U50))/10)</f>
        <v/>
      </c>
      <c r="Z50" s="11">
        <f>IF(B50="","",IF(I50&lt;&gt;"Yes",0,IF(N(INDEX('Tender Setup'!$I$4:$I$33,U50))=0,0,(X50+Y50)*100/INDEX('Tender Setup'!$I$4:$I$33,U50))))</f>
        <v/>
      </c>
      <c r="AA50" s="7">
        <f>IF(B50="","",IF(I50&lt;&gt;"Yes","Excluded",COUNTIFS(T$4:T$103,T50,I$4:I$103,"Yes",Z$4:Z$103,"&gt;"&amp;Z50)+1))</f>
        <v/>
      </c>
      <c r="AB50" s="7">
        <f>IF(I50&lt;&gt;"Yes","",IF(AND(COUNTIFS(T$4:T$103,T50,I$4:I$103,"Yes")&gt;=2,N50&lt;W50*(1-Settings!$B$12)),"Well under median: check scope",""))</f>
        <v/>
      </c>
      <c r="AC50" s="36">
        <f>IF(B50="","",TRIM(IF(COUNTIF(D50:H50,"Yes")&lt;5,"Compliance gates not all Yes. ","")&amp;IF(SUMPRODUCT(--ISTEXT(J50:M50))&gt;0,"A price cell holds text, not a number. ","")&amp;IF(N(J50)&lt;=0,"No quoted price. ",IF(N(N50)&lt;=0,"Levelled price is $0 or less. ",""))&amp;IF(U50=0,"Package isn't on the Packages tab. ","")&amp;IF(SUMPRODUCT(ISTEXT(O50:S50)+(O50:S50&lt;0)+(O50:S50&gt;10))&gt;0,"Scores must be 0 to 10 (capped). ","")&amp;IF(AND(AA50=1,COUNTIFS(T$4:T$103,T50,AA$4:AA$103,1)&gt;1),"Tied for 1st: ask both for clarifications. ","")))</f>
        <v/>
      </c>
      <c r="AD50" s="7">
        <f>T50&amp;"|"&amp;AA50</f>
        <v/>
      </c>
      <c r="AE50" s="22" t="n"/>
      <c r="AF50" s="23" t="n"/>
    </row>
    <row r="51">
      <c r="A51" s="22" t="n"/>
      <c r="B51" s="22" t="n"/>
      <c r="C51" s="24" t="n"/>
      <c r="D51" s="22" t="n"/>
      <c r="E51" s="22" t="n"/>
      <c r="F51" s="22" t="n"/>
      <c r="G51" s="22" t="n"/>
      <c r="H51" s="22" t="n"/>
      <c r="I51" s="7">
        <f>IF(B51="","",IF(AND(COUNTIF(D51:H51,"Yes")=5,SUMPRODUCT(--ISTEXT(J51:M51))=0,N(J51)&gt;0,N(N51)&gt;0,U51&gt;0),"Yes","No"))</f>
        <v/>
      </c>
      <c r="J51" s="33" t="n"/>
      <c r="K51" s="33" t="n"/>
      <c r="L51" s="33" t="n"/>
      <c r="M51" s="33" t="n"/>
      <c r="N51" s="9">
        <f>IF(B51="","",N(J51)+N(K51)+N(L51)+N(M51))</f>
        <v/>
      </c>
      <c r="O51" s="22" t="n"/>
      <c r="P51" s="22" t="n"/>
      <c r="Q51" s="22" t="n"/>
      <c r="R51" s="22" t="n"/>
      <c r="S51" s="22" t="n"/>
      <c r="T51" s="7">
        <f>IF(A51="","",LEFT(A51,2))</f>
        <v/>
      </c>
      <c r="U51" s="7">
        <f>IF(A51="",0,IFERROR(MATCH(LEFT(A51,3)&amp;"*",'Tender Setup'!$A$4:$A$33,0),0))</f>
        <v/>
      </c>
      <c r="V51" s="9">
        <f t="array" ref="V51">IF(I51&lt;&gt;"Yes","",MIN(IF((T$4:T$103=T51)*(I$4:I$103="Yes"),N$4:N$103)))</f>
        <v/>
      </c>
      <c r="W51" s="9">
        <f t="array" ref="W51">IF(I51&lt;&gt;"Yes","",MEDIAN(IF((T$4:T$103=T51)*(I$4:I$103="Yes"),N$4:N$103)))</f>
        <v/>
      </c>
      <c r="X51" s="11">
        <f>IF(I51&lt;&gt;"Yes",0,V51/N51*INDEX('Tender Setup'!$C$4:$C$33,U51))</f>
        <v/>
      </c>
      <c r="Y51" s="11">
        <f>IF(I51&lt;&gt;"Yes",0,(MIN(10,MAX(0,N(O51)))*INDEX('Tender Setup'!$D$4:$D$33,U51)+MIN(10,MAX(0,N(P51)))*INDEX('Tender Setup'!$E$4:$E$33,U51)+MIN(10,MAX(0,N(Q51)))*INDEX('Tender Setup'!$F$4:$F$33,U51)+MIN(10,MAX(0,N(R51)))*INDEX('Tender Setup'!$G$4:$G$33,U51)+MIN(10,MAX(0,N(S51)))*INDEX('Tender Setup'!$H$4:$H$33,U51))/10)</f>
        <v/>
      </c>
      <c r="Z51" s="11">
        <f>IF(B51="","",IF(I51&lt;&gt;"Yes",0,IF(N(INDEX('Tender Setup'!$I$4:$I$33,U51))=0,0,(X51+Y51)*100/INDEX('Tender Setup'!$I$4:$I$33,U51))))</f>
        <v/>
      </c>
      <c r="AA51" s="7">
        <f>IF(B51="","",IF(I51&lt;&gt;"Yes","Excluded",COUNTIFS(T$4:T$103,T51,I$4:I$103,"Yes",Z$4:Z$103,"&gt;"&amp;Z51)+1))</f>
        <v/>
      </c>
      <c r="AB51" s="7">
        <f>IF(I51&lt;&gt;"Yes","",IF(AND(COUNTIFS(T$4:T$103,T51,I$4:I$103,"Yes")&gt;=2,N51&lt;W51*(1-Settings!$B$12)),"Well under median: check scope",""))</f>
        <v/>
      </c>
      <c r="AC51" s="36">
        <f>IF(B51="","",TRIM(IF(COUNTIF(D51:H51,"Yes")&lt;5,"Compliance gates not all Yes. ","")&amp;IF(SUMPRODUCT(--ISTEXT(J51:M51))&gt;0,"A price cell holds text, not a number. ","")&amp;IF(N(J51)&lt;=0,"No quoted price. ",IF(N(N51)&lt;=0,"Levelled price is $0 or less. ",""))&amp;IF(U51=0,"Package isn't on the Packages tab. ","")&amp;IF(SUMPRODUCT(ISTEXT(O51:S51)+(O51:S51&lt;0)+(O51:S51&gt;10))&gt;0,"Scores must be 0 to 10 (capped). ","")&amp;IF(AND(AA51=1,COUNTIFS(T$4:T$103,T51,AA$4:AA$103,1)&gt;1),"Tied for 1st: ask both for clarifications. ","")))</f>
        <v/>
      </c>
      <c r="AD51" s="7">
        <f>T51&amp;"|"&amp;AA51</f>
        <v/>
      </c>
      <c r="AE51" s="22" t="n"/>
      <c r="AF51" s="23" t="n"/>
    </row>
    <row r="52">
      <c r="A52" s="22" t="n"/>
      <c r="B52" s="22" t="n"/>
      <c r="C52" s="24" t="n"/>
      <c r="D52" s="22" t="n"/>
      <c r="E52" s="22" t="n"/>
      <c r="F52" s="22" t="n"/>
      <c r="G52" s="22" t="n"/>
      <c r="H52" s="22" t="n"/>
      <c r="I52" s="7">
        <f>IF(B52="","",IF(AND(COUNTIF(D52:H52,"Yes")=5,SUMPRODUCT(--ISTEXT(J52:M52))=0,N(J52)&gt;0,N(N52)&gt;0,U52&gt;0),"Yes","No"))</f>
        <v/>
      </c>
      <c r="J52" s="33" t="n"/>
      <c r="K52" s="33" t="n"/>
      <c r="L52" s="33" t="n"/>
      <c r="M52" s="33" t="n"/>
      <c r="N52" s="9">
        <f>IF(B52="","",N(J52)+N(K52)+N(L52)+N(M52))</f>
        <v/>
      </c>
      <c r="O52" s="22" t="n"/>
      <c r="P52" s="22" t="n"/>
      <c r="Q52" s="22" t="n"/>
      <c r="R52" s="22" t="n"/>
      <c r="S52" s="22" t="n"/>
      <c r="T52" s="7">
        <f>IF(A52="","",LEFT(A52,2))</f>
        <v/>
      </c>
      <c r="U52" s="7">
        <f>IF(A52="",0,IFERROR(MATCH(LEFT(A52,3)&amp;"*",'Tender Setup'!$A$4:$A$33,0),0))</f>
        <v/>
      </c>
      <c r="V52" s="9">
        <f t="array" ref="V52">IF(I52&lt;&gt;"Yes","",MIN(IF((T$4:T$103=T52)*(I$4:I$103="Yes"),N$4:N$103)))</f>
        <v/>
      </c>
      <c r="W52" s="9">
        <f t="array" ref="W52">IF(I52&lt;&gt;"Yes","",MEDIAN(IF((T$4:T$103=T52)*(I$4:I$103="Yes"),N$4:N$103)))</f>
        <v/>
      </c>
      <c r="X52" s="11">
        <f>IF(I52&lt;&gt;"Yes",0,V52/N52*INDEX('Tender Setup'!$C$4:$C$33,U52))</f>
        <v/>
      </c>
      <c r="Y52" s="11">
        <f>IF(I52&lt;&gt;"Yes",0,(MIN(10,MAX(0,N(O52)))*INDEX('Tender Setup'!$D$4:$D$33,U52)+MIN(10,MAX(0,N(P52)))*INDEX('Tender Setup'!$E$4:$E$33,U52)+MIN(10,MAX(0,N(Q52)))*INDEX('Tender Setup'!$F$4:$F$33,U52)+MIN(10,MAX(0,N(R52)))*INDEX('Tender Setup'!$G$4:$G$33,U52)+MIN(10,MAX(0,N(S52)))*INDEX('Tender Setup'!$H$4:$H$33,U52))/10)</f>
        <v/>
      </c>
      <c r="Z52" s="11">
        <f>IF(B52="","",IF(I52&lt;&gt;"Yes",0,IF(N(INDEX('Tender Setup'!$I$4:$I$33,U52))=0,0,(X52+Y52)*100/INDEX('Tender Setup'!$I$4:$I$33,U52))))</f>
        <v/>
      </c>
      <c r="AA52" s="7">
        <f>IF(B52="","",IF(I52&lt;&gt;"Yes","Excluded",COUNTIFS(T$4:T$103,T52,I$4:I$103,"Yes",Z$4:Z$103,"&gt;"&amp;Z52)+1))</f>
        <v/>
      </c>
      <c r="AB52" s="7">
        <f>IF(I52&lt;&gt;"Yes","",IF(AND(COUNTIFS(T$4:T$103,T52,I$4:I$103,"Yes")&gt;=2,N52&lt;W52*(1-Settings!$B$12)),"Well under median: check scope",""))</f>
        <v/>
      </c>
      <c r="AC52" s="36">
        <f>IF(B52="","",TRIM(IF(COUNTIF(D52:H52,"Yes")&lt;5,"Compliance gates not all Yes. ","")&amp;IF(SUMPRODUCT(--ISTEXT(J52:M52))&gt;0,"A price cell holds text, not a number. ","")&amp;IF(N(J52)&lt;=0,"No quoted price. ",IF(N(N52)&lt;=0,"Levelled price is $0 or less. ",""))&amp;IF(U52=0,"Package isn't on the Packages tab. ","")&amp;IF(SUMPRODUCT(ISTEXT(O52:S52)+(O52:S52&lt;0)+(O52:S52&gt;10))&gt;0,"Scores must be 0 to 10 (capped). ","")&amp;IF(AND(AA52=1,COUNTIFS(T$4:T$103,T52,AA$4:AA$103,1)&gt;1),"Tied for 1st: ask both for clarifications. ","")))</f>
        <v/>
      </c>
      <c r="AD52" s="7">
        <f>T52&amp;"|"&amp;AA52</f>
        <v/>
      </c>
      <c r="AE52" s="22" t="n"/>
      <c r="AF52" s="23" t="n"/>
    </row>
    <row r="53">
      <c r="A53" s="22" t="n"/>
      <c r="B53" s="22" t="n"/>
      <c r="C53" s="24" t="n"/>
      <c r="D53" s="22" t="n"/>
      <c r="E53" s="22" t="n"/>
      <c r="F53" s="22" t="n"/>
      <c r="G53" s="22" t="n"/>
      <c r="H53" s="22" t="n"/>
      <c r="I53" s="7">
        <f>IF(B53="","",IF(AND(COUNTIF(D53:H53,"Yes")=5,SUMPRODUCT(--ISTEXT(J53:M53))=0,N(J53)&gt;0,N(N53)&gt;0,U53&gt;0),"Yes","No"))</f>
        <v/>
      </c>
      <c r="J53" s="33" t="n"/>
      <c r="K53" s="33" t="n"/>
      <c r="L53" s="33" t="n"/>
      <c r="M53" s="33" t="n"/>
      <c r="N53" s="9">
        <f>IF(B53="","",N(J53)+N(K53)+N(L53)+N(M53))</f>
        <v/>
      </c>
      <c r="O53" s="22" t="n"/>
      <c r="P53" s="22" t="n"/>
      <c r="Q53" s="22" t="n"/>
      <c r="R53" s="22" t="n"/>
      <c r="S53" s="22" t="n"/>
      <c r="T53" s="7">
        <f>IF(A53="","",LEFT(A53,2))</f>
        <v/>
      </c>
      <c r="U53" s="7">
        <f>IF(A53="",0,IFERROR(MATCH(LEFT(A53,3)&amp;"*",'Tender Setup'!$A$4:$A$33,0),0))</f>
        <v/>
      </c>
      <c r="V53" s="9">
        <f t="array" ref="V53">IF(I53&lt;&gt;"Yes","",MIN(IF((T$4:T$103=T53)*(I$4:I$103="Yes"),N$4:N$103)))</f>
        <v/>
      </c>
      <c r="W53" s="9">
        <f t="array" ref="W53">IF(I53&lt;&gt;"Yes","",MEDIAN(IF((T$4:T$103=T53)*(I$4:I$103="Yes"),N$4:N$103)))</f>
        <v/>
      </c>
      <c r="X53" s="11">
        <f>IF(I53&lt;&gt;"Yes",0,V53/N53*INDEX('Tender Setup'!$C$4:$C$33,U53))</f>
        <v/>
      </c>
      <c r="Y53" s="11">
        <f>IF(I53&lt;&gt;"Yes",0,(MIN(10,MAX(0,N(O53)))*INDEX('Tender Setup'!$D$4:$D$33,U53)+MIN(10,MAX(0,N(P53)))*INDEX('Tender Setup'!$E$4:$E$33,U53)+MIN(10,MAX(0,N(Q53)))*INDEX('Tender Setup'!$F$4:$F$33,U53)+MIN(10,MAX(0,N(R53)))*INDEX('Tender Setup'!$G$4:$G$33,U53)+MIN(10,MAX(0,N(S53)))*INDEX('Tender Setup'!$H$4:$H$33,U53))/10)</f>
        <v/>
      </c>
      <c r="Z53" s="11">
        <f>IF(B53="","",IF(I53&lt;&gt;"Yes",0,IF(N(INDEX('Tender Setup'!$I$4:$I$33,U53))=0,0,(X53+Y53)*100/INDEX('Tender Setup'!$I$4:$I$33,U53))))</f>
        <v/>
      </c>
      <c r="AA53" s="7">
        <f>IF(B53="","",IF(I53&lt;&gt;"Yes","Excluded",COUNTIFS(T$4:T$103,T53,I$4:I$103,"Yes",Z$4:Z$103,"&gt;"&amp;Z53)+1))</f>
        <v/>
      </c>
      <c r="AB53" s="7">
        <f>IF(I53&lt;&gt;"Yes","",IF(AND(COUNTIFS(T$4:T$103,T53,I$4:I$103,"Yes")&gt;=2,N53&lt;W53*(1-Settings!$B$12)),"Well under median: check scope",""))</f>
        <v/>
      </c>
      <c r="AC53" s="36">
        <f>IF(B53="","",TRIM(IF(COUNTIF(D53:H53,"Yes")&lt;5,"Compliance gates not all Yes. ","")&amp;IF(SUMPRODUCT(--ISTEXT(J53:M53))&gt;0,"A price cell holds text, not a number. ","")&amp;IF(N(J53)&lt;=0,"No quoted price. ",IF(N(N53)&lt;=0,"Levelled price is $0 or less. ",""))&amp;IF(U53=0,"Package isn't on the Packages tab. ","")&amp;IF(SUMPRODUCT(ISTEXT(O53:S53)+(O53:S53&lt;0)+(O53:S53&gt;10))&gt;0,"Scores must be 0 to 10 (capped). ","")&amp;IF(AND(AA53=1,COUNTIFS(T$4:T$103,T53,AA$4:AA$103,1)&gt;1),"Tied for 1st: ask both for clarifications. ","")))</f>
        <v/>
      </c>
      <c r="AD53" s="7">
        <f>T53&amp;"|"&amp;AA53</f>
        <v/>
      </c>
      <c r="AE53" s="22" t="n"/>
      <c r="AF53" s="23" t="n"/>
    </row>
    <row r="54">
      <c r="A54" s="22" t="n"/>
      <c r="B54" s="22" t="n"/>
      <c r="C54" s="24" t="n"/>
      <c r="D54" s="22" t="n"/>
      <c r="E54" s="22" t="n"/>
      <c r="F54" s="22" t="n"/>
      <c r="G54" s="22" t="n"/>
      <c r="H54" s="22" t="n"/>
      <c r="I54" s="7">
        <f>IF(B54="","",IF(AND(COUNTIF(D54:H54,"Yes")=5,SUMPRODUCT(--ISTEXT(J54:M54))=0,N(J54)&gt;0,N(N54)&gt;0,U54&gt;0),"Yes","No"))</f>
        <v/>
      </c>
      <c r="J54" s="33" t="n"/>
      <c r="K54" s="33" t="n"/>
      <c r="L54" s="33" t="n"/>
      <c r="M54" s="33" t="n"/>
      <c r="N54" s="9">
        <f>IF(B54="","",N(J54)+N(K54)+N(L54)+N(M54))</f>
        <v/>
      </c>
      <c r="O54" s="22" t="n"/>
      <c r="P54" s="22" t="n"/>
      <c r="Q54" s="22" t="n"/>
      <c r="R54" s="22" t="n"/>
      <c r="S54" s="22" t="n"/>
      <c r="T54" s="7">
        <f>IF(A54="","",LEFT(A54,2))</f>
        <v/>
      </c>
      <c r="U54" s="7">
        <f>IF(A54="",0,IFERROR(MATCH(LEFT(A54,3)&amp;"*",'Tender Setup'!$A$4:$A$33,0),0))</f>
        <v/>
      </c>
      <c r="V54" s="9">
        <f t="array" ref="V54">IF(I54&lt;&gt;"Yes","",MIN(IF((T$4:T$103=T54)*(I$4:I$103="Yes"),N$4:N$103)))</f>
        <v/>
      </c>
      <c r="W54" s="9">
        <f t="array" ref="W54">IF(I54&lt;&gt;"Yes","",MEDIAN(IF((T$4:T$103=T54)*(I$4:I$103="Yes"),N$4:N$103)))</f>
        <v/>
      </c>
      <c r="X54" s="11">
        <f>IF(I54&lt;&gt;"Yes",0,V54/N54*INDEX('Tender Setup'!$C$4:$C$33,U54))</f>
        <v/>
      </c>
      <c r="Y54" s="11">
        <f>IF(I54&lt;&gt;"Yes",0,(MIN(10,MAX(0,N(O54)))*INDEX('Tender Setup'!$D$4:$D$33,U54)+MIN(10,MAX(0,N(P54)))*INDEX('Tender Setup'!$E$4:$E$33,U54)+MIN(10,MAX(0,N(Q54)))*INDEX('Tender Setup'!$F$4:$F$33,U54)+MIN(10,MAX(0,N(R54)))*INDEX('Tender Setup'!$G$4:$G$33,U54)+MIN(10,MAX(0,N(S54)))*INDEX('Tender Setup'!$H$4:$H$33,U54))/10)</f>
        <v/>
      </c>
      <c r="Z54" s="11">
        <f>IF(B54="","",IF(I54&lt;&gt;"Yes",0,IF(N(INDEX('Tender Setup'!$I$4:$I$33,U54))=0,0,(X54+Y54)*100/INDEX('Tender Setup'!$I$4:$I$33,U54))))</f>
        <v/>
      </c>
      <c r="AA54" s="7">
        <f>IF(B54="","",IF(I54&lt;&gt;"Yes","Excluded",COUNTIFS(T$4:T$103,T54,I$4:I$103,"Yes",Z$4:Z$103,"&gt;"&amp;Z54)+1))</f>
        <v/>
      </c>
      <c r="AB54" s="7">
        <f>IF(I54&lt;&gt;"Yes","",IF(AND(COUNTIFS(T$4:T$103,T54,I$4:I$103,"Yes")&gt;=2,N54&lt;W54*(1-Settings!$B$12)),"Well under median: check scope",""))</f>
        <v/>
      </c>
      <c r="AC54" s="36">
        <f>IF(B54="","",TRIM(IF(COUNTIF(D54:H54,"Yes")&lt;5,"Compliance gates not all Yes. ","")&amp;IF(SUMPRODUCT(--ISTEXT(J54:M54))&gt;0,"A price cell holds text, not a number. ","")&amp;IF(N(J54)&lt;=0,"No quoted price. ",IF(N(N54)&lt;=0,"Levelled price is $0 or less. ",""))&amp;IF(U54=0,"Package isn't on the Packages tab. ","")&amp;IF(SUMPRODUCT(ISTEXT(O54:S54)+(O54:S54&lt;0)+(O54:S54&gt;10))&gt;0,"Scores must be 0 to 10 (capped). ","")&amp;IF(AND(AA54=1,COUNTIFS(T$4:T$103,T54,AA$4:AA$103,1)&gt;1),"Tied for 1st: ask both for clarifications. ","")))</f>
        <v/>
      </c>
      <c r="AD54" s="7">
        <f>T54&amp;"|"&amp;AA54</f>
        <v/>
      </c>
      <c r="AE54" s="22" t="n"/>
      <c r="AF54" s="23" t="n"/>
    </row>
    <row r="55">
      <c r="A55" s="22" t="n"/>
      <c r="B55" s="22" t="n"/>
      <c r="C55" s="24" t="n"/>
      <c r="D55" s="22" t="n"/>
      <c r="E55" s="22" t="n"/>
      <c r="F55" s="22" t="n"/>
      <c r="G55" s="22" t="n"/>
      <c r="H55" s="22" t="n"/>
      <c r="I55" s="7">
        <f>IF(B55="","",IF(AND(COUNTIF(D55:H55,"Yes")=5,SUMPRODUCT(--ISTEXT(J55:M55))=0,N(J55)&gt;0,N(N55)&gt;0,U55&gt;0),"Yes","No"))</f>
        <v/>
      </c>
      <c r="J55" s="33" t="n"/>
      <c r="K55" s="33" t="n"/>
      <c r="L55" s="33" t="n"/>
      <c r="M55" s="33" t="n"/>
      <c r="N55" s="9">
        <f>IF(B55="","",N(J55)+N(K55)+N(L55)+N(M55))</f>
        <v/>
      </c>
      <c r="O55" s="22" t="n"/>
      <c r="P55" s="22" t="n"/>
      <c r="Q55" s="22" t="n"/>
      <c r="R55" s="22" t="n"/>
      <c r="S55" s="22" t="n"/>
      <c r="T55" s="7">
        <f>IF(A55="","",LEFT(A55,2))</f>
        <v/>
      </c>
      <c r="U55" s="7">
        <f>IF(A55="",0,IFERROR(MATCH(LEFT(A55,3)&amp;"*",'Tender Setup'!$A$4:$A$33,0),0))</f>
        <v/>
      </c>
      <c r="V55" s="9">
        <f t="array" ref="V55">IF(I55&lt;&gt;"Yes","",MIN(IF((T$4:T$103=T55)*(I$4:I$103="Yes"),N$4:N$103)))</f>
        <v/>
      </c>
      <c r="W55" s="9">
        <f t="array" ref="W55">IF(I55&lt;&gt;"Yes","",MEDIAN(IF((T$4:T$103=T55)*(I$4:I$103="Yes"),N$4:N$103)))</f>
        <v/>
      </c>
      <c r="X55" s="11">
        <f>IF(I55&lt;&gt;"Yes",0,V55/N55*INDEX('Tender Setup'!$C$4:$C$33,U55))</f>
        <v/>
      </c>
      <c r="Y55" s="11">
        <f>IF(I55&lt;&gt;"Yes",0,(MIN(10,MAX(0,N(O55)))*INDEX('Tender Setup'!$D$4:$D$33,U55)+MIN(10,MAX(0,N(P55)))*INDEX('Tender Setup'!$E$4:$E$33,U55)+MIN(10,MAX(0,N(Q55)))*INDEX('Tender Setup'!$F$4:$F$33,U55)+MIN(10,MAX(0,N(R55)))*INDEX('Tender Setup'!$G$4:$G$33,U55)+MIN(10,MAX(0,N(S55)))*INDEX('Tender Setup'!$H$4:$H$33,U55))/10)</f>
        <v/>
      </c>
      <c r="Z55" s="11">
        <f>IF(B55="","",IF(I55&lt;&gt;"Yes",0,IF(N(INDEX('Tender Setup'!$I$4:$I$33,U55))=0,0,(X55+Y55)*100/INDEX('Tender Setup'!$I$4:$I$33,U55))))</f>
        <v/>
      </c>
      <c r="AA55" s="7">
        <f>IF(B55="","",IF(I55&lt;&gt;"Yes","Excluded",COUNTIFS(T$4:T$103,T55,I$4:I$103,"Yes",Z$4:Z$103,"&gt;"&amp;Z55)+1))</f>
        <v/>
      </c>
      <c r="AB55" s="7">
        <f>IF(I55&lt;&gt;"Yes","",IF(AND(COUNTIFS(T$4:T$103,T55,I$4:I$103,"Yes")&gt;=2,N55&lt;W55*(1-Settings!$B$12)),"Well under median: check scope",""))</f>
        <v/>
      </c>
      <c r="AC55" s="36">
        <f>IF(B55="","",TRIM(IF(COUNTIF(D55:H55,"Yes")&lt;5,"Compliance gates not all Yes. ","")&amp;IF(SUMPRODUCT(--ISTEXT(J55:M55))&gt;0,"A price cell holds text, not a number. ","")&amp;IF(N(J55)&lt;=0,"No quoted price. ",IF(N(N55)&lt;=0,"Levelled price is $0 or less. ",""))&amp;IF(U55=0,"Package isn't on the Packages tab. ","")&amp;IF(SUMPRODUCT(ISTEXT(O55:S55)+(O55:S55&lt;0)+(O55:S55&gt;10))&gt;0,"Scores must be 0 to 10 (capped). ","")&amp;IF(AND(AA55=1,COUNTIFS(T$4:T$103,T55,AA$4:AA$103,1)&gt;1),"Tied for 1st: ask both for clarifications. ","")))</f>
        <v/>
      </c>
      <c r="AD55" s="7">
        <f>T55&amp;"|"&amp;AA55</f>
        <v/>
      </c>
      <c r="AE55" s="22" t="n"/>
      <c r="AF55" s="23" t="n"/>
    </row>
    <row r="56">
      <c r="A56" s="22" t="n"/>
      <c r="B56" s="22" t="n"/>
      <c r="C56" s="24" t="n"/>
      <c r="D56" s="22" t="n"/>
      <c r="E56" s="22" t="n"/>
      <c r="F56" s="22" t="n"/>
      <c r="G56" s="22" t="n"/>
      <c r="H56" s="22" t="n"/>
      <c r="I56" s="7">
        <f>IF(B56="","",IF(AND(COUNTIF(D56:H56,"Yes")=5,SUMPRODUCT(--ISTEXT(J56:M56))=0,N(J56)&gt;0,N(N56)&gt;0,U56&gt;0),"Yes","No"))</f>
        <v/>
      </c>
      <c r="J56" s="33" t="n"/>
      <c r="K56" s="33" t="n"/>
      <c r="L56" s="33" t="n"/>
      <c r="M56" s="33" t="n"/>
      <c r="N56" s="9">
        <f>IF(B56="","",N(J56)+N(K56)+N(L56)+N(M56))</f>
        <v/>
      </c>
      <c r="O56" s="22" t="n"/>
      <c r="P56" s="22" t="n"/>
      <c r="Q56" s="22" t="n"/>
      <c r="R56" s="22" t="n"/>
      <c r="S56" s="22" t="n"/>
      <c r="T56" s="7">
        <f>IF(A56="","",LEFT(A56,2))</f>
        <v/>
      </c>
      <c r="U56" s="7">
        <f>IF(A56="",0,IFERROR(MATCH(LEFT(A56,3)&amp;"*",'Tender Setup'!$A$4:$A$33,0),0))</f>
        <v/>
      </c>
      <c r="V56" s="9">
        <f t="array" ref="V56">IF(I56&lt;&gt;"Yes","",MIN(IF((T$4:T$103=T56)*(I$4:I$103="Yes"),N$4:N$103)))</f>
        <v/>
      </c>
      <c r="W56" s="9">
        <f t="array" ref="W56">IF(I56&lt;&gt;"Yes","",MEDIAN(IF((T$4:T$103=T56)*(I$4:I$103="Yes"),N$4:N$103)))</f>
        <v/>
      </c>
      <c r="X56" s="11">
        <f>IF(I56&lt;&gt;"Yes",0,V56/N56*INDEX('Tender Setup'!$C$4:$C$33,U56))</f>
        <v/>
      </c>
      <c r="Y56" s="11">
        <f>IF(I56&lt;&gt;"Yes",0,(MIN(10,MAX(0,N(O56)))*INDEX('Tender Setup'!$D$4:$D$33,U56)+MIN(10,MAX(0,N(P56)))*INDEX('Tender Setup'!$E$4:$E$33,U56)+MIN(10,MAX(0,N(Q56)))*INDEX('Tender Setup'!$F$4:$F$33,U56)+MIN(10,MAX(0,N(R56)))*INDEX('Tender Setup'!$G$4:$G$33,U56)+MIN(10,MAX(0,N(S56)))*INDEX('Tender Setup'!$H$4:$H$33,U56))/10)</f>
        <v/>
      </c>
      <c r="Z56" s="11">
        <f>IF(B56="","",IF(I56&lt;&gt;"Yes",0,IF(N(INDEX('Tender Setup'!$I$4:$I$33,U56))=0,0,(X56+Y56)*100/INDEX('Tender Setup'!$I$4:$I$33,U56))))</f>
        <v/>
      </c>
      <c r="AA56" s="7">
        <f>IF(B56="","",IF(I56&lt;&gt;"Yes","Excluded",COUNTIFS(T$4:T$103,T56,I$4:I$103,"Yes",Z$4:Z$103,"&gt;"&amp;Z56)+1))</f>
        <v/>
      </c>
      <c r="AB56" s="7">
        <f>IF(I56&lt;&gt;"Yes","",IF(AND(COUNTIFS(T$4:T$103,T56,I$4:I$103,"Yes")&gt;=2,N56&lt;W56*(1-Settings!$B$12)),"Well under median: check scope",""))</f>
        <v/>
      </c>
      <c r="AC56" s="36">
        <f>IF(B56="","",TRIM(IF(COUNTIF(D56:H56,"Yes")&lt;5,"Compliance gates not all Yes. ","")&amp;IF(SUMPRODUCT(--ISTEXT(J56:M56))&gt;0,"A price cell holds text, not a number. ","")&amp;IF(N(J56)&lt;=0,"No quoted price. ",IF(N(N56)&lt;=0,"Levelled price is $0 or less. ",""))&amp;IF(U56=0,"Package isn't on the Packages tab. ","")&amp;IF(SUMPRODUCT(ISTEXT(O56:S56)+(O56:S56&lt;0)+(O56:S56&gt;10))&gt;0,"Scores must be 0 to 10 (capped). ","")&amp;IF(AND(AA56=1,COUNTIFS(T$4:T$103,T56,AA$4:AA$103,1)&gt;1),"Tied for 1st: ask both for clarifications. ","")))</f>
        <v/>
      </c>
      <c r="AD56" s="7">
        <f>T56&amp;"|"&amp;AA56</f>
        <v/>
      </c>
      <c r="AE56" s="22" t="n"/>
      <c r="AF56" s="23" t="n"/>
    </row>
    <row r="57">
      <c r="A57" s="22" t="n"/>
      <c r="B57" s="22" t="n"/>
      <c r="C57" s="24" t="n"/>
      <c r="D57" s="22" t="n"/>
      <c r="E57" s="22" t="n"/>
      <c r="F57" s="22" t="n"/>
      <c r="G57" s="22" t="n"/>
      <c r="H57" s="22" t="n"/>
      <c r="I57" s="7">
        <f>IF(B57="","",IF(AND(COUNTIF(D57:H57,"Yes")=5,SUMPRODUCT(--ISTEXT(J57:M57))=0,N(J57)&gt;0,N(N57)&gt;0,U57&gt;0),"Yes","No"))</f>
        <v/>
      </c>
      <c r="J57" s="33" t="n"/>
      <c r="K57" s="33" t="n"/>
      <c r="L57" s="33" t="n"/>
      <c r="M57" s="33" t="n"/>
      <c r="N57" s="9">
        <f>IF(B57="","",N(J57)+N(K57)+N(L57)+N(M57))</f>
        <v/>
      </c>
      <c r="O57" s="22" t="n"/>
      <c r="P57" s="22" t="n"/>
      <c r="Q57" s="22" t="n"/>
      <c r="R57" s="22" t="n"/>
      <c r="S57" s="22" t="n"/>
      <c r="T57" s="7">
        <f>IF(A57="","",LEFT(A57,2))</f>
        <v/>
      </c>
      <c r="U57" s="7">
        <f>IF(A57="",0,IFERROR(MATCH(LEFT(A57,3)&amp;"*",'Tender Setup'!$A$4:$A$33,0),0))</f>
        <v/>
      </c>
      <c r="V57" s="9">
        <f t="array" ref="V57">IF(I57&lt;&gt;"Yes","",MIN(IF((T$4:T$103=T57)*(I$4:I$103="Yes"),N$4:N$103)))</f>
        <v/>
      </c>
      <c r="W57" s="9">
        <f t="array" ref="W57">IF(I57&lt;&gt;"Yes","",MEDIAN(IF((T$4:T$103=T57)*(I$4:I$103="Yes"),N$4:N$103)))</f>
        <v/>
      </c>
      <c r="X57" s="11">
        <f>IF(I57&lt;&gt;"Yes",0,V57/N57*INDEX('Tender Setup'!$C$4:$C$33,U57))</f>
        <v/>
      </c>
      <c r="Y57" s="11">
        <f>IF(I57&lt;&gt;"Yes",0,(MIN(10,MAX(0,N(O57)))*INDEX('Tender Setup'!$D$4:$D$33,U57)+MIN(10,MAX(0,N(P57)))*INDEX('Tender Setup'!$E$4:$E$33,U57)+MIN(10,MAX(0,N(Q57)))*INDEX('Tender Setup'!$F$4:$F$33,U57)+MIN(10,MAX(0,N(R57)))*INDEX('Tender Setup'!$G$4:$G$33,U57)+MIN(10,MAX(0,N(S57)))*INDEX('Tender Setup'!$H$4:$H$33,U57))/10)</f>
        <v/>
      </c>
      <c r="Z57" s="11">
        <f>IF(B57="","",IF(I57&lt;&gt;"Yes",0,IF(N(INDEX('Tender Setup'!$I$4:$I$33,U57))=0,0,(X57+Y57)*100/INDEX('Tender Setup'!$I$4:$I$33,U57))))</f>
        <v/>
      </c>
      <c r="AA57" s="7">
        <f>IF(B57="","",IF(I57&lt;&gt;"Yes","Excluded",COUNTIFS(T$4:T$103,T57,I$4:I$103,"Yes",Z$4:Z$103,"&gt;"&amp;Z57)+1))</f>
        <v/>
      </c>
      <c r="AB57" s="7">
        <f>IF(I57&lt;&gt;"Yes","",IF(AND(COUNTIFS(T$4:T$103,T57,I$4:I$103,"Yes")&gt;=2,N57&lt;W57*(1-Settings!$B$12)),"Well under median: check scope",""))</f>
        <v/>
      </c>
      <c r="AC57" s="36">
        <f>IF(B57="","",TRIM(IF(COUNTIF(D57:H57,"Yes")&lt;5,"Compliance gates not all Yes. ","")&amp;IF(SUMPRODUCT(--ISTEXT(J57:M57))&gt;0,"A price cell holds text, not a number. ","")&amp;IF(N(J57)&lt;=0,"No quoted price. ",IF(N(N57)&lt;=0,"Levelled price is $0 or less. ",""))&amp;IF(U57=0,"Package isn't on the Packages tab. ","")&amp;IF(SUMPRODUCT(ISTEXT(O57:S57)+(O57:S57&lt;0)+(O57:S57&gt;10))&gt;0,"Scores must be 0 to 10 (capped). ","")&amp;IF(AND(AA57=1,COUNTIFS(T$4:T$103,T57,AA$4:AA$103,1)&gt;1),"Tied for 1st: ask both for clarifications. ","")))</f>
        <v/>
      </c>
      <c r="AD57" s="7">
        <f>T57&amp;"|"&amp;AA57</f>
        <v/>
      </c>
      <c r="AE57" s="22" t="n"/>
      <c r="AF57" s="23" t="n"/>
    </row>
    <row r="58">
      <c r="A58" s="22" t="n"/>
      <c r="B58" s="22" t="n"/>
      <c r="C58" s="24" t="n"/>
      <c r="D58" s="22" t="n"/>
      <c r="E58" s="22" t="n"/>
      <c r="F58" s="22" t="n"/>
      <c r="G58" s="22" t="n"/>
      <c r="H58" s="22" t="n"/>
      <c r="I58" s="7">
        <f>IF(B58="","",IF(AND(COUNTIF(D58:H58,"Yes")=5,SUMPRODUCT(--ISTEXT(J58:M58))=0,N(J58)&gt;0,N(N58)&gt;0,U58&gt;0),"Yes","No"))</f>
        <v/>
      </c>
      <c r="J58" s="33" t="n"/>
      <c r="K58" s="33" t="n"/>
      <c r="L58" s="33" t="n"/>
      <c r="M58" s="33" t="n"/>
      <c r="N58" s="9">
        <f>IF(B58="","",N(J58)+N(K58)+N(L58)+N(M58))</f>
        <v/>
      </c>
      <c r="O58" s="22" t="n"/>
      <c r="P58" s="22" t="n"/>
      <c r="Q58" s="22" t="n"/>
      <c r="R58" s="22" t="n"/>
      <c r="S58" s="22" t="n"/>
      <c r="T58" s="7">
        <f>IF(A58="","",LEFT(A58,2))</f>
        <v/>
      </c>
      <c r="U58" s="7">
        <f>IF(A58="",0,IFERROR(MATCH(LEFT(A58,3)&amp;"*",'Tender Setup'!$A$4:$A$33,0),0))</f>
        <v/>
      </c>
      <c r="V58" s="9">
        <f t="array" ref="V58">IF(I58&lt;&gt;"Yes","",MIN(IF((T$4:T$103=T58)*(I$4:I$103="Yes"),N$4:N$103)))</f>
        <v/>
      </c>
      <c r="W58" s="9">
        <f t="array" ref="W58">IF(I58&lt;&gt;"Yes","",MEDIAN(IF((T$4:T$103=T58)*(I$4:I$103="Yes"),N$4:N$103)))</f>
        <v/>
      </c>
      <c r="X58" s="11">
        <f>IF(I58&lt;&gt;"Yes",0,V58/N58*INDEX('Tender Setup'!$C$4:$C$33,U58))</f>
        <v/>
      </c>
      <c r="Y58" s="11">
        <f>IF(I58&lt;&gt;"Yes",0,(MIN(10,MAX(0,N(O58)))*INDEX('Tender Setup'!$D$4:$D$33,U58)+MIN(10,MAX(0,N(P58)))*INDEX('Tender Setup'!$E$4:$E$33,U58)+MIN(10,MAX(0,N(Q58)))*INDEX('Tender Setup'!$F$4:$F$33,U58)+MIN(10,MAX(0,N(R58)))*INDEX('Tender Setup'!$G$4:$G$33,U58)+MIN(10,MAX(0,N(S58)))*INDEX('Tender Setup'!$H$4:$H$33,U58))/10)</f>
        <v/>
      </c>
      <c r="Z58" s="11">
        <f>IF(B58="","",IF(I58&lt;&gt;"Yes",0,IF(N(INDEX('Tender Setup'!$I$4:$I$33,U58))=0,0,(X58+Y58)*100/INDEX('Tender Setup'!$I$4:$I$33,U58))))</f>
        <v/>
      </c>
      <c r="AA58" s="7">
        <f>IF(B58="","",IF(I58&lt;&gt;"Yes","Excluded",COUNTIFS(T$4:T$103,T58,I$4:I$103,"Yes",Z$4:Z$103,"&gt;"&amp;Z58)+1))</f>
        <v/>
      </c>
      <c r="AB58" s="7">
        <f>IF(I58&lt;&gt;"Yes","",IF(AND(COUNTIFS(T$4:T$103,T58,I$4:I$103,"Yes")&gt;=2,N58&lt;W58*(1-Settings!$B$12)),"Well under median: check scope",""))</f>
        <v/>
      </c>
      <c r="AC58" s="36">
        <f>IF(B58="","",TRIM(IF(COUNTIF(D58:H58,"Yes")&lt;5,"Compliance gates not all Yes. ","")&amp;IF(SUMPRODUCT(--ISTEXT(J58:M58))&gt;0,"A price cell holds text, not a number. ","")&amp;IF(N(J58)&lt;=0,"No quoted price. ",IF(N(N58)&lt;=0,"Levelled price is $0 or less. ",""))&amp;IF(U58=0,"Package isn't on the Packages tab. ","")&amp;IF(SUMPRODUCT(ISTEXT(O58:S58)+(O58:S58&lt;0)+(O58:S58&gt;10))&gt;0,"Scores must be 0 to 10 (capped). ","")&amp;IF(AND(AA58=1,COUNTIFS(T$4:T$103,T58,AA$4:AA$103,1)&gt;1),"Tied for 1st: ask both for clarifications. ","")))</f>
        <v/>
      </c>
      <c r="AD58" s="7">
        <f>T58&amp;"|"&amp;AA58</f>
        <v/>
      </c>
      <c r="AE58" s="22" t="n"/>
      <c r="AF58" s="23" t="n"/>
    </row>
    <row r="59">
      <c r="A59" s="22" t="n"/>
      <c r="B59" s="22" t="n"/>
      <c r="C59" s="24" t="n"/>
      <c r="D59" s="22" t="n"/>
      <c r="E59" s="22" t="n"/>
      <c r="F59" s="22" t="n"/>
      <c r="G59" s="22" t="n"/>
      <c r="H59" s="22" t="n"/>
      <c r="I59" s="7">
        <f>IF(B59="","",IF(AND(COUNTIF(D59:H59,"Yes")=5,SUMPRODUCT(--ISTEXT(J59:M59))=0,N(J59)&gt;0,N(N59)&gt;0,U59&gt;0),"Yes","No"))</f>
        <v/>
      </c>
      <c r="J59" s="33" t="n"/>
      <c r="K59" s="33" t="n"/>
      <c r="L59" s="33" t="n"/>
      <c r="M59" s="33" t="n"/>
      <c r="N59" s="9">
        <f>IF(B59="","",N(J59)+N(K59)+N(L59)+N(M59))</f>
        <v/>
      </c>
      <c r="O59" s="22" t="n"/>
      <c r="P59" s="22" t="n"/>
      <c r="Q59" s="22" t="n"/>
      <c r="R59" s="22" t="n"/>
      <c r="S59" s="22" t="n"/>
      <c r="T59" s="7">
        <f>IF(A59="","",LEFT(A59,2))</f>
        <v/>
      </c>
      <c r="U59" s="7">
        <f>IF(A59="",0,IFERROR(MATCH(LEFT(A59,3)&amp;"*",'Tender Setup'!$A$4:$A$33,0),0))</f>
        <v/>
      </c>
      <c r="V59" s="9">
        <f t="array" ref="V59">IF(I59&lt;&gt;"Yes","",MIN(IF((T$4:T$103=T59)*(I$4:I$103="Yes"),N$4:N$103)))</f>
        <v/>
      </c>
      <c r="W59" s="9">
        <f t="array" ref="W59">IF(I59&lt;&gt;"Yes","",MEDIAN(IF((T$4:T$103=T59)*(I$4:I$103="Yes"),N$4:N$103)))</f>
        <v/>
      </c>
      <c r="X59" s="11">
        <f>IF(I59&lt;&gt;"Yes",0,V59/N59*INDEX('Tender Setup'!$C$4:$C$33,U59))</f>
        <v/>
      </c>
      <c r="Y59" s="11">
        <f>IF(I59&lt;&gt;"Yes",0,(MIN(10,MAX(0,N(O59)))*INDEX('Tender Setup'!$D$4:$D$33,U59)+MIN(10,MAX(0,N(P59)))*INDEX('Tender Setup'!$E$4:$E$33,U59)+MIN(10,MAX(0,N(Q59)))*INDEX('Tender Setup'!$F$4:$F$33,U59)+MIN(10,MAX(0,N(R59)))*INDEX('Tender Setup'!$G$4:$G$33,U59)+MIN(10,MAX(0,N(S59)))*INDEX('Tender Setup'!$H$4:$H$33,U59))/10)</f>
        <v/>
      </c>
      <c r="Z59" s="11">
        <f>IF(B59="","",IF(I59&lt;&gt;"Yes",0,IF(N(INDEX('Tender Setup'!$I$4:$I$33,U59))=0,0,(X59+Y59)*100/INDEX('Tender Setup'!$I$4:$I$33,U59))))</f>
        <v/>
      </c>
      <c r="AA59" s="7">
        <f>IF(B59="","",IF(I59&lt;&gt;"Yes","Excluded",COUNTIFS(T$4:T$103,T59,I$4:I$103,"Yes",Z$4:Z$103,"&gt;"&amp;Z59)+1))</f>
        <v/>
      </c>
      <c r="AB59" s="7">
        <f>IF(I59&lt;&gt;"Yes","",IF(AND(COUNTIFS(T$4:T$103,T59,I$4:I$103,"Yes")&gt;=2,N59&lt;W59*(1-Settings!$B$12)),"Well under median: check scope",""))</f>
        <v/>
      </c>
      <c r="AC59" s="36">
        <f>IF(B59="","",TRIM(IF(COUNTIF(D59:H59,"Yes")&lt;5,"Compliance gates not all Yes. ","")&amp;IF(SUMPRODUCT(--ISTEXT(J59:M59))&gt;0,"A price cell holds text, not a number. ","")&amp;IF(N(J59)&lt;=0,"No quoted price. ",IF(N(N59)&lt;=0,"Levelled price is $0 or less. ",""))&amp;IF(U59=0,"Package isn't on the Packages tab. ","")&amp;IF(SUMPRODUCT(ISTEXT(O59:S59)+(O59:S59&lt;0)+(O59:S59&gt;10))&gt;0,"Scores must be 0 to 10 (capped). ","")&amp;IF(AND(AA59=1,COUNTIFS(T$4:T$103,T59,AA$4:AA$103,1)&gt;1),"Tied for 1st: ask both for clarifications. ","")))</f>
        <v/>
      </c>
      <c r="AD59" s="7">
        <f>T59&amp;"|"&amp;AA59</f>
        <v/>
      </c>
      <c r="AE59" s="22" t="n"/>
      <c r="AF59" s="23" t="n"/>
    </row>
    <row r="60">
      <c r="A60" s="22" t="n"/>
      <c r="B60" s="22" t="n"/>
      <c r="C60" s="24" t="n"/>
      <c r="D60" s="22" t="n"/>
      <c r="E60" s="22" t="n"/>
      <c r="F60" s="22" t="n"/>
      <c r="G60" s="22" t="n"/>
      <c r="H60" s="22" t="n"/>
      <c r="I60" s="7">
        <f>IF(B60="","",IF(AND(COUNTIF(D60:H60,"Yes")=5,SUMPRODUCT(--ISTEXT(J60:M60))=0,N(J60)&gt;0,N(N60)&gt;0,U60&gt;0),"Yes","No"))</f>
        <v/>
      </c>
      <c r="J60" s="33" t="n"/>
      <c r="K60" s="33" t="n"/>
      <c r="L60" s="33" t="n"/>
      <c r="M60" s="33" t="n"/>
      <c r="N60" s="9">
        <f>IF(B60="","",N(J60)+N(K60)+N(L60)+N(M60))</f>
        <v/>
      </c>
      <c r="O60" s="22" t="n"/>
      <c r="P60" s="22" t="n"/>
      <c r="Q60" s="22" t="n"/>
      <c r="R60" s="22" t="n"/>
      <c r="S60" s="22" t="n"/>
      <c r="T60" s="7">
        <f>IF(A60="","",LEFT(A60,2))</f>
        <v/>
      </c>
      <c r="U60" s="7">
        <f>IF(A60="",0,IFERROR(MATCH(LEFT(A60,3)&amp;"*",'Tender Setup'!$A$4:$A$33,0),0))</f>
        <v/>
      </c>
      <c r="V60" s="9">
        <f t="array" ref="V60">IF(I60&lt;&gt;"Yes","",MIN(IF((T$4:T$103=T60)*(I$4:I$103="Yes"),N$4:N$103)))</f>
        <v/>
      </c>
      <c r="W60" s="9">
        <f t="array" ref="W60">IF(I60&lt;&gt;"Yes","",MEDIAN(IF((T$4:T$103=T60)*(I$4:I$103="Yes"),N$4:N$103)))</f>
        <v/>
      </c>
      <c r="X60" s="11">
        <f>IF(I60&lt;&gt;"Yes",0,V60/N60*INDEX('Tender Setup'!$C$4:$C$33,U60))</f>
        <v/>
      </c>
      <c r="Y60" s="11">
        <f>IF(I60&lt;&gt;"Yes",0,(MIN(10,MAX(0,N(O60)))*INDEX('Tender Setup'!$D$4:$D$33,U60)+MIN(10,MAX(0,N(P60)))*INDEX('Tender Setup'!$E$4:$E$33,U60)+MIN(10,MAX(0,N(Q60)))*INDEX('Tender Setup'!$F$4:$F$33,U60)+MIN(10,MAX(0,N(R60)))*INDEX('Tender Setup'!$G$4:$G$33,U60)+MIN(10,MAX(0,N(S60)))*INDEX('Tender Setup'!$H$4:$H$33,U60))/10)</f>
        <v/>
      </c>
      <c r="Z60" s="11">
        <f>IF(B60="","",IF(I60&lt;&gt;"Yes",0,IF(N(INDEX('Tender Setup'!$I$4:$I$33,U60))=0,0,(X60+Y60)*100/INDEX('Tender Setup'!$I$4:$I$33,U60))))</f>
        <v/>
      </c>
      <c r="AA60" s="7">
        <f>IF(B60="","",IF(I60&lt;&gt;"Yes","Excluded",COUNTIFS(T$4:T$103,T60,I$4:I$103,"Yes",Z$4:Z$103,"&gt;"&amp;Z60)+1))</f>
        <v/>
      </c>
      <c r="AB60" s="7">
        <f>IF(I60&lt;&gt;"Yes","",IF(AND(COUNTIFS(T$4:T$103,T60,I$4:I$103,"Yes")&gt;=2,N60&lt;W60*(1-Settings!$B$12)),"Well under median: check scope",""))</f>
        <v/>
      </c>
      <c r="AC60" s="36">
        <f>IF(B60="","",TRIM(IF(COUNTIF(D60:H60,"Yes")&lt;5,"Compliance gates not all Yes. ","")&amp;IF(SUMPRODUCT(--ISTEXT(J60:M60))&gt;0,"A price cell holds text, not a number. ","")&amp;IF(N(J60)&lt;=0,"No quoted price. ",IF(N(N60)&lt;=0,"Levelled price is $0 or less. ",""))&amp;IF(U60=0,"Package isn't on the Packages tab. ","")&amp;IF(SUMPRODUCT(ISTEXT(O60:S60)+(O60:S60&lt;0)+(O60:S60&gt;10))&gt;0,"Scores must be 0 to 10 (capped). ","")&amp;IF(AND(AA60=1,COUNTIFS(T$4:T$103,T60,AA$4:AA$103,1)&gt;1),"Tied for 1st: ask both for clarifications. ","")))</f>
        <v/>
      </c>
      <c r="AD60" s="7">
        <f>T60&amp;"|"&amp;AA60</f>
        <v/>
      </c>
      <c r="AE60" s="22" t="n"/>
      <c r="AF60" s="23" t="n"/>
    </row>
    <row r="61">
      <c r="A61" s="22" t="n"/>
      <c r="B61" s="22" t="n"/>
      <c r="C61" s="24" t="n"/>
      <c r="D61" s="22" t="n"/>
      <c r="E61" s="22" t="n"/>
      <c r="F61" s="22" t="n"/>
      <c r="G61" s="22" t="n"/>
      <c r="H61" s="22" t="n"/>
      <c r="I61" s="7">
        <f>IF(B61="","",IF(AND(COUNTIF(D61:H61,"Yes")=5,SUMPRODUCT(--ISTEXT(J61:M61))=0,N(J61)&gt;0,N(N61)&gt;0,U61&gt;0),"Yes","No"))</f>
        <v/>
      </c>
      <c r="J61" s="33" t="n"/>
      <c r="K61" s="33" t="n"/>
      <c r="L61" s="33" t="n"/>
      <c r="M61" s="33" t="n"/>
      <c r="N61" s="9">
        <f>IF(B61="","",N(J61)+N(K61)+N(L61)+N(M61))</f>
        <v/>
      </c>
      <c r="O61" s="22" t="n"/>
      <c r="P61" s="22" t="n"/>
      <c r="Q61" s="22" t="n"/>
      <c r="R61" s="22" t="n"/>
      <c r="S61" s="22" t="n"/>
      <c r="T61" s="7">
        <f>IF(A61="","",LEFT(A61,2))</f>
        <v/>
      </c>
      <c r="U61" s="7">
        <f>IF(A61="",0,IFERROR(MATCH(LEFT(A61,3)&amp;"*",'Tender Setup'!$A$4:$A$33,0),0))</f>
        <v/>
      </c>
      <c r="V61" s="9">
        <f t="array" ref="V61">IF(I61&lt;&gt;"Yes","",MIN(IF((T$4:T$103=T61)*(I$4:I$103="Yes"),N$4:N$103)))</f>
        <v/>
      </c>
      <c r="W61" s="9">
        <f t="array" ref="W61">IF(I61&lt;&gt;"Yes","",MEDIAN(IF((T$4:T$103=T61)*(I$4:I$103="Yes"),N$4:N$103)))</f>
        <v/>
      </c>
      <c r="X61" s="11">
        <f>IF(I61&lt;&gt;"Yes",0,V61/N61*INDEX('Tender Setup'!$C$4:$C$33,U61))</f>
        <v/>
      </c>
      <c r="Y61" s="11">
        <f>IF(I61&lt;&gt;"Yes",0,(MIN(10,MAX(0,N(O61)))*INDEX('Tender Setup'!$D$4:$D$33,U61)+MIN(10,MAX(0,N(P61)))*INDEX('Tender Setup'!$E$4:$E$33,U61)+MIN(10,MAX(0,N(Q61)))*INDEX('Tender Setup'!$F$4:$F$33,U61)+MIN(10,MAX(0,N(R61)))*INDEX('Tender Setup'!$G$4:$G$33,U61)+MIN(10,MAX(0,N(S61)))*INDEX('Tender Setup'!$H$4:$H$33,U61))/10)</f>
        <v/>
      </c>
      <c r="Z61" s="11">
        <f>IF(B61="","",IF(I61&lt;&gt;"Yes",0,IF(N(INDEX('Tender Setup'!$I$4:$I$33,U61))=0,0,(X61+Y61)*100/INDEX('Tender Setup'!$I$4:$I$33,U61))))</f>
        <v/>
      </c>
      <c r="AA61" s="7">
        <f>IF(B61="","",IF(I61&lt;&gt;"Yes","Excluded",COUNTIFS(T$4:T$103,T61,I$4:I$103,"Yes",Z$4:Z$103,"&gt;"&amp;Z61)+1))</f>
        <v/>
      </c>
      <c r="AB61" s="7">
        <f>IF(I61&lt;&gt;"Yes","",IF(AND(COUNTIFS(T$4:T$103,T61,I$4:I$103,"Yes")&gt;=2,N61&lt;W61*(1-Settings!$B$12)),"Well under median: check scope",""))</f>
        <v/>
      </c>
      <c r="AC61" s="36">
        <f>IF(B61="","",TRIM(IF(COUNTIF(D61:H61,"Yes")&lt;5,"Compliance gates not all Yes. ","")&amp;IF(SUMPRODUCT(--ISTEXT(J61:M61))&gt;0,"A price cell holds text, not a number. ","")&amp;IF(N(J61)&lt;=0,"No quoted price. ",IF(N(N61)&lt;=0,"Levelled price is $0 or less. ",""))&amp;IF(U61=0,"Package isn't on the Packages tab. ","")&amp;IF(SUMPRODUCT(ISTEXT(O61:S61)+(O61:S61&lt;0)+(O61:S61&gt;10))&gt;0,"Scores must be 0 to 10 (capped). ","")&amp;IF(AND(AA61=1,COUNTIFS(T$4:T$103,T61,AA$4:AA$103,1)&gt;1),"Tied for 1st: ask both for clarifications. ","")))</f>
        <v/>
      </c>
      <c r="AD61" s="7">
        <f>T61&amp;"|"&amp;AA61</f>
        <v/>
      </c>
      <c r="AE61" s="22" t="n"/>
      <c r="AF61" s="23" t="n"/>
    </row>
    <row r="62">
      <c r="A62" s="22" t="n"/>
      <c r="B62" s="22" t="n"/>
      <c r="C62" s="24" t="n"/>
      <c r="D62" s="22" t="n"/>
      <c r="E62" s="22" t="n"/>
      <c r="F62" s="22" t="n"/>
      <c r="G62" s="22" t="n"/>
      <c r="H62" s="22" t="n"/>
      <c r="I62" s="7">
        <f>IF(B62="","",IF(AND(COUNTIF(D62:H62,"Yes")=5,SUMPRODUCT(--ISTEXT(J62:M62))=0,N(J62)&gt;0,N(N62)&gt;0,U62&gt;0),"Yes","No"))</f>
        <v/>
      </c>
      <c r="J62" s="33" t="n"/>
      <c r="K62" s="33" t="n"/>
      <c r="L62" s="33" t="n"/>
      <c r="M62" s="33" t="n"/>
      <c r="N62" s="9">
        <f>IF(B62="","",N(J62)+N(K62)+N(L62)+N(M62))</f>
        <v/>
      </c>
      <c r="O62" s="22" t="n"/>
      <c r="P62" s="22" t="n"/>
      <c r="Q62" s="22" t="n"/>
      <c r="R62" s="22" t="n"/>
      <c r="S62" s="22" t="n"/>
      <c r="T62" s="7">
        <f>IF(A62="","",LEFT(A62,2))</f>
        <v/>
      </c>
      <c r="U62" s="7">
        <f>IF(A62="",0,IFERROR(MATCH(LEFT(A62,3)&amp;"*",'Tender Setup'!$A$4:$A$33,0),0))</f>
        <v/>
      </c>
      <c r="V62" s="9">
        <f t="array" ref="V62">IF(I62&lt;&gt;"Yes","",MIN(IF((T$4:T$103=T62)*(I$4:I$103="Yes"),N$4:N$103)))</f>
        <v/>
      </c>
      <c r="W62" s="9">
        <f t="array" ref="W62">IF(I62&lt;&gt;"Yes","",MEDIAN(IF((T$4:T$103=T62)*(I$4:I$103="Yes"),N$4:N$103)))</f>
        <v/>
      </c>
      <c r="X62" s="11">
        <f>IF(I62&lt;&gt;"Yes",0,V62/N62*INDEX('Tender Setup'!$C$4:$C$33,U62))</f>
        <v/>
      </c>
      <c r="Y62" s="11">
        <f>IF(I62&lt;&gt;"Yes",0,(MIN(10,MAX(0,N(O62)))*INDEX('Tender Setup'!$D$4:$D$33,U62)+MIN(10,MAX(0,N(P62)))*INDEX('Tender Setup'!$E$4:$E$33,U62)+MIN(10,MAX(0,N(Q62)))*INDEX('Tender Setup'!$F$4:$F$33,U62)+MIN(10,MAX(0,N(R62)))*INDEX('Tender Setup'!$G$4:$G$33,U62)+MIN(10,MAX(0,N(S62)))*INDEX('Tender Setup'!$H$4:$H$33,U62))/10)</f>
        <v/>
      </c>
      <c r="Z62" s="11">
        <f>IF(B62="","",IF(I62&lt;&gt;"Yes",0,IF(N(INDEX('Tender Setup'!$I$4:$I$33,U62))=0,0,(X62+Y62)*100/INDEX('Tender Setup'!$I$4:$I$33,U62))))</f>
        <v/>
      </c>
      <c r="AA62" s="7">
        <f>IF(B62="","",IF(I62&lt;&gt;"Yes","Excluded",COUNTIFS(T$4:T$103,T62,I$4:I$103,"Yes",Z$4:Z$103,"&gt;"&amp;Z62)+1))</f>
        <v/>
      </c>
      <c r="AB62" s="7">
        <f>IF(I62&lt;&gt;"Yes","",IF(AND(COUNTIFS(T$4:T$103,T62,I$4:I$103,"Yes")&gt;=2,N62&lt;W62*(1-Settings!$B$12)),"Well under median: check scope",""))</f>
        <v/>
      </c>
      <c r="AC62" s="36">
        <f>IF(B62="","",TRIM(IF(COUNTIF(D62:H62,"Yes")&lt;5,"Compliance gates not all Yes. ","")&amp;IF(SUMPRODUCT(--ISTEXT(J62:M62))&gt;0,"A price cell holds text, not a number. ","")&amp;IF(N(J62)&lt;=0,"No quoted price. ",IF(N(N62)&lt;=0,"Levelled price is $0 or less. ",""))&amp;IF(U62=0,"Package isn't on the Packages tab. ","")&amp;IF(SUMPRODUCT(ISTEXT(O62:S62)+(O62:S62&lt;0)+(O62:S62&gt;10))&gt;0,"Scores must be 0 to 10 (capped). ","")&amp;IF(AND(AA62=1,COUNTIFS(T$4:T$103,T62,AA$4:AA$103,1)&gt;1),"Tied for 1st: ask both for clarifications. ","")))</f>
        <v/>
      </c>
      <c r="AD62" s="7">
        <f>T62&amp;"|"&amp;AA62</f>
        <v/>
      </c>
      <c r="AE62" s="22" t="n"/>
      <c r="AF62" s="23" t="n"/>
    </row>
    <row r="63">
      <c r="A63" s="22" t="n"/>
      <c r="B63" s="22" t="n"/>
      <c r="C63" s="24" t="n"/>
      <c r="D63" s="22" t="n"/>
      <c r="E63" s="22" t="n"/>
      <c r="F63" s="22" t="n"/>
      <c r="G63" s="22" t="n"/>
      <c r="H63" s="22" t="n"/>
      <c r="I63" s="7">
        <f>IF(B63="","",IF(AND(COUNTIF(D63:H63,"Yes")=5,SUMPRODUCT(--ISTEXT(J63:M63))=0,N(J63)&gt;0,N(N63)&gt;0,U63&gt;0),"Yes","No"))</f>
        <v/>
      </c>
      <c r="J63" s="33" t="n"/>
      <c r="K63" s="33" t="n"/>
      <c r="L63" s="33" t="n"/>
      <c r="M63" s="33" t="n"/>
      <c r="N63" s="9">
        <f>IF(B63="","",N(J63)+N(K63)+N(L63)+N(M63))</f>
        <v/>
      </c>
      <c r="O63" s="22" t="n"/>
      <c r="P63" s="22" t="n"/>
      <c r="Q63" s="22" t="n"/>
      <c r="R63" s="22" t="n"/>
      <c r="S63" s="22" t="n"/>
      <c r="T63" s="7">
        <f>IF(A63="","",LEFT(A63,2))</f>
        <v/>
      </c>
      <c r="U63" s="7">
        <f>IF(A63="",0,IFERROR(MATCH(LEFT(A63,3)&amp;"*",'Tender Setup'!$A$4:$A$33,0),0))</f>
        <v/>
      </c>
      <c r="V63" s="9">
        <f t="array" ref="V63">IF(I63&lt;&gt;"Yes","",MIN(IF((T$4:T$103=T63)*(I$4:I$103="Yes"),N$4:N$103)))</f>
        <v/>
      </c>
      <c r="W63" s="9">
        <f t="array" ref="W63">IF(I63&lt;&gt;"Yes","",MEDIAN(IF((T$4:T$103=T63)*(I$4:I$103="Yes"),N$4:N$103)))</f>
        <v/>
      </c>
      <c r="X63" s="11">
        <f>IF(I63&lt;&gt;"Yes",0,V63/N63*INDEX('Tender Setup'!$C$4:$C$33,U63))</f>
        <v/>
      </c>
      <c r="Y63" s="11">
        <f>IF(I63&lt;&gt;"Yes",0,(MIN(10,MAX(0,N(O63)))*INDEX('Tender Setup'!$D$4:$D$33,U63)+MIN(10,MAX(0,N(P63)))*INDEX('Tender Setup'!$E$4:$E$33,U63)+MIN(10,MAX(0,N(Q63)))*INDEX('Tender Setup'!$F$4:$F$33,U63)+MIN(10,MAX(0,N(R63)))*INDEX('Tender Setup'!$G$4:$G$33,U63)+MIN(10,MAX(0,N(S63)))*INDEX('Tender Setup'!$H$4:$H$33,U63))/10)</f>
        <v/>
      </c>
      <c r="Z63" s="11">
        <f>IF(B63="","",IF(I63&lt;&gt;"Yes",0,IF(N(INDEX('Tender Setup'!$I$4:$I$33,U63))=0,0,(X63+Y63)*100/INDEX('Tender Setup'!$I$4:$I$33,U63))))</f>
        <v/>
      </c>
      <c r="AA63" s="7">
        <f>IF(B63="","",IF(I63&lt;&gt;"Yes","Excluded",COUNTIFS(T$4:T$103,T63,I$4:I$103,"Yes",Z$4:Z$103,"&gt;"&amp;Z63)+1))</f>
        <v/>
      </c>
      <c r="AB63" s="7">
        <f>IF(I63&lt;&gt;"Yes","",IF(AND(COUNTIFS(T$4:T$103,T63,I$4:I$103,"Yes")&gt;=2,N63&lt;W63*(1-Settings!$B$12)),"Well under median: check scope",""))</f>
        <v/>
      </c>
      <c r="AC63" s="36">
        <f>IF(B63="","",TRIM(IF(COUNTIF(D63:H63,"Yes")&lt;5,"Compliance gates not all Yes. ","")&amp;IF(SUMPRODUCT(--ISTEXT(J63:M63))&gt;0,"A price cell holds text, not a number. ","")&amp;IF(N(J63)&lt;=0,"No quoted price. ",IF(N(N63)&lt;=0,"Levelled price is $0 or less. ",""))&amp;IF(U63=0,"Package isn't on the Packages tab. ","")&amp;IF(SUMPRODUCT(ISTEXT(O63:S63)+(O63:S63&lt;0)+(O63:S63&gt;10))&gt;0,"Scores must be 0 to 10 (capped). ","")&amp;IF(AND(AA63=1,COUNTIFS(T$4:T$103,T63,AA$4:AA$103,1)&gt;1),"Tied for 1st: ask both for clarifications. ","")))</f>
        <v/>
      </c>
      <c r="AD63" s="7">
        <f>T63&amp;"|"&amp;AA63</f>
        <v/>
      </c>
      <c r="AE63" s="22" t="n"/>
      <c r="AF63" s="23" t="n"/>
    </row>
    <row r="64">
      <c r="A64" s="22" t="n"/>
      <c r="B64" s="22" t="n"/>
      <c r="C64" s="24" t="n"/>
      <c r="D64" s="22" t="n"/>
      <c r="E64" s="22" t="n"/>
      <c r="F64" s="22" t="n"/>
      <c r="G64" s="22" t="n"/>
      <c r="H64" s="22" t="n"/>
      <c r="I64" s="7">
        <f>IF(B64="","",IF(AND(COUNTIF(D64:H64,"Yes")=5,SUMPRODUCT(--ISTEXT(J64:M64))=0,N(J64)&gt;0,N(N64)&gt;0,U64&gt;0),"Yes","No"))</f>
        <v/>
      </c>
      <c r="J64" s="33" t="n"/>
      <c r="K64" s="33" t="n"/>
      <c r="L64" s="33" t="n"/>
      <c r="M64" s="33" t="n"/>
      <c r="N64" s="9">
        <f>IF(B64="","",N(J64)+N(K64)+N(L64)+N(M64))</f>
        <v/>
      </c>
      <c r="O64" s="22" t="n"/>
      <c r="P64" s="22" t="n"/>
      <c r="Q64" s="22" t="n"/>
      <c r="R64" s="22" t="n"/>
      <c r="S64" s="22" t="n"/>
      <c r="T64" s="7">
        <f>IF(A64="","",LEFT(A64,2))</f>
        <v/>
      </c>
      <c r="U64" s="7">
        <f>IF(A64="",0,IFERROR(MATCH(LEFT(A64,3)&amp;"*",'Tender Setup'!$A$4:$A$33,0),0))</f>
        <v/>
      </c>
      <c r="V64" s="9">
        <f t="array" ref="V64">IF(I64&lt;&gt;"Yes","",MIN(IF((T$4:T$103=T64)*(I$4:I$103="Yes"),N$4:N$103)))</f>
        <v/>
      </c>
      <c r="W64" s="9">
        <f t="array" ref="W64">IF(I64&lt;&gt;"Yes","",MEDIAN(IF((T$4:T$103=T64)*(I$4:I$103="Yes"),N$4:N$103)))</f>
        <v/>
      </c>
      <c r="X64" s="11">
        <f>IF(I64&lt;&gt;"Yes",0,V64/N64*INDEX('Tender Setup'!$C$4:$C$33,U64))</f>
        <v/>
      </c>
      <c r="Y64" s="11">
        <f>IF(I64&lt;&gt;"Yes",0,(MIN(10,MAX(0,N(O64)))*INDEX('Tender Setup'!$D$4:$D$33,U64)+MIN(10,MAX(0,N(P64)))*INDEX('Tender Setup'!$E$4:$E$33,U64)+MIN(10,MAX(0,N(Q64)))*INDEX('Tender Setup'!$F$4:$F$33,U64)+MIN(10,MAX(0,N(R64)))*INDEX('Tender Setup'!$G$4:$G$33,U64)+MIN(10,MAX(0,N(S64)))*INDEX('Tender Setup'!$H$4:$H$33,U64))/10)</f>
        <v/>
      </c>
      <c r="Z64" s="11">
        <f>IF(B64="","",IF(I64&lt;&gt;"Yes",0,IF(N(INDEX('Tender Setup'!$I$4:$I$33,U64))=0,0,(X64+Y64)*100/INDEX('Tender Setup'!$I$4:$I$33,U64))))</f>
        <v/>
      </c>
      <c r="AA64" s="7">
        <f>IF(B64="","",IF(I64&lt;&gt;"Yes","Excluded",COUNTIFS(T$4:T$103,T64,I$4:I$103,"Yes",Z$4:Z$103,"&gt;"&amp;Z64)+1))</f>
        <v/>
      </c>
      <c r="AB64" s="7">
        <f>IF(I64&lt;&gt;"Yes","",IF(AND(COUNTIFS(T$4:T$103,T64,I$4:I$103,"Yes")&gt;=2,N64&lt;W64*(1-Settings!$B$12)),"Well under median: check scope",""))</f>
        <v/>
      </c>
      <c r="AC64" s="36">
        <f>IF(B64="","",TRIM(IF(COUNTIF(D64:H64,"Yes")&lt;5,"Compliance gates not all Yes. ","")&amp;IF(SUMPRODUCT(--ISTEXT(J64:M64))&gt;0,"A price cell holds text, not a number. ","")&amp;IF(N(J64)&lt;=0,"No quoted price. ",IF(N(N64)&lt;=0,"Levelled price is $0 or less. ",""))&amp;IF(U64=0,"Package isn't on the Packages tab. ","")&amp;IF(SUMPRODUCT(ISTEXT(O64:S64)+(O64:S64&lt;0)+(O64:S64&gt;10))&gt;0,"Scores must be 0 to 10 (capped). ","")&amp;IF(AND(AA64=1,COUNTIFS(T$4:T$103,T64,AA$4:AA$103,1)&gt;1),"Tied for 1st: ask both for clarifications. ","")))</f>
        <v/>
      </c>
      <c r="AD64" s="7">
        <f>T64&amp;"|"&amp;AA64</f>
        <v/>
      </c>
      <c r="AE64" s="22" t="n"/>
      <c r="AF64" s="23" t="n"/>
    </row>
    <row r="65">
      <c r="A65" s="22" t="n"/>
      <c r="B65" s="22" t="n"/>
      <c r="C65" s="24" t="n"/>
      <c r="D65" s="22" t="n"/>
      <c r="E65" s="22" t="n"/>
      <c r="F65" s="22" t="n"/>
      <c r="G65" s="22" t="n"/>
      <c r="H65" s="22" t="n"/>
      <c r="I65" s="7">
        <f>IF(B65="","",IF(AND(COUNTIF(D65:H65,"Yes")=5,SUMPRODUCT(--ISTEXT(J65:M65))=0,N(J65)&gt;0,N(N65)&gt;0,U65&gt;0),"Yes","No"))</f>
        <v/>
      </c>
      <c r="J65" s="33" t="n"/>
      <c r="K65" s="33" t="n"/>
      <c r="L65" s="33" t="n"/>
      <c r="M65" s="33" t="n"/>
      <c r="N65" s="9">
        <f>IF(B65="","",N(J65)+N(K65)+N(L65)+N(M65))</f>
        <v/>
      </c>
      <c r="O65" s="22" t="n"/>
      <c r="P65" s="22" t="n"/>
      <c r="Q65" s="22" t="n"/>
      <c r="R65" s="22" t="n"/>
      <c r="S65" s="22" t="n"/>
      <c r="T65" s="7">
        <f>IF(A65="","",LEFT(A65,2))</f>
        <v/>
      </c>
      <c r="U65" s="7">
        <f>IF(A65="",0,IFERROR(MATCH(LEFT(A65,3)&amp;"*",'Tender Setup'!$A$4:$A$33,0),0))</f>
        <v/>
      </c>
      <c r="V65" s="9">
        <f t="array" ref="V65">IF(I65&lt;&gt;"Yes","",MIN(IF((T$4:T$103=T65)*(I$4:I$103="Yes"),N$4:N$103)))</f>
        <v/>
      </c>
      <c r="W65" s="9">
        <f t="array" ref="W65">IF(I65&lt;&gt;"Yes","",MEDIAN(IF((T$4:T$103=T65)*(I$4:I$103="Yes"),N$4:N$103)))</f>
        <v/>
      </c>
      <c r="X65" s="11">
        <f>IF(I65&lt;&gt;"Yes",0,V65/N65*INDEX('Tender Setup'!$C$4:$C$33,U65))</f>
        <v/>
      </c>
      <c r="Y65" s="11">
        <f>IF(I65&lt;&gt;"Yes",0,(MIN(10,MAX(0,N(O65)))*INDEX('Tender Setup'!$D$4:$D$33,U65)+MIN(10,MAX(0,N(P65)))*INDEX('Tender Setup'!$E$4:$E$33,U65)+MIN(10,MAX(0,N(Q65)))*INDEX('Tender Setup'!$F$4:$F$33,U65)+MIN(10,MAX(0,N(R65)))*INDEX('Tender Setup'!$G$4:$G$33,U65)+MIN(10,MAX(0,N(S65)))*INDEX('Tender Setup'!$H$4:$H$33,U65))/10)</f>
        <v/>
      </c>
      <c r="Z65" s="11">
        <f>IF(B65="","",IF(I65&lt;&gt;"Yes",0,IF(N(INDEX('Tender Setup'!$I$4:$I$33,U65))=0,0,(X65+Y65)*100/INDEX('Tender Setup'!$I$4:$I$33,U65))))</f>
        <v/>
      </c>
      <c r="AA65" s="7">
        <f>IF(B65="","",IF(I65&lt;&gt;"Yes","Excluded",COUNTIFS(T$4:T$103,T65,I$4:I$103,"Yes",Z$4:Z$103,"&gt;"&amp;Z65)+1))</f>
        <v/>
      </c>
      <c r="AB65" s="7">
        <f>IF(I65&lt;&gt;"Yes","",IF(AND(COUNTIFS(T$4:T$103,T65,I$4:I$103,"Yes")&gt;=2,N65&lt;W65*(1-Settings!$B$12)),"Well under median: check scope",""))</f>
        <v/>
      </c>
      <c r="AC65" s="36">
        <f>IF(B65="","",TRIM(IF(COUNTIF(D65:H65,"Yes")&lt;5,"Compliance gates not all Yes. ","")&amp;IF(SUMPRODUCT(--ISTEXT(J65:M65))&gt;0,"A price cell holds text, not a number. ","")&amp;IF(N(J65)&lt;=0,"No quoted price. ",IF(N(N65)&lt;=0,"Levelled price is $0 or less. ",""))&amp;IF(U65=0,"Package isn't on the Packages tab. ","")&amp;IF(SUMPRODUCT(ISTEXT(O65:S65)+(O65:S65&lt;0)+(O65:S65&gt;10))&gt;0,"Scores must be 0 to 10 (capped). ","")&amp;IF(AND(AA65=1,COUNTIFS(T$4:T$103,T65,AA$4:AA$103,1)&gt;1),"Tied for 1st: ask both for clarifications. ","")))</f>
        <v/>
      </c>
      <c r="AD65" s="7">
        <f>T65&amp;"|"&amp;AA65</f>
        <v/>
      </c>
      <c r="AE65" s="22" t="n"/>
      <c r="AF65" s="23" t="n"/>
    </row>
    <row r="66">
      <c r="A66" s="22" t="n"/>
      <c r="B66" s="22" t="n"/>
      <c r="C66" s="24" t="n"/>
      <c r="D66" s="22" t="n"/>
      <c r="E66" s="22" t="n"/>
      <c r="F66" s="22" t="n"/>
      <c r="G66" s="22" t="n"/>
      <c r="H66" s="22" t="n"/>
      <c r="I66" s="7">
        <f>IF(B66="","",IF(AND(COUNTIF(D66:H66,"Yes")=5,SUMPRODUCT(--ISTEXT(J66:M66))=0,N(J66)&gt;0,N(N66)&gt;0,U66&gt;0),"Yes","No"))</f>
        <v/>
      </c>
      <c r="J66" s="33" t="n"/>
      <c r="K66" s="33" t="n"/>
      <c r="L66" s="33" t="n"/>
      <c r="M66" s="33" t="n"/>
      <c r="N66" s="9">
        <f>IF(B66="","",N(J66)+N(K66)+N(L66)+N(M66))</f>
        <v/>
      </c>
      <c r="O66" s="22" t="n"/>
      <c r="P66" s="22" t="n"/>
      <c r="Q66" s="22" t="n"/>
      <c r="R66" s="22" t="n"/>
      <c r="S66" s="22" t="n"/>
      <c r="T66" s="7">
        <f>IF(A66="","",LEFT(A66,2))</f>
        <v/>
      </c>
      <c r="U66" s="7">
        <f>IF(A66="",0,IFERROR(MATCH(LEFT(A66,3)&amp;"*",'Tender Setup'!$A$4:$A$33,0),0))</f>
        <v/>
      </c>
      <c r="V66" s="9">
        <f t="array" ref="V66">IF(I66&lt;&gt;"Yes","",MIN(IF((T$4:T$103=T66)*(I$4:I$103="Yes"),N$4:N$103)))</f>
        <v/>
      </c>
      <c r="W66" s="9">
        <f t="array" ref="W66">IF(I66&lt;&gt;"Yes","",MEDIAN(IF((T$4:T$103=T66)*(I$4:I$103="Yes"),N$4:N$103)))</f>
        <v/>
      </c>
      <c r="X66" s="11">
        <f>IF(I66&lt;&gt;"Yes",0,V66/N66*INDEX('Tender Setup'!$C$4:$C$33,U66))</f>
        <v/>
      </c>
      <c r="Y66" s="11">
        <f>IF(I66&lt;&gt;"Yes",0,(MIN(10,MAX(0,N(O66)))*INDEX('Tender Setup'!$D$4:$D$33,U66)+MIN(10,MAX(0,N(P66)))*INDEX('Tender Setup'!$E$4:$E$33,U66)+MIN(10,MAX(0,N(Q66)))*INDEX('Tender Setup'!$F$4:$F$33,U66)+MIN(10,MAX(0,N(R66)))*INDEX('Tender Setup'!$G$4:$G$33,U66)+MIN(10,MAX(0,N(S66)))*INDEX('Tender Setup'!$H$4:$H$33,U66))/10)</f>
        <v/>
      </c>
      <c r="Z66" s="11">
        <f>IF(B66="","",IF(I66&lt;&gt;"Yes",0,IF(N(INDEX('Tender Setup'!$I$4:$I$33,U66))=0,0,(X66+Y66)*100/INDEX('Tender Setup'!$I$4:$I$33,U66))))</f>
        <v/>
      </c>
      <c r="AA66" s="7">
        <f>IF(B66="","",IF(I66&lt;&gt;"Yes","Excluded",COUNTIFS(T$4:T$103,T66,I$4:I$103,"Yes",Z$4:Z$103,"&gt;"&amp;Z66)+1))</f>
        <v/>
      </c>
      <c r="AB66" s="7">
        <f>IF(I66&lt;&gt;"Yes","",IF(AND(COUNTIFS(T$4:T$103,T66,I$4:I$103,"Yes")&gt;=2,N66&lt;W66*(1-Settings!$B$12)),"Well under median: check scope",""))</f>
        <v/>
      </c>
      <c r="AC66" s="36">
        <f>IF(B66="","",TRIM(IF(COUNTIF(D66:H66,"Yes")&lt;5,"Compliance gates not all Yes. ","")&amp;IF(SUMPRODUCT(--ISTEXT(J66:M66))&gt;0,"A price cell holds text, not a number. ","")&amp;IF(N(J66)&lt;=0,"No quoted price. ",IF(N(N66)&lt;=0,"Levelled price is $0 or less. ",""))&amp;IF(U66=0,"Package isn't on the Packages tab. ","")&amp;IF(SUMPRODUCT(ISTEXT(O66:S66)+(O66:S66&lt;0)+(O66:S66&gt;10))&gt;0,"Scores must be 0 to 10 (capped). ","")&amp;IF(AND(AA66=1,COUNTIFS(T$4:T$103,T66,AA$4:AA$103,1)&gt;1),"Tied for 1st: ask both for clarifications. ","")))</f>
        <v/>
      </c>
      <c r="AD66" s="7">
        <f>T66&amp;"|"&amp;AA66</f>
        <v/>
      </c>
      <c r="AE66" s="22" t="n"/>
      <c r="AF66" s="23" t="n"/>
    </row>
    <row r="67">
      <c r="A67" s="22" t="n"/>
      <c r="B67" s="22" t="n"/>
      <c r="C67" s="24" t="n"/>
      <c r="D67" s="22" t="n"/>
      <c r="E67" s="22" t="n"/>
      <c r="F67" s="22" t="n"/>
      <c r="G67" s="22" t="n"/>
      <c r="H67" s="22" t="n"/>
      <c r="I67" s="7">
        <f>IF(B67="","",IF(AND(COUNTIF(D67:H67,"Yes")=5,SUMPRODUCT(--ISTEXT(J67:M67))=0,N(J67)&gt;0,N(N67)&gt;0,U67&gt;0),"Yes","No"))</f>
        <v/>
      </c>
      <c r="J67" s="33" t="n"/>
      <c r="K67" s="33" t="n"/>
      <c r="L67" s="33" t="n"/>
      <c r="M67" s="33" t="n"/>
      <c r="N67" s="9">
        <f>IF(B67="","",N(J67)+N(K67)+N(L67)+N(M67))</f>
        <v/>
      </c>
      <c r="O67" s="22" t="n"/>
      <c r="P67" s="22" t="n"/>
      <c r="Q67" s="22" t="n"/>
      <c r="R67" s="22" t="n"/>
      <c r="S67" s="22" t="n"/>
      <c r="T67" s="7">
        <f>IF(A67="","",LEFT(A67,2))</f>
        <v/>
      </c>
      <c r="U67" s="7">
        <f>IF(A67="",0,IFERROR(MATCH(LEFT(A67,3)&amp;"*",'Tender Setup'!$A$4:$A$33,0),0))</f>
        <v/>
      </c>
      <c r="V67" s="9">
        <f t="array" ref="V67">IF(I67&lt;&gt;"Yes","",MIN(IF((T$4:T$103=T67)*(I$4:I$103="Yes"),N$4:N$103)))</f>
        <v/>
      </c>
      <c r="W67" s="9">
        <f t="array" ref="W67">IF(I67&lt;&gt;"Yes","",MEDIAN(IF((T$4:T$103=T67)*(I$4:I$103="Yes"),N$4:N$103)))</f>
        <v/>
      </c>
      <c r="X67" s="11">
        <f>IF(I67&lt;&gt;"Yes",0,V67/N67*INDEX('Tender Setup'!$C$4:$C$33,U67))</f>
        <v/>
      </c>
      <c r="Y67" s="11">
        <f>IF(I67&lt;&gt;"Yes",0,(MIN(10,MAX(0,N(O67)))*INDEX('Tender Setup'!$D$4:$D$33,U67)+MIN(10,MAX(0,N(P67)))*INDEX('Tender Setup'!$E$4:$E$33,U67)+MIN(10,MAX(0,N(Q67)))*INDEX('Tender Setup'!$F$4:$F$33,U67)+MIN(10,MAX(0,N(R67)))*INDEX('Tender Setup'!$G$4:$G$33,U67)+MIN(10,MAX(0,N(S67)))*INDEX('Tender Setup'!$H$4:$H$33,U67))/10)</f>
        <v/>
      </c>
      <c r="Z67" s="11">
        <f>IF(B67="","",IF(I67&lt;&gt;"Yes",0,IF(N(INDEX('Tender Setup'!$I$4:$I$33,U67))=0,0,(X67+Y67)*100/INDEX('Tender Setup'!$I$4:$I$33,U67))))</f>
        <v/>
      </c>
      <c r="AA67" s="7">
        <f>IF(B67="","",IF(I67&lt;&gt;"Yes","Excluded",COUNTIFS(T$4:T$103,T67,I$4:I$103,"Yes",Z$4:Z$103,"&gt;"&amp;Z67)+1))</f>
        <v/>
      </c>
      <c r="AB67" s="7">
        <f>IF(I67&lt;&gt;"Yes","",IF(AND(COUNTIFS(T$4:T$103,T67,I$4:I$103,"Yes")&gt;=2,N67&lt;W67*(1-Settings!$B$12)),"Well under median: check scope",""))</f>
        <v/>
      </c>
      <c r="AC67" s="36">
        <f>IF(B67="","",TRIM(IF(COUNTIF(D67:H67,"Yes")&lt;5,"Compliance gates not all Yes. ","")&amp;IF(SUMPRODUCT(--ISTEXT(J67:M67))&gt;0,"A price cell holds text, not a number. ","")&amp;IF(N(J67)&lt;=0,"No quoted price. ",IF(N(N67)&lt;=0,"Levelled price is $0 or less. ",""))&amp;IF(U67=0,"Package isn't on the Packages tab. ","")&amp;IF(SUMPRODUCT(ISTEXT(O67:S67)+(O67:S67&lt;0)+(O67:S67&gt;10))&gt;0,"Scores must be 0 to 10 (capped). ","")&amp;IF(AND(AA67=1,COUNTIFS(T$4:T$103,T67,AA$4:AA$103,1)&gt;1),"Tied for 1st: ask both for clarifications. ","")))</f>
        <v/>
      </c>
      <c r="AD67" s="7">
        <f>T67&amp;"|"&amp;AA67</f>
        <v/>
      </c>
      <c r="AE67" s="22" t="n"/>
      <c r="AF67" s="23" t="n"/>
    </row>
    <row r="68">
      <c r="A68" s="22" t="n"/>
      <c r="B68" s="22" t="n"/>
      <c r="C68" s="24" t="n"/>
      <c r="D68" s="22" t="n"/>
      <c r="E68" s="22" t="n"/>
      <c r="F68" s="22" t="n"/>
      <c r="G68" s="22" t="n"/>
      <c r="H68" s="22" t="n"/>
      <c r="I68" s="7">
        <f>IF(B68="","",IF(AND(COUNTIF(D68:H68,"Yes")=5,SUMPRODUCT(--ISTEXT(J68:M68))=0,N(J68)&gt;0,N(N68)&gt;0,U68&gt;0),"Yes","No"))</f>
        <v/>
      </c>
      <c r="J68" s="33" t="n"/>
      <c r="K68" s="33" t="n"/>
      <c r="L68" s="33" t="n"/>
      <c r="M68" s="33" t="n"/>
      <c r="N68" s="9">
        <f>IF(B68="","",N(J68)+N(K68)+N(L68)+N(M68))</f>
        <v/>
      </c>
      <c r="O68" s="22" t="n"/>
      <c r="P68" s="22" t="n"/>
      <c r="Q68" s="22" t="n"/>
      <c r="R68" s="22" t="n"/>
      <c r="S68" s="22" t="n"/>
      <c r="T68" s="7">
        <f>IF(A68="","",LEFT(A68,2))</f>
        <v/>
      </c>
      <c r="U68" s="7">
        <f>IF(A68="",0,IFERROR(MATCH(LEFT(A68,3)&amp;"*",'Tender Setup'!$A$4:$A$33,0),0))</f>
        <v/>
      </c>
      <c r="V68" s="9">
        <f t="array" ref="V68">IF(I68&lt;&gt;"Yes","",MIN(IF((T$4:T$103=T68)*(I$4:I$103="Yes"),N$4:N$103)))</f>
        <v/>
      </c>
      <c r="W68" s="9">
        <f t="array" ref="W68">IF(I68&lt;&gt;"Yes","",MEDIAN(IF((T$4:T$103=T68)*(I$4:I$103="Yes"),N$4:N$103)))</f>
        <v/>
      </c>
      <c r="X68" s="11">
        <f>IF(I68&lt;&gt;"Yes",0,V68/N68*INDEX('Tender Setup'!$C$4:$C$33,U68))</f>
        <v/>
      </c>
      <c r="Y68" s="11">
        <f>IF(I68&lt;&gt;"Yes",0,(MIN(10,MAX(0,N(O68)))*INDEX('Tender Setup'!$D$4:$D$33,U68)+MIN(10,MAX(0,N(P68)))*INDEX('Tender Setup'!$E$4:$E$33,U68)+MIN(10,MAX(0,N(Q68)))*INDEX('Tender Setup'!$F$4:$F$33,U68)+MIN(10,MAX(0,N(R68)))*INDEX('Tender Setup'!$G$4:$G$33,U68)+MIN(10,MAX(0,N(S68)))*INDEX('Tender Setup'!$H$4:$H$33,U68))/10)</f>
        <v/>
      </c>
      <c r="Z68" s="11">
        <f>IF(B68="","",IF(I68&lt;&gt;"Yes",0,IF(N(INDEX('Tender Setup'!$I$4:$I$33,U68))=0,0,(X68+Y68)*100/INDEX('Tender Setup'!$I$4:$I$33,U68))))</f>
        <v/>
      </c>
      <c r="AA68" s="7">
        <f>IF(B68="","",IF(I68&lt;&gt;"Yes","Excluded",COUNTIFS(T$4:T$103,T68,I$4:I$103,"Yes",Z$4:Z$103,"&gt;"&amp;Z68)+1))</f>
        <v/>
      </c>
      <c r="AB68" s="7">
        <f>IF(I68&lt;&gt;"Yes","",IF(AND(COUNTIFS(T$4:T$103,T68,I$4:I$103,"Yes")&gt;=2,N68&lt;W68*(1-Settings!$B$12)),"Well under median: check scope",""))</f>
        <v/>
      </c>
      <c r="AC68" s="36">
        <f>IF(B68="","",TRIM(IF(COUNTIF(D68:H68,"Yes")&lt;5,"Compliance gates not all Yes. ","")&amp;IF(SUMPRODUCT(--ISTEXT(J68:M68))&gt;0,"A price cell holds text, not a number. ","")&amp;IF(N(J68)&lt;=0,"No quoted price. ",IF(N(N68)&lt;=0,"Levelled price is $0 or less. ",""))&amp;IF(U68=0,"Package isn't on the Packages tab. ","")&amp;IF(SUMPRODUCT(ISTEXT(O68:S68)+(O68:S68&lt;0)+(O68:S68&gt;10))&gt;0,"Scores must be 0 to 10 (capped). ","")&amp;IF(AND(AA68=1,COUNTIFS(T$4:T$103,T68,AA$4:AA$103,1)&gt;1),"Tied for 1st: ask both for clarifications. ","")))</f>
        <v/>
      </c>
      <c r="AD68" s="7">
        <f>T68&amp;"|"&amp;AA68</f>
        <v/>
      </c>
      <c r="AE68" s="22" t="n"/>
      <c r="AF68" s="23" t="n"/>
    </row>
    <row r="69">
      <c r="A69" s="22" t="n"/>
      <c r="B69" s="22" t="n"/>
      <c r="C69" s="24" t="n"/>
      <c r="D69" s="22" t="n"/>
      <c r="E69" s="22" t="n"/>
      <c r="F69" s="22" t="n"/>
      <c r="G69" s="22" t="n"/>
      <c r="H69" s="22" t="n"/>
      <c r="I69" s="7">
        <f>IF(B69="","",IF(AND(COUNTIF(D69:H69,"Yes")=5,SUMPRODUCT(--ISTEXT(J69:M69))=0,N(J69)&gt;0,N(N69)&gt;0,U69&gt;0),"Yes","No"))</f>
        <v/>
      </c>
      <c r="J69" s="33" t="n"/>
      <c r="K69" s="33" t="n"/>
      <c r="L69" s="33" t="n"/>
      <c r="M69" s="33" t="n"/>
      <c r="N69" s="9">
        <f>IF(B69="","",N(J69)+N(K69)+N(L69)+N(M69))</f>
        <v/>
      </c>
      <c r="O69" s="22" t="n"/>
      <c r="P69" s="22" t="n"/>
      <c r="Q69" s="22" t="n"/>
      <c r="R69" s="22" t="n"/>
      <c r="S69" s="22" t="n"/>
      <c r="T69" s="7">
        <f>IF(A69="","",LEFT(A69,2))</f>
        <v/>
      </c>
      <c r="U69" s="7">
        <f>IF(A69="",0,IFERROR(MATCH(LEFT(A69,3)&amp;"*",'Tender Setup'!$A$4:$A$33,0),0))</f>
        <v/>
      </c>
      <c r="V69" s="9">
        <f t="array" ref="V69">IF(I69&lt;&gt;"Yes","",MIN(IF((T$4:T$103=T69)*(I$4:I$103="Yes"),N$4:N$103)))</f>
        <v/>
      </c>
      <c r="W69" s="9">
        <f t="array" ref="W69">IF(I69&lt;&gt;"Yes","",MEDIAN(IF((T$4:T$103=T69)*(I$4:I$103="Yes"),N$4:N$103)))</f>
        <v/>
      </c>
      <c r="X69" s="11">
        <f>IF(I69&lt;&gt;"Yes",0,V69/N69*INDEX('Tender Setup'!$C$4:$C$33,U69))</f>
        <v/>
      </c>
      <c r="Y69" s="11">
        <f>IF(I69&lt;&gt;"Yes",0,(MIN(10,MAX(0,N(O69)))*INDEX('Tender Setup'!$D$4:$D$33,U69)+MIN(10,MAX(0,N(P69)))*INDEX('Tender Setup'!$E$4:$E$33,U69)+MIN(10,MAX(0,N(Q69)))*INDEX('Tender Setup'!$F$4:$F$33,U69)+MIN(10,MAX(0,N(R69)))*INDEX('Tender Setup'!$G$4:$G$33,U69)+MIN(10,MAX(0,N(S69)))*INDEX('Tender Setup'!$H$4:$H$33,U69))/10)</f>
        <v/>
      </c>
      <c r="Z69" s="11">
        <f>IF(B69="","",IF(I69&lt;&gt;"Yes",0,IF(N(INDEX('Tender Setup'!$I$4:$I$33,U69))=0,0,(X69+Y69)*100/INDEX('Tender Setup'!$I$4:$I$33,U69))))</f>
        <v/>
      </c>
      <c r="AA69" s="7">
        <f>IF(B69="","",IF(I69&lt;&gt;"Yes","Excluded",COUNTIFS(T$4:T$103,T69,I$4:I$103,"Yes",Z$4:Z$103,"&gt;"&amp;Z69)+1))</f>
        <v/>
      </c>
      <c r="AB69" s="7">
        <f>IF(I69&lt;&gt;"Yes","",IF(AND(COUNTIFS(T$4:T$103,T69,I$4:I$103,"Yes")&gt;=2,N69&lt;W69*(1-Settings!$B$12)),"Well under median: check scope",""))</f>
        <v/>
      </c>
      <c r="AC69" s="36">
        <f>IF(B69="","",TRIM(IF(COUNTIF(D69:H69,"Yes")&lt;5,"Compliance gates not all Yes. ","")&amp;IF(SUMPRODUCT(--ISTEXT(J69:M69))&gt;0,"A price cell holds text, not a number. ","")&amp;IF(N(J69)&lt;=0,"No quoted price. ",IF(N(N69)&lt;=0,"Levelled price is $0 or less. ",""))&amp;IF(U69=0,"Package isn't on the Packages tab. ","")&amp;IF(SUMPRODUCT(ISTEXT(O69:S69)+(O69:S69&lt;0)+(O69:S69&gt;10))&gt;0,"Scores must be 0 to 10 (capped). ","")&amp;IF(AND(AA69=1,COUNTIFS(T$4:T$103,T69,AA$4:AA$103,1)&gt;1),"Tied for 1st: ask both for clarifications. ","")))</f>
        <v/>
      </c>
      <c r="AD69" s="7">
        <f>T69&amp;"|"&amp;AA69</f>
        <v/>
      </c>
      <c r="AE69" s="22" t="n"/>
      <c r="AF69" s="23" t="n"/>
    </row>
    <row r="70">
      <c r="A70" s="22" t="n"/>
      <c r="B70" s="22" t="n"/>
      <c r="C70" s="24" t="n"/>
      <c r="D70" s="22" t="n"/>
      <c r="E70" s="22" t="n"/>
      <c r="F70" s="22" t="n"/>
      <c r="G70" s="22" t="n"/>
      <c r="H70" s="22" t="n"/>
      <c r="I70" s="7">
        <f>IF(B70="","",IF(AND(COUNTIF(D70:H70,"Yes")=5,SUMPRODUCT(--ISTEXT(J70:M70))=0,N(J70)&gt;0,N(N70)&gt;0,U70&gt;0),"Yes","No"))</f>
        <v/>
      </c>
      <c r="J70" s="33" t="n"/>
      <c r="K70" s="33" t="n"/>
      <c r="L70" s="33" t="n"/>
      <c r="M70" s="33" t="n"/>
      <c r="N70" s="9">
        <f>IF(B70="","",N(J70)+N(K70)+N(L70)+N(M70))</f>
        <v/>
      </c>
      <c r="O70" s="22" t="n"/>
      <c r="P70" s="22" t="n"/>
      <c r="Q70" s="22" t="n"/>
      <c r="R70" s="22" t="n"/>
      <c r="S70" s="22" t="n"/>
      <c r="T70" s="7">
        <f>IF(A70="","",LEFT(A70,2))</f>
        <v/>
      </c>
      <c r="U70" s="7">
        <f>IF(A70="",0,IFERROR(MATCH(LEFT(A70,3)&amp;"*",'Tender Setup'!$A$4:$A$33,0),0))</f>
        <v/>
      </c>
      <c r="V70" s="9">
        <f t="array" ref="V70">IF(I70&lt;&gt;"Yes","",MIN(IF((T$4:T$103=T70)*(I$4:I$103="Yes"),N$4:N$103)))</f>
        <v/>
      </c>
      <c r="W70" s="9">
        <f t="array" ref="W70">IF(I70&lt;&gt;"Yes","",MEDIAN(IF((T$4:T$103=T70)*(I$4:I$103="Yes"),N$4:N$103)))</f>
        <v/>
      </c>
      <c r="X70" s="11">
        <f>IF(I70&lt;&gt;"Yes",0,V70/N70*INDEX('Tender Setup'!$C$4:$C$33,U70))</f>
        <v/>
      </c>
      <c r="Y70" s="11">
        <f>IF(I70&lt;&gt;"Yes",0,(MIN(10,MAX(0,N(O70)))*INDEX('Tender Setup'!$D$4:$D$33,U70)+MIN(10,MAX(0,N(P70)))*INDEX('Tender Setup'!$E$4:$E$33,U70)+MIN(10,MAX(0,N(Q70)))*INDEX('Tender Setup'!$F$4:$F$33,U70)+MIN(10,MAX(0,N(R70)))*INDEX('Tender Setup'!$G$4:$G$33,U70)+MIN(10,MAX(0,N(S70)))*INDEX('Tender Setup'!$H$4:$H$33,U70))/10)</f>
        <v/>
      </c>
      <c r="Z70" s="11">
        <f>IF(B70="","",IF(I70&lt;&gt;"Yes",0,IF(N(INDEX('Tender Setup'!$I$4:$I$33,U70))=0,0,(X70+Y70)*100/INDEX('Tender Setup'!$I$4:$I$33,U70))))</f>
        <v/>
      </c>
      <c r="AA70" s="7">
        <f>IF(B70="","",IF(I70&lt;&gt;"Yes","Excluded",COUNTIFS(T$4:T$103,T70,I$4:I$103,"Yes",Z$4:Z$103,"&gt;"&amp;Z70)+1))</f>
        <v/>
      </c>
      <c r="AB70" s="7">
        <f>IF(I70&lt;&gt;"Yes","",IF(AND(COUNTIFS(T$4:T$103,T70,I$4:I$103,"Yes")&gt;=2,N70&lt;W70*(1-Settings!$B$12)),"Well under median: check scope",""))</f>
        <v/>
      </c>
      <c r="AC70" s="36">
        <f>IF(B70="","",TRIM(IF(COUNTIF(D70:H70,"Yes")&lt;5,"Compliance gates not all Yes. ","")&amp;IF(SUMPRODUCT(--ISTEXT(J70:M70))&gt;0,"A price cell holds text, not a number. ","")&amp;IF(N(J70)&lt;=0,"No quoted price. ",IF(N(N70)&lt;=0,"Levelled price is $0 or less. ",""))&amp;IF(U70=0,"Package isn't on the Packages tab. ","")&amp;IF(SUMPRODUCT(ISTEXT(O70:S70)+(O70:S70&lt;0)+(O70:S70&gt;10))&gt;0,"Scores must be 0 to 10 (capped). ","")&amp;IF(AND(AA70=1,COUNTIFS(T$4:T$103,T70,AA$4:AA$103,1)&gt;1),"Tied for 1st: ask both for clarifications. ","")))</f>
        <v/>
      </c>
      <c r="AD70" s="7">
        <f>T70&amp;"|"&amp;AA70</f>
        <v/>
      </c>
      <c r="AE70" s="22" t="n"/>
      <c r="AF70" s="23" t="n"/>
    </row>
    <row r="71">
      <c r="A71" s="22" t="n"/>
      <c r="B71" s="22" t="n"/>
      <c r="C71" s="24" t="n"/>
      <c r="D71" s="22" t="n"/>
      <c r="E71" s="22" t="n"/>
      <c r="F71" s="22" t="n"/>
      <c r="G71" s="22" t="n"/>
      <c r="H71" s="22" t="n"/>
      <c r="I71" s="7">
        <f>IF(B71="","",IF(AND(COUNTIF(D71:H71,"Yes")=5,SUMPRODUCT(--ISTEXT(J71:M71))=0,N(J71)&gt;0,N(N71)&gt;0,U71&gt;0),"Yes","No"))</f>
        <v/>
      </c>
      <c r="J71" s="33" t="n"/>
      <c r="K71" s="33" t="n"/>
      <c r="L71" s="33" t="n"/>
      <c r="M71" s="33" t="n"/>
      <c r="N71" s="9">
        <f>IF(B71="","",N(J71)+N(K71)+N(L71)+N(M71))</f>
        <v/>
      </c>
      <c r="O71" s="22" t="n"/>
      <c r="P71" s="22" t="n"/>
      <c r="Q71" s="22" t="n"/>
      <c r="R71" s="22" t="n"/>
      <c r="S71" s="22" t="n"/>
      <c r="T71" s="7">
        <f>IF(A71="","",LEFT(A71,2))</f>
        <v/>
      </c>
      <c r="U71" s="7">
        <f>IF(A71="",0,IFERROR(MATCH(LEFT(A71,3)&amp;"*",'Tender Setup'!$A$4:$A$33,0),0))</f>
        <v/>
      </c>
      <c r="V71" s="9">
        <f t="array" ref="V71">IF(I71&lt;&gt;"Yes","",MIN(IF((T$4:T$103=T71)*(I$4:I$103="Yes"),N$4:N$103)))</f>
        <v/>
      </c>
      <c r="W71" s="9">
        <f t="array" ref="W71">IF(I71&lt;&gt;"Yes","",MEDIAN(IF((T$4:T$103=T71)*(I$4:I$103="Yes"),N$4:N$103)))</f>
        <v/>
      </c>
      <c r="X71" s="11">
        <f>IF(I71&lt;&gt;"Yes",0,V71/N71*INDEX('Tender Setup'!$C$4:$C$33,U71))</f>
        <v/>
      </c>
      <c r="Y71" s="11">
        <f>IF(I71&lt;&gt;"Yes",0,(MIN(10,MAX(0,N(O71)))*INDEX('Tender Setup'!$D$4:$D$33,U71)+MIN(10,MAX(0,N(P71)))*INDEX('Tender Setup'!$E$4:$E$33,U71)+MIN(10,MAX(0,N(Q71)))*INDEX('Tender Setup'!$F$4:$F$33,U71)+MIN(10,MAX(0,N(R71)))*INDEX('Tender Setup'!$G$4:$G$33,U71)+MIN(10,MAX(0,N(S71)))*INDEX('Tender Setup'!$H$4:$H$33,U71))/10)</f>
        <v/>
      </c>
      <c r="Z71" s="11">
        <f>IF(B71="","",IF(I71&lt;&gt;"Yes",0,IF(N(INDEX('Tender Setup'!$I$4:$I$33,U71))=0,0,(X71+Y71)*100/INDEX('Tender Setup'!$I$4:$I$33,U71))))</f>
        <v/>
      </c>
      <c r="AA71" s="7">
        <f>IF(B71="","",IF(I71&lt;&gt;"Yes","Excluded",COUNTIFS(T$4:T$103,T71,I$4:I$103,"Yes",Z$4:Z$103,"&gt;"&amp;Z71)+1))</f>
        <v/>
      </c>
      <c r="AB71" s="7">
        <f>IF(I71&lt;&gt;"Yes","",IF(AND(COUNTIFS(T$4:T$103,T71,I$4:I$103,"Yes")&gt;=2,N71&lt;W71*(1-Settings!$B$12)),"Well under median: check scope",""))</f>
        <v/>
      </c>
      <c r="AC71" s="36">
        <f>IF(B71="","",TRIM(IF(COUNTIF(D71:H71,"Yes")&lt;5,"Compliance gates not all Yes. ","")&amp;IF(SUMPRODUCT(--ISTEXT(J71:M71))&gt;0,"A price cell holds text, not a number. ","")&amp;IF(N(J71)&lt;=0,"No quoted price. ",IF(N(N71)&lt;=0,"Levelled price is $0 or less. ",""))&amp;IF(U71=0,"Package isn't on the Packages tab. ","")&amp;IF(SUMPRODUCT(ISTEXT(O71:S71)+(O71:S71&lt;0)+(O71:S71&gt;10))&gt;0,"Scores must be 0 to 10 (capped). ","")&amp;IF(AND(AA71=1,COUNTIFS(T$4:T$103,T71,AA$4:AA$103,1)&gt;1),"Tied for 1st: ask both for clarifications. ","")))</f>
        <v/>
      </c>
      <c r="AD71" s="7">
        <f>T71&amp;"|"&amp;AA71</f>
        <v/>
      </c>
      <c r="AE71" s="22" t="n"/>
      <c r="AF71" s="23" t="n"/>
    </row>
    <row r="72">
      <c r="A72" s="22" t="n"/>
      <c r="B72" s="22" t="n"/>
      <c r="C72" s="24" t="n"/>
      <c r="D72" s="22" t="n"/>
      <c r="E72" s="22" t="n"/>
      <c r="F72" s="22" t="n"/>
      <c r="G72" s="22" t="n"/>
      <c r="H72" s="22" t="n"/>
      <c r="I72" s="7">
        <f>IF(B72="","",IF(AND(COUNTIF(D72:H72,"Yes")=5,SUMPRODUCT(--ISTEXT(J72:M72))=0,N(J72)&gt;0,N(N72)&gt;0,U72&gt;0),"Yes","No"))</f>
        <v/>
      </c>
      <c r="J72" s="33" t="n"/>
      <c r="K72" s="33" t="n"/>
      <c r="L72" s="33" t="n"/>
      <c r="M72" s="33" t="n"/>
      <c r="N72" s="9">
        <f>IF(B72="","",N(J72)+N(K72)+N(L72)+N(M72))</f>
        <v/>
      </c>
      <c r="O72" s="22" t="n"/>
      <c r="P72" s="22" t="n"/>
      <c r="Q72" s="22" t="n"/>
      <c r="R72" s="22" t="n"/>
      <c r="S72" s="22" t="n"/>
      <c r="T72" s="7">
        <f>IF(A72="","",LEFT(A72,2))</f>
        <v/>
      </c>
      <c r="U72" s="7">
        <f>IF(A72="",0,IFERROR(MATCH(LEFT(A72,3)&amp;"*",'Tender Setup'!$A$4:$A$33,0),0))</f>
        <v/>
      </c>
      <c r="V72" s="9">
        <f t="array" ref="V72">IF(I72&lt;&gt;"Yes","",MIN(IF((T$4:T$103=T72)*(I$4:I$103="Yes"),N$4:N$103)))</f>
        <v/>
      </c>
      <c r="W72" s="9">
        <f t="array" ref="W72">IF(I72&lt;&gt;"Yes","",MEDIAN(IF((T$4:T$103=T72)*(I$4:I$103="Yes"),N$4:N$103)))</f>
        <v/>
      </c>
      <c r="X72" s="11">
        <f>IF(I72&lt;&gt;"Yes",0,V72/N72*INDEX('Tender Setup'!$C$4:$C$33,U72))</f>
        <v/>
      </c>
      <c r="Y72" s="11">
        <f>IF(I72&lt;&gt;"Yes",0,(MIN(10,MAX(0,N(O72)))*INDEX('Tender Setup'!$D$4:$D$33,U72)+MIN(10,MAX(0,N(P72)))*INDEX('Tender Setup'!$E$4:$E$33,U72)+MIN(10,MAX(0,N(Q72)))*INDEX('Tender Setup'!$F$4:$F$33,U72)+MIN(10,MAX(0,N(R72)))*INDEX('Tender Setup'!$G$4:$G$33,U72)+MIN(10,MAX(0,N(S72)))*INDEX('Tender Setup'!$H$4:$H$33,U72))/10)</f>
        <v/>
      </c>
      <c r="Z72" s="11">
        <f>IF(B72="","",IF(I72&lt;&gt;"Yes",0,IF(N(INDEX('Tender Setup'!$I$4:$I$33,U72))=0,0,(X72+Y72)*100/INDEX('Tender Setup'!$I$4:$I$33,U72))))</f>
        <v/>
      </c>
      <c r="AA72" s="7">
        <f>IF(B72="","",IF(I72&lt;&gt;"Yes","Excluded",COUNTIFS(T$4:T$103,T72,I$4:I$103,"Yes",Z$4:Z$103,"&gt;"&amp;Z72)+1))</f>
        <v/>
      </c>
      <c r="AB72" s="7">
        <f>IF(I72&lt;&gt;"Yes","",IF(AND(COUNTIFS(T$4:T$103,T72,I$4:I$103,"Yes")&gt;=2,N72&lt;W72*(1-Settings!$B$12)),"Well under median: check scope",""))</f>
        <v/>
      </c>
      <c r="AC72" s="36">
        <f>IF(B72="","",TRIM(IF(COUNTIF(D72:H72,"Yes")&lt;5,"Compliance gates not all Yes. ","")&amp;IF(SUMPRODUCT(--ISTEXT(J72:M72))&gt;0,"A price cell holds text, not a number. ","")&amp;IF(N(J72)&lt;=0,"No quoted price. ",IF(N(N72)&lt;=0,"Levelled price is $0 or less. ",""))&amp;IF(U72=0,"Package isn't on the Packages tab. ","")&amp;IF(SUMPRODUCT(ISTEXT(O72:S72)+(O72:S72&lt;0)+(O72:S72&gt;10))&gt;0,"Scores must be 0 to 10 (capped). ","")&amp;IF(AND(AA72=1,COUNTIFS(T$4:T$103,T72,AA$4:AA$103,1)&gt;1),"Tied for 1st: ask both for clarifications. ","")))</f>
        <v/>
      </c>
      <c r="AD72" s="7">
        <f>T72&amp;"|"&amp;AA72</f>
        <v/>
      </c>
      <c r="AE72" s="22" t="n"/>
      <c r="AF72" s="23" t="n"/>
    </row>
    <row r="73">
      <c r="A73" s="22" t="n"/>
      <c r="B73" s="22" t="n"/>
      <c r="C73" s="24" t="n"/>
      <c r="D73" s="22" t="n"/>
      <c r="E73" s="22" t="n"/>
      <c r="F73" s="22" t="n"/>
      <c r="G73" s="22" t="n"/>
      <c r="H73" s="22" t="n"/>
      <c r="I73" s="7">
        <f>IF(B73="","",IF(AND(COUNTIF(D73:H73,"Yes")=5,SUMPRODUCT(--ISTEXT(J73:M73))=0,N(J73)&gt;0,N(N73)&gt;0,U73&gt;0),"Yes","No"))</f>
        <v/>
      </c>
      <c r="J73" s="33" t="n"/>
      <c r="K73" s="33" t="n"/>
      <c r="L73" s="33" t="n"/>
      <c r="M73" s="33" t="n"/>
      <c r="N73" s="9">
        <f>IF(B73="","",N(J73)+N(K73)+N(L73)+N(M73))</f>
        <v/>
      </c>
      <c r="O73" s="22" t="n"/>
      <c r="P73" s="22" t="n"/>
      <c r="Q73" s="22" t="n"/>
      <c r="R73" s="22" t="n"/>
      <c r="S73" s="22" t="n"/>
      <c r="T73" s="7">
        <f>IF(A73="","",LEFT(A73,2))</f>
        <v/>
      </c>
      <c r="U73" s="7">
        <f>IF(A73="",0,IFERROR(MATCH(LEFT(A73,3)&amp;"*",'Tender Setup'!$A$4:$A$33,0),0))</f>
        <v/>
      </c>
      <c r="V73" s="9">
        <f t="array" ref="V73">IF(I73&lt;&gt;"Yes","",MIN(IF((T$4:T$103=T73)*(I$4:I$103="Yes"),N$4:N$103)))</f>
        <v/>
      </c>
      <c r="W73" s="9">
        <f t="array" ref="W73">IF(I73&lt;&gt;"Yes","",MEDIAN(IF((T$4:T$103=T73)*(I$4:I$103="Yes"),N$4:N$103)))</f>
        <v/>
      </c>
      <c r="X73" s="11">
        <f>IF(I73&lt;&gt;"Yes",0,V73/N73*INDEX('Tender Setup'!$C$4:$C$33,U73))</f>
        <v/>
      </c>
      <c r="Y73" s="11">
        <f>IF(I73&lt;&gt;"Yes",0,(MIN(10,MAX(0,N(O73)))*INDEX('Tender Setup'!$D$4:$D$33,U73)+MIN(10,MAX(0,N(P73)))*INDEX('Tender Setup'!$E$4:$E$33,U73)+MIN(10,MAX(0,N(Q73)))*INDEX('Tender Setup'!$F$4:$F$33,U73)+MIN(10,MAX(0,N(R73)))*INDEX('Tender Setup'!$G$4:$G$33,U73)+MIN(10,MAX(0,N(S73)))*INDEX('Tender Setup'!$H$4:$H$33,U73))/10)</f>
        <v/>
      </c>
      <c r="Z73" s="11">
        <f>IF(B73="","",IF(I73&lt;&gt;"Yes",0,IF(N(INDEX('Tender Setup'!$I$4:$I$33,U73))=0,0,(X73+Y73)*100/INDEX('Tender Setup'!$I$4:$I$33,U73))))</f>
        <v/>
      </c>
      <c r="AA73" s="7">
        <f>IF(B73="","",IF(I73&lt;&gt;"Yes","Excluded",COUNTIFS(T$4:T$103,T73,I$4:I$103,"Yes",Z$4:Z$103,"&gt;"&amp;Z73)+1))</f>
        <v/>
      </c>
      <c r="AB73" s="7">
        <f>IF(I73&lt;&gt;"Yes","",IF(AND(COUNTIFS(T$4:T$103,T73,I$4:I$103,"Yes")&gt;=2,N73&lt;W73*(1-Settings!$B$12)),"Well under median: check scope",""))</f>
        <v/>
      </c>
      <c r="AC73" s="36">
        <f>IF(B73="","",TRIM(IF(COUNTIF(D73:H73,"Yes")&lt;5,"Compliance gates not all Yes. ","")&amp;IF(SUMPRODUCT(--ISTEXT(J73:M73))&gt;0,"A price cell holds text, not a number. ","")&amp;IF(N(J73)&lt;=0,"No quoted price. ",IF(N(N73)&lt;=0,"Levelled price is $0 or less. ",""))&amp;IF(U73=0,"Package isn't on the Packages tab. ","")&amp;IF(SUMPRODUCT(ISTEXT(O73:S73)+(O73:S73&lt;0)+(O73:S73&gt;10))&gt;0,"Scores must be 0 to 10 (capped). ","")&amp;IF(AND(AA73=1,COUNTIFS(T$4:T$103,T73,AA$4:AA$103,1)&gt;1),"Tied for 1st: ask both for clarifications. ","")))</f>
        <v/>
      </c>
      <c r="AD73" s="7">
        <f>T73&amp;"|"&amp;AA73</f>
        <v/>
      </c>
      <c r="AE73" s="22" t="n"/>
      <c r="AF73" s="23" t="n"/>
    </row>
    <row r="74">
      <c r="A74" s="22" t="n"/>
      <c r="B74" s="22" t="n"/>
      <c r="C74" s="24" t="n"/>
      <c r="D74" s="22" t="n"/>
      <c r="E74" s="22" t="n"/>
      <c r="F74" s="22" t="n"/>
      <c r="G74" s="22" t="n"/>
      <c r="H74" s="22" t="n"/>
      <c r="I74" s="7">
        <f>IF(B74="","",IF(AND(COUNTIF(D74:H74,"Yes")=5,SUMPRODUCT(--ISTEXT(J74:M74))=0,N(J74)&gt;0,N(N74)&gt;0,U74&gt;0),"Yes","No"))</f>
        <v/>
      </c>
      <c r="J74" s="33" t="n"/>
      <c r="K74" s="33" t="n"/>
      <c r="L74" s="33" t="n"/>
      <c r="M74" s="33" t="n"/>
      <c r="N74" s="9">
        <f>IF(B74="","",N(J74)+N(K74)+N(L74)+N(M74))</f>
        <v/>
      </c>
      <c r="O74" s="22" t="n"/>
      <c r="P74" s="22" t="n"/>
      <c r="Q74" s="22" t="n"/>
      <c r="R74" s="22" t="n"/>
      <c r="S74" s="22" t="n"/>
      <c r="T74" s="7">
        <f>IF(A74="","",LEFT(A74,2))</f>
        <v/>
      </c>
      <c r="U74" s="7">
        <f>IF(A74="",0,IFERROR(MATCH(LEFT(A74,3)&amp;"*",'Tender Setup'!$A$4:$A$33,0),0))</f>
        <v/>
      </c>
      <c r="V74" s="9">
        <f t="array" ref="V74">IF(I74&lt;&gt;"Yes","",MIN(IF((T$4:T$103=T74)*(I$4:I$103="Yes"),N$4:N$103)))</f>
        <v/>
      </c>
      <c r="W74" s="9">
        <f t="array" ref="W74">IF(I74&lt;&gt;"Yes","",MEDIAN(IF((T$4:T$103=T74)*(I$4:I$103="Yes"),N$4:N$103)))</f>
        <v/>
      </c>
      <c r="X74" s="11">
        <f>IF(I74&lt;&gt;"Yes",0,V74/N74*INDEX('Tender Setup'!$C$4:$C$33,U74))</f>
        <v/>
      </c>
      <c r="Y74" s="11">
        <f>IF(I74&lt;&gt;"Yes",0,(MIN(10,MAX(0,N(O74)))*INDEX('Tender Setup'!$D$4:$D$33,U74)+MIN(10,MAX(0,N(P74)))*INDEX('Tender Setup'!$E$4:$E$33,U74)+MIN(10,MAX(0,N(Q74)))*INDEX('Tender Setup'!$F$4:$F$33,U74)+MIN(10,MAX(0,N(R74)))*INDEX('Tender Setup'!$G$4:$G$33,U74)+MIN(10,MAX(0,N(S74)))*INDEX('Tender Setup'!$H$4:$H$33,U74))/10)</f>
        <v/>
      </c>
      <c r="Z74" s="11">
        <f>IF(B74="","",IF(I74&lt;&gt;"Yes",0,IF(N(INDEX('Tender Setup'!$I$4:$I$33,U74))=0,0,(X74+Y74)*100/INDEX('Tender Setup'!$I$4:$I$33,U74))))</f>
        <v/>
      </c>
      <c r="AA74" s="7">
        <f>IF(B74="","",IF(I74&lt;&gt;"Yes","Excluded",COUNTIFS(T$4:T$103,T74,I$4:I$103,"Yes",Z$4:Z$103,"&gt;"&amp;Z74)+1))</f>
        <v/>
      </c>
      <c r="AB74" s="7">
        <f>IF(I74&lt;&gt;"Yes","",IF(AND(COUNTIFS(T$4:T$103,T74,I$4:I$103,"Yes")&gt;=2,N74&lt;W74*(1-Settings!$B$12)),"Well under median: check scope",""))</f>
        <v/>
      </c>
      <c r="AC74" s="36">
        <f>IF(B74="","",TRIM(IF(COUNTIF(D74:H74,"Yes")&lt;5,"Compliance gates not all Yes. ","")&amp;IF(SUMPRODUCT(--ISTEXT(J74:M74))&gt;0,"A price cell holds text, not a number. ","")&amp;IF(N(J74)&lt;=0,"No quoted price. ",IF(N(N74)&lt;=0,"Levelled price is $0 or less. ",""))&amp;IF(U74=0,"Package isn't on the Packages tab. ","")&amp;IF(SUMPRODUCT(ISTEXT(O74:S74)+(O74:S74&lt;0)+(O74:S74&gt;10))&gt;0,"Scores must be 0 to 10 (capped). ","")&amp;IF(AND(AA74=1,COUNTIFS(T$4:T$103,T74,AA$4:AA$103,1)&gt;1),"Tied for 1st: ask both for clarifications. ","")))</f>
        <v/>
      </c>
      <c r="AD74" s="7">
        <f>T74&amp;"|"&amp;AA74</f>
        <v/>
      </c>
      <c r="AE74" s="22" t="n"/>
      <c r="AF74" s="23" t="n"/>
    </row>
    <row r="75">
      <c r="A75" s="22" t="n"/>
      <c r="B75" s="22" t="n"/>
      <c r="C75" s="24" t="n"/>
      <c r="D75" s="22" t="n"/>
      <c r="E75" s="22" t="n"/>
      <c r="F75" s="22" t="n"/>
      <c r="G75" s="22" t="n"/>
      <c r="H75" s="22" t="n"/>
      <c r="I75" s="7">
        <f>IF(B75="","",IF(AND(COUNTIF(D75:H75,"Yes")=5,SUMPRODUCT(--ISTEXT(J75:M75))=0,N(J75)&gt;0,N(N75)&gt;0,U75&gt;0),"Yes","No"))</f>
        <v/>
      </c>
      <c r="J75" s="33" t="n"/>
      <c r="K75" s="33" t="n"/>
      <c r="L75" s="33" t="n"/>
      <c r="M75" s="33" t="n"/>
      <c r="N75" s="9">
        <f>IF(B75="","",N(J75)+N(K75)+N(L75)+N(M75))</f>
        <v/>
      </c>
      <c r="O75" s="22" t="n"/>
      <c r="P75" s="22" t="n"/>
      <c r="Q75" s="22" t="n"/>
      <c r="R75" s="22" t="n"/>
      <c r="S75" s="22" t="n"/>
      <c r="T75" s="7">
        <f>IF(A75="","",LEFT(A75,2))</f>
        <v/>
      </c>
      <c r="U75" s="7">
        <f>IF(A75="",0,IFERROR(MATCH(LEFT(A75,3)&amp;"*",'Tender Setup'!$A$4:$A$33,0),0))</f>
        <v/>
      </c>
      <c r="V75" s="9">
        <f t="array" ref="V75">IF(I75&lt;&gt;"Yes","",MIN(IF((T$4:T$103=T75)*(I$4:I$103="Yes"),N$4:N$103)))</f>
        <v/>
      </c>
      <c r="W75" s="9">
        <f t="array" ref="W75">IF(I75&lt;&gt;"Yes","",MEDIAN(IF((T$4:T$103=T75)*(I$4:I$103="Yes"),N$4:N$103)))</f>
        <v/>
      </c>
      <c r="X75" s="11">
        <f>IF(I75&lt;&gt;"Yes",0,V75/N75*INDEX('Tender Setup'!$C$4:$C$33,U75))</f>
        <v/>
      </c>
      <c r="Y75" s="11">
        <f>IF(I75&lt;&gt;"Yes",0,(MIN(10,MAX(0,N(O75)))*INDEX('Tender Setup'!$D$4:$D$33,U75)+MIN(10,MAX(0,N(P75)))*INDEX('Tender Setup'!$E$4:$E$33,U75)+MIN(10,MAX(0,N(Q75)))*INDEX('Tender Setup'!$F$4:$F$33,U75)+MIN(10,MAX(0,N(R75)))*INDEX('Tender Setup'!$G$4:$G$33,U75)+MIN(10,MAX(0,N(S75)))*INDEX('Tender Setup'!$H$4:$H$33,U75))/10)</f>
        <v/>
      </c>
      <c r="Z75" s="11">
        <f>IF(B75="","",IF(I75&lt;&gt;"Yes",0,IF(N(INDEX('Tender Setup'!$I$4:$I$33,U75))=0,0,(X75+Y75)*100/INDEX('Tender Setup'!$I$4:$I$33,U75))))</f>
        <v/>
      </c>
      <c r="AA75" s="7">
        <f>IF(B75="","",IF(I75&lt;&gt;"Yes","Excluded",COUNTIFS(T$4:T$103,T75,I$4:I$103,"Yes",Z$4:Z$103,"&gt;"&amp;Z75)+1))</f>
        <v/>
      </c>
      <c r="AB75" s="7">
        <f>IF(I75&lt;&gt;"Yes","",IF(AND(COUNTIFS(T$4:T$103,T75,I$4:I$103,"Yes")&gt;=2,N75&lt;W75*(1-Settings!$B$12)),"Well under median: check scope",""))</f>
        <v/>
      </c>
      <c r="AC75" s="36">
        <f>IF(B75="","",TRIM(IF(COUNTIF(D75:H75,"Yes")&lt;5,"Compliance gates not all Yes. ","")&amp;IF(SUMPRODUCT(--ISTEXT(J75:M75))&gt;0,"A price cell holds text, not a number. ","")&amp;IF(N(J75)&lt;=0,"No quoted price. ",IF(N(N75)&lt;=0,"Levelled price is $0 or less. ",""))&amp;IF(U75=0,"Package isn't on the Packages tab. ","")&amp;IF(SUMPRODUCT(ISTEXT(O75:S75)+(O75:S75&lt;0)+(O75:S75&gt;10))&gt;0,"Scores must be 0 to 10 (capped). ","")&amp;IF(AND(AA75=1,COUNTIFS(T$4:T$103,T75,AA$4:AA$103,1)&gt;1),"Tied for 1st: ask both for clarifications. ","")))</f>
        <v/>
      </c>
      <c r="AD75" s="7">
        <f>T75&amp;"|"&amp;AA75</f>
        <v/>
      </c>
      <c r="AE75" s="22" t="n"/>
      <c r="AF75" s="23" t="n"/>
    </row>
    <row r="76">
      <c r="A76" s="22" t="n"/>
      <c r="B76" s="22" t="n"/>
      <c r="C76" s="24" t="n"/>
      <c r="D76" s="22" t="n"/>
      <c r="E76" s="22" t="n"/>
      <c r="F76" s="22" t="n"/>
      <c r="G76" s="22" t="n"/>
      <c r="H76" s="22" t="n"/>
      <c r="I76" s="7">
        <f>IF(B76="","",IF(AND(COUNTIF(D76:H76,"Yes")=5,SUMPRODUCT(--ISTEXT(J76:M76))=0,N(J76)&gt;0,N(N76)&gt;0,U76&gt;0),"Yes","No"))</f>
        <v/>
      </c>
      <c r="J76" s="33" t="n"/>
      <c r="K76" s="33" t="n"/>
      <c r="L76" s="33" t="n"/>
      <c r="M76" s="33" t="n"/>
      <c r="N76" s="9">
        <f>IF(B76="","",N(J76)+N(K76)+N(L76)+N(M76))</f>
        <v/>
      </c>
      <c r="O76" s="22" t="n"/>
      <c r="P76" s="22" t="n"/>
      <c r="Q76" s="22" t="n"/>
      <c r="R76" s="22" t="n"/>
      <c r="S76" s="22" t="n"/>
      <c r="T76" s="7">
        <f>IF(A76="","",LEFT(A76,2))</f>
        <v/>
      </c>
      <c r="U76" s="7">
        <f>IF(A76="",0,IFERROR(MATCH(LEFT(A76,3)&amp;"*",'Tender Setup'!$A$4:$A$33,0),0))</f>
        <v/>
      </c>
      <c r="V76" s="9">
        <f t="array" ref="V76">IF(I76&lt;&gt;"Yes","",MIN(IF((T$4:T$103=T76)*(I$4:I$103="Yes"),N$4:N$103)))</f>
        <v/>
      </c>
      <c r="W76" s="9">
        <f t="array" ref="W76">IF(I76&lt;&gt;"Yes","",MEDIAN(IF((T$4:T$103=T76)*(I$4:I$103="Yes"),N$4:N$103)))</f>
        <v/>
      </c>
      <c r="X76" s="11">
        <f>IF(I76&lt;&gt;"Yes",0,V76/N76*INDEX('Tender Setup'!$C$4:$C$33,U76))</f>
        <v/>
      </c>
      <c r="Y76" s="11">
        <f>IF(I76&lt;&gt;"Yes",0,(MIN(10,MAX(0,N(O76)))*INDEX('Tender Setup'!$D$4:$D$33,U76)+MIN(10,MAX(0,N(P76)))*INDEX('Tender Setup'!$E$4:$E$33,U76)+MIN(10,MAX(0,N(Q76)))*INDEX('Tender Setup'!$F$4:$F$33,U76)+MIN(10,MAX(0,N(R76)))*INDEX('Tender Setup'!$G$4:$G$33,U76)+MIN(10,MAX(0,N(S76)))*INDEX('Tender Setup'!$H$4:$H$33,U76))/10)</f>
        <v/>
      </c>
      <c r="Z76" s="11">
        <f>IF(B76="","",IF(I76&lt;&gt;"Yes",0,IF(N(INDEX('Tender Setup'!$I$4:$I$33,U76))=0,0,(X76+Y76)*100/INDEX('Tender Setup'!$I$4:$I$33,U76))))</f>
        <v/>
      </c>
      <c r="AA76" s="7">
        <f>IF(B76="","",IF(I76&lt;&gt;"Yes","Excluded",COUNTIFS(T$4:T$103,T76,I$4:I$103,"Yes",Z$4:Z$103,"&gt;"&amp;Z76)+1))</f>
        <v/>
      </c>
      <c r="AB76" s="7">
        <f>IF(I76&lt;&gt;"Yes","",IF(AND(COUNTIFS(T$4:T$103,T76,I$4:I$103,"Yes")&gt;=2,N76&lt;W76*(1-Settings!$B$12)),"Well under median: check scope",""))</f>
        <v/>
      </c>
      <c r="AC76" s="36">
        <f>IF(B76="","",TRIM(IF(COUNTIF(D76:H76,"Yes")&lt;5,"Compliance gates not all Yes. ","")&amp;IF(SUMPRODUCT(--ISTEXT(J76:M76))&gt;0,"A price cell holds text, not a number. ","")&amp;IF(N(J76)&lt;=0,"No quoted price. ",IF(N(N76)&lt;=0,"Levelled price is $0 or less. ",""))&amp;IF(U76=0,"Package isn't on the Packages tab. ","")&amp;IF(SUMPRODUCT(ISTEXT(O76:S76)+(O76:S76&lt;0)+(O76:S76&gt;10))&gt;0,"Scores must be 0 to 10 (capped). ","")&amp;IF(AND(AA76=1,COUNTIFS(T$4:T$103,T76,AA$4:AA$103,1)&gt;1),"Tied for 1st: ask both for clarifications. ","")))</f>
        <v/>
      </c>
      <c r="AD76" s="7">
        <f>T76&amp;"|"&amp;AA76</f>
        <v/>
      </c>
      <c r="AE76" s="22" t="n"/>
      <c r="AF76" s="23" t="n"/>
    </row>
    <row r="77">
      <c r="A77" s="22" t="n"/>
      <c r="B77" s="22" t="n"/>
      <c r="C77" s="24" t="n"/>
      <c r="D77" s="22" t="n"/>
      <c r="E77" s="22" t="n"/>
      <c r="F77" s="22" t="n"/>
      <c r="G77" s="22" t="n"/>
      <c r="H77" s="22" t="n"/>
      <c r="I77" s="7">
        <f>IF(B77="","",IF(AND(COUNTIF(D77:H77,"Yes")=5,SUMPRODUCT(--ISTEXT(J77:M77))=0,N(J77)&gt;0,N(N77)&gt;0,U77&gt;0),"Yes","No"))</f>
        <v/>
      </c>
      <c r="J77" s="33" t="n"/>
      <c r="K77" s="33" t="n"/>
      <c r="L77" s="33" t="n"/>
      <c r="M77" s="33" t="n"/>
      <c r="N77" s="9">
        <f>IF(B77="","",N(J77)+N(K77)+N(L77)+N(M77))</f>
        <v/>
      </c>
      <c r="O77" s="22" t="n"/>
      <c r="P77" s="22" t="n"/>
      <c r="Q77" s="22" t="n"/>
      <c r="R77" s="22" t="n"/>
      <c r="S77" s="22" t="n"/>
      <c r="T77" s="7">
        <f>IF(A77="","",LEFT(A77,2))</f>
        <v/>
      </c>
      <c r="U77" s="7">
        <f>IF(A77="",0,IFERROR(MATCH(LEFT(A77,3)&amp;"*",'Tender Setup'!$A$4:$A$33,0),0))</f>
        <v/>
      </c>
      <c r="V77" s="9">
        <f t="array" ref="V77">IF(I77&lt;&gt;"Yes","",MIN(IF((T$4:T$103=T77)*(I$4:I$103="Yes"),N$4:N$103)))</f>
        <v/>
      </c>
      <c r="W77" s="9">
        <f t="array" ref="W77">IF(I77&lt;&gt;"Yes","",MEDIAN(IF((T$4:T$103=T77)*(I$4:I$103="Yes"),N$4:N$103)))</f>
        <v/>
      </c>
      <c r="X77" s="11">
        <f>IF(I77&lt;&gt;"Yes",0,V77/N77*INDEX('Tender Setup'!$C$4:$C$33,U77))</f>
        <v/>
      </c>
      <c r="Y77" s="11">
        <f>IF(I77&lt;&gt;"Yes",0,(MIN(10,MAX(0,N(O77)))*INDEX('Tender Setup'!$D$4:$D$33,U77)+MIN(10,MAX(0,N(P77)))*INDEX('Tender Setup'!$E$4:$E$33,U77)+MIN(10,MAX(0,N(Q77)))*INDEX('Tender Setup'!$F$4:$F$33,U77)+MIN(10,MAX(0,N(R77)))*INDEX('Tender Setup'!$G$4:$G$33,U77)+MIN(10,MAX(0,N(S77)))*INDEX('Tender Setup'!$H$4:$H$33,U77))/10)</f>
        <v/>
      </c>
      <c r="Z77" s="11">
        <f>IF(B77="","",IF(I77&lt;&gt;"Yes",0,IF(N(INDEX('Tender Setup'!$I$4:$I$33,U77))=0,0,(X77+Y77)*100/INDEX('Tender Setup'!$I$4:$I$33,U77))))</f>
        <v/>
      </c>
      <c r="AA77" s="7">
        <f>IF(B77="","",IF(I77&lt;&gt;"Yes","Excluded",COUNTIFS(T$4:T$103,T77,I$4:I$103,"Yes",Z$4:Z$103,"&gt;"&amp;Z77)+1))</f>
        <v/>
      </c>
      <c r="AB77" s="7">
        <f>IF(I77&lt;&gt;"Yes","",IF(AND(COUNTIFS(T$4:T$103,T77,I$4:I$103,"Yes")&gt;=2,N77&lt;W77*(1-Settings!$B$12)),"Well under median: check scope",""))</f>
        <v/>
      </c>
      <c r="AC77" s="36">
        <f>IF(B77="","",TRIM(IF(COUNTIF(D77:H77,"Yes")&lt;5,"Compliance gates not all Yes. ","")&amp;IF(SUMPRODUCT(--ISTEXT(J77:M77))&gt;0,"A price cell holds text, not a number. ","")&amp;IF(N(J77)&lt;=0,"No quoted price. ",IF(N(N77)&lt;=0,"Levelled price is $0 or less. ",""))&amp;IF(U77=0,"Package isn't on the Packages tab. ","")&amp;IF(SUMPRODUCT(ISTEXT(O77:S77)+(O77:S77&lt;0)+(O77:S77&gt;10))&gt;0,"Scores must be 0 to 10 (capped). ","")&amp;IF(AND(AA77=1,COUNTIFS(T$4:T$103,T77,AA$4:AA$103,1)&gt;1),"Tied for 1st: ask both for clarifications. ","")))</f>
        <v/>
      </c>
      <c r="AD77" s="7">
        <f>T77&amp;"|"&amp;AA77</f>
        <v/>
      </c>
      <c r="AE77" s="22" t="n"/>
      <c r="AF77" s="23" t="n"/>
    </row>
    <row r="78">
      <c r="A78" s="22" t="n"/>
      <c r="B78" s="22" t="n"/>
      <c r="C78" s="24" t="n"/>
      <c r="D78" s="22" t="n"/>
      <c r="E78" s="22" t="n"/>
      <c r="F78" s="22" t="n"/>
      <c r="G78" s="22" t="n"/>
      <c r="H78" s="22" t="n"/>
      <c r="I78" s="7">
        <f>IF(B78="","",IF(AND(COUNTIF(D78:H78,"Yes")=5,SUMPRODUCT(--ISTEXT(J78:M78))=0,N(J78)&gt;0,N(N78)&gt;0,U78&gt;0),"Yes","No"))</f>
        <v/>
      </c>
      <c r="J78" s="33" t="n"/>
      <c r="K78" s="33" t="n"/>
      <c r="L78" s="33" t="n"/>
      <c r="M78" s="33" t="n"/>
      <c r="N78" s="9">
        <f>IF(B78="","",N(J78)+N(K78)+N(L78)+N(M78))</f>
        <v/>
      </c>
      <c r="O78" s="22" t="n"/>
      <c r="P78" s="22" t="n"/>
      <c r="Q78" s="22" t="n"/>
      <c r="R78" s="22" t="n"/>
      <c r="S78" s="22" t="n"/>
      <c r="T78" s="7">
        <f>IF(A78="","",LEFT(A78,2))</f>
        <v/>
      </c>
      <c r="U78" s="7">
        <f>IF(A78="",0,IFERROR(MATCH(LEFT(A78,3)&amp;"*",'Tender Setup'!$A$4:$A$33,0),0))</f>
        <v/>
      </c>
      <c r="V78" s="9">
        <f t="array" ref="V78">IF(I78&lt;&gt;"Yes","",MIN(IF((T$4:T$103=T78)*(I$4:I$103="Yes"),N$4:N$103)))</f>
        <v/>
      </c>
      <c r="W78" s="9">
        <f t="array" ref="W78">IF(I78&lt;&gt;"Yes","",MEDIAN(IF((T$4:T$103=T78)*(I$4:I$103="Yes"),N$4:N$103)))</f>
        <v/>
      </c>
      <c r="X78" s="11">
        <f>IF(I78&lt;&gt;"Yes",0,V78/N78*INDEX('Tender Setup'!$C$4:$C$33,U78))</f>
        <v/>
      </c>
      <c r="Y78" s="11">
        <f>IF(I78&lt;&gt;"Yes",0,(MIN(10,MAX(0,N(O78)))*INDEX('Tender Setup'!$D$4:$D$33,U78)+MIN(10,MAX(0,N(P78)))*INDEX('Tender Setup'!$E$4:$E$33,U78)+MIN(10,MAX(0,N(Q78)))*INDEX('Tender Setup'!$F$4:$F$33,U78)+MIN(10,MAX(0,N(R78)))*INDEX('Tender Setup'!$G$4:$G$33,U78)+MIN(10,MAX(0,N(S78)))*INDEX('Tender Setup'!$H$4:$H$33,U78))/10)</f>
        <v/>
      </c>
      <c r="Z78" s="11">
        <f>IF(B78="","",IF(I78&lt;&gt;"Yes",0,IF(N(INDEX('Tender Setup'!$I$4:$I$33,U78))=0,0,(X78+Y78)*100/INDEX('Tender Setup'!$I$4:$I$33,U78))))</f>
        <v/>
      </c>
      <c r="AA78" s="7">
        <f>IF(B78="","",IF(I78&lt;&gt;"Yes","Excluded",COUNTIFS(T$4:T$103,T78,I$4:I$103,"Yes",Z$4:Z$103,"&gt;"&amp;Z78)+1))</f>
        <v/>
      </c>
      <c r="AB78" s="7">
        <f>IF(I78&lt;&gt;"Yes","",IF(AND(COUNTIFS(T$4:T$103,T78,I$4:I$103,"Yes")&gt;=2,N78&lt;W78*(1-Settings!$B$12)),"Well under median: check scope",""))</f>
        <v/>
      </c>
      <c r="AC78" s="36">
        <f>IF(B78="","",TRIM(IF(COUNTIF(D78:H78,"Yes")&lt;5,"Compliance gates not all Yes. ","")&amp;IF(SUMPRODUCT(--ISTEXT(J78:M78))&gt;0,"A price cell holds text, not a number. ","")&amp;IF(N(J78)&lt;=0,"No quoted price. ",IF(N(N78)&lt;=0,"Levelled price is $0 or less. ",""))&amp;IF(U78=0,"Package isn't on the Packages tab. ","")&amp;IF(SUMPRODUCT(ISTEXT(O78:S78)+(O78:S78&lt;0)+(O78:S78&gt;10))&gt;0,"Scores must be 0 to 10 (capped). ","")&amp;IF(AND(AA78=1,COUNTIFS(T$4:T$103,T78,AA$4:AA$103,1)&gt;1),"Tied for 1st: ask both for clarifications. ","")))</f>
        <v/>
      </c>
      <c r="AD78" s="7">
        <f>T78&amp;"|"&amp;AA78</f>
        <v/>
      </c>
      <c r="AE78" s="22" t="n"/>
      <c r="AF78" s="23" t="n"/>
    </row>
    <row r="79">
      <c r="A79" s="22" t="n"/>
      <c r="B79" s="22" t="n"/>
      <c r="C79" s="24" t="n"/>
      <c r="D79" s="22" t="n"/>
      <c r="E79" s="22" t="n"/>
      <c r="F79" s="22" t="n"/>
      <c r="G79" s="22" t="n"/>
      <c r="H79" s="22" t="n"/>
      <c r="I79" s="7">
        <f>IF(B79="","",IF(AND(COUNTIF(D79:H79,"Yes")=5,SUMPRODUCT(--ISTEXT(J79:M79))=0,N(J79)&gt;0,N(N79)&gt;0,U79&gt;0),"Yes","No"))</f>
        <v/>
      </c>
      <c r="J79" s="33" t="n"/>
      <c r="K79" s="33" t="n"/>
      <c r="L79" s="33" t="n"/>
      <c r="M79" s="33" t="n"/>
      <c r="N79" s="9">
        <f>IF(B79="","",N(J79)+N(K79)+N(L79)+N(M79))</f>
        <v/>
      </c>
      <c r="O79" s="22" t="n"/>
      <c r="P79" s="22" t="n"/>
      <c r="Q79" s="22" t="n"/>
      <c r="R79" s="22" t="n"/>
      <c r="S79" s="22" t="n"/>
      <c r="T79" s="7">
        <f>IF(A79="","",LEFT(A79,2))</f>
        <v/>
      </c>
      <c r="U79" s="7">
        <f>IF(A79="",0,IFERROR(MATCH(LEFT(A79,3)&amp;"*",'Tender Setup'!$A$4:$A$33,0),0))</f>
        <v/>
      </c>
      <c r="V79" s="9">
        <f t="array" ref="V79">IF(I79&lt;&gt;"Yes","",MIN(IF((T$4:T$103=T79)*(I$4:I$103="Yes"),N$4:N$103)))</f>
        <v/>
      </c>
      <c r="W79" s="9">
        <f t="array" ref="W79">IF(I79&lt;&gt;"Yes","",MEDIAN(IF((T$4:T$103=T79)*(I$4:I$103="Yes"),N$4:N$103)))</f>
        <v/>
      </c>
      <c r="X79" s="11">
        <f>IF(I79&lt;&gt;"Yes",0,V79/N79*INDEX('Tender Setup'!$C$4:$C$33,U79))</f>
        <v/>
      </c>
      <c r="Y79" s="11">
        <f>IF(I79&lt;&gt;"Yes",0,(MIN(10,MAX(0,N(O79)))*INDEX('Tender Setup'!$D$4:$D$33,U79)+MIN(10,MAX(0,N(P79)))*INDEX('Tender Setup'!$E$4:$E$33,U79)+MIN(10,MAX(0,N(Q79)))*INDEX('Tender Setup'!$F$4:$F$33,U79)+MIN(10,MAX(0,N(R79)))*INDEX('Tender Setup'!$G$4:$G$33,U79)+MIN(10,MAX(0,N(S79)))*INDEX('Tender Setup'!$H$4:$H$33,U79))/10)</f>
        <v/>
      </c>
      <c r="Z79" s="11">
        <f>IF(B79="","",IF(I79&lt;&gt;"Yes",0,IF(N(INDEX('Tender Setup'!$I$4:$I$33,U79))=0,0,(X79+Y79)*100/INDEX('Tender Setup'!$I$4:$I$33,U79))))</f>
        <v/>
      </c>
      <c r="AA79" s="7">
        <f>IF(B79="","",IF(I79&lt;&gt;"Yes","Excluded",COUNTIFS(T$4:T$103,T79,I$4:I$103,"Yes",Z$4:Z$103,"&gt;"&amp;Z79)+1))</f>
        <v/>
      </c>
      <c r="AB79" s="7">
        <f>IF(I79&lt;&gt;"Yes","",IF(AND(COUNTIFS(T$4:T$103,T79,I$4:I$103,"Yes")&gt;=2,N79&lt;W79*(1-Settings!$B$12)),"Well under median: check scope",""))</f>
        <v/>
      </c>
      <c r="AC79" s="36">
        <f>IF(B79="","",TRIM(IF(COUNTIF(D79:H79,"Yes")&lt;5,"Compliance gates not all Yes. ","")&amp;IF(SUMPRODUCT(--ISTEXT(J79:M79))&gt;0,"A price cell holds text, not a number. ","")&amp;IF(N(J79)&lt;=0,"No quoted price. ",IF(N(N79)&lt;=0,"Levelled price is $0 or less. ",""))&amp;IF(U79=0,"Package isn't on the Packages tab. ","")&amp;IF(SUMPRODUCT(ISTEXT(O79:S79)+(O79:S79&lt;0)+(O79:S79&gt;10))&gt;0,"Scores must be 0 to 10 (capped). ","")&amp;IF(AND(AA79=1,COUNTIFS(T$4:T$103,T79,AA$4:AA$103,1)&gt;1),"Tied for 1st: ask both for clarifications. ","")))</f>
        <v/>
      </c>
      <c r="AD79" s="7">
        <f>T79&amp;"|"&amp;AA79</f>
        <v/>
      </c>
      <c r="AE79" s="22" t="n"/>
      <c r="AF79" s="23" t="n"/>
    </row>
    <row r="80">
      <c r="A80" s="22" t="n"/>
      <c r="B80" s="22" t="n"/>
      <c r="C80" s="24" t="n"/>
      <c r="D80" s="22" t="n"/>
      <c r="E80" s="22" t="n"/>
      <c r="F80" s="22" t="n"/>
      <c r="G80" s="22" t="n"/>
      <c r="H80" s="22" t="n"/>
      <c r="I80" s="7">
        <f>IF(B80="","",IF(AND(COUNTIF(D80:H80,"Yes")=5,SUMPRODUCT(--ISTEXT(J80:M80))=0,N(J80)&gt;0,N(N80)&gt;0,U80&gt;0),"Yes","No"))</f>
        <v/>
      </c>
      <c r="J80" s="33" t="n"/>
      <c r="K80" s="33" t="n"/>
      <c r="L80" s="33" t="n"/>
      <c r="M80" s="33" t="n"/>
      <c r="N80" s="9">
        <f>IF(B80="","",N(J80)+N(K80)+N(L80)+N(M80))</f>
        <v/>
      </c>
      <c r="O80" s="22" t="n"/>
      <c r="P80" s="22" t="n"/>
      <c r="Q80" s="22" t="n"/>
      <c r="R80" s="22" t="n"/>
      <c r="S80" s="22" t="n"/>
      <c r="T80" s="7">
        <f>IF(A80="","",LEFT(A80,2))</f>
        <v/>
      </c>
      <c r="U80" s="7">
        <f>IF(A80="",0,IFERROR(MATCH(LEFT(A80,3)&amp;"*",'Tender Setup'!$A$4:$A$33,0),0))</f>
        <v/>
      </c>
      <c r="V80" s="9">
        <f t="array" ref="V80">IF(I80&lt;&gt;"Yes","",MIN(IF((T$4:T$103=T80)*(I$4:I$103="Yes"),N$4:N$103)))</f>
        <v/>
      </c>
      <c r="W80" s="9">
        <f t="array" ref="W80">IF(I80&lt;&gt;"Yes","",MEDIAN(IF((T$4:T$103=T80)*(I$4:I$103="Yes"),N$4:N$103)))</f>
        <v/>
      </c>
      <c r="X80" s="11">
        <f>IF(I80&lt;&gt;"Yes",0,V80/N80*INDEX('Tender Setup'!$C$4:$C$33,U80))</f>
        <v/>
      </c>
      <c r="Y80" s="11">
        <f>IF(I80&lt;&gt;"Yes",0,(MIN(10,MAX(0,N(O80)))*INDEX('Tender Setup'!$D$4:$D$33,U80)+MIN(10,MAX(0,N(P80)))*INDEX('Tender Setup'!$E$4:$E$33,U80)+MIN(10,MAX(0,N(Q80)))*INDEX('Tender Setup'!$F$4:$F$33,U80)+MIN(10,MAX(0,N(R80)))*INDEX('Tender Setup'!$G$4:$G$33,U80)+MIN(10,MAX(0,N(S80)))*INDEX('Tender Setup'!$H$4:$H$33,U80))/10)</f>
        <v/>
      </c>
      <c r="Z80" s="11">
        <f>IF(B80="","",IF(I80&lt;&gt;"Yes",0,IF(N(INDEX('Tender Setup'!$I$4:$I$33,U80))=0,0,(X80+Y80)*100/INDEX('Tender Setup'!$I$4:$I$33,U80))))</f>
        <v/>
      </c>
      <c r="AA80" s="7">
        <f>IF(B80="","",IF(I80&lt;&gt;"Yes","Excluded",COUNTIFS(T$4:T$103,T80,I$4:I$103,"Yes",Z$4:Z$103,"&gt;"&amp;Z80)+1))</f>
        <v/>
      </c>
      <c r="AB80" s="7">
        <f>IF(I80&lt;&gt;"Yes","",IF(AND(COUNTIFS(T$4:T$103,T80,I$4:I$103,"Yes")&gt;=2,N80&lt;W80*(1-Settings!$B$12)),"Well under median: check scope",""))</f>
        <v/>
      </c>
      <c r="AC80" s="36">
        <f>IF(B80="","",TRIM(IF(COUNTIF(D80:H80,"Yes")&lt;5,"Compliance gates not all Yes. ","")&amp;IF(SUMPRODUCT(--ISTEXT(J80:M80))&gt;0,"A price cell holds text, not a number. ","")&amp;IF(N(J80)&lt;=0,"No quoted price. ",IF(N(N80)&lt;=0,"Levelled price is $0 or less. ",""))&amp;IF(U80=0,"Package isn't on the Packages tab. ","")&amp;IF(SUMPRODUCT(ISTEXT(O80:S80)+(O80:S80&lt;0)+(O80:S80&gt;10))&gt;0,"Scores must be 0 to 10 (capped). ","")&amp;IF(AND(AA80=1,COUNTIFS(T$4:T$103,T80,AA$4:AA$103,1)&gt;1),"Tied for 1st: ask both for clarifications. ","")))</f>
        <v/>
      </c>
      <c r="AD80" s="7">
        <f>T80&amp;"|"&amp;AA80</f>
        <v/>
      </c>
      <c r="AE80" s="22" t="n"/>
      <c r="AF80" s="23" t="n"/>
    </row>
    <row r="81">
      <c r="A81" s="22" t="n"/>
      <c r="B81" s="22" t="n"/>
      <c r="C81" s="24" t="n"/>
      <c r="D81" s="22" t="n"/>
      <c r="E81" s="22" t="n"/>
      <c r="F81" s="22" t="n"/>
      <c r="G81" s="22" t="n"/>
      <c r="H81" s="22" t="n"/>
      <c r="I81" s="7">
        <f>IF(B81="","",IF(AND(COUNTIF(D81:H81,"Yes")=5,SUMPRODUCT(--ISTEXT(J81:M81))=0,N(J81)&gt;0,N(N81)&gt;0,U81&gt;0),"Yes","No"))</f>
        <v/>
      </c>
      <c r="J81" s="33" t="n"/>
      <c r="K81" s="33" t="n"/>
      <c r="L81" s="33" t="n"/>
      <c r="M81" s="33" t="n"/>
      <c r="N81" s="9">
        <f>IF(B81="","",N(J81)+N(K81)+N(L81)+N(M81))</f>
        <v/>
      </c>
      <c r="O81" s="22" t="n"/>
      <c r="P81" s="22" t="n"/>
      <c r="Q81" s="22" t="n"/>
      <c r="R81" s="22" t="n"/>
      <c r="S81" s="22" t="n"/>
      <c r="T81" s="7">
        <f>IF(A81="","",LEFT(A81,2))</f>
        <v/>
      </c>
      <c r="U81" s="7">
        <f>IF(A81="",0,IFERROR(MATCH(LEFT(A81,3)&amp;"*",'Tender Setup'!$A$4:$A$33,0),0))</f>
        <v/>
      </c>
      <c r="V81" s="9">
        <f t="array" ref="V81">IF(I81&lt;&gt;"Yes","",MIN(IF((T$4:T$103=T81)*(I$4:I$103="Yes"),N$4:N$103)))</f>
        <v/>
      </c>
      <c r="W81" s="9">
        <f t="array" ref="W81">IF(I81&lt;&gt;"Yes","",MEDIAN(IF((T$4:T$103=T81)*(I$4:I$103="Yes"),N$4:N$103)))</f>
        <v/>
      </c>
      <c r="X81" s="11">
        <f>IF(I81&lt;&gt;"Yes",0,V81/N81*INDEX('Tender Setup'!$C$4:$C$33,U81))</f>
        <v/>
      </c>
      <c r="Y81" s="11">
        <f>IF(I81&lt;&gt;"Yes",0,(MIN(10,MAX(0,N(O81)))*INDEX('Tender Setup'!$D$4:$D$33,U81)+MIN(10,MAX(0,N(P81)))*INDEX('Tender Setup'!$E$4:$E$33,U81)+MIN(10,MAX(0,N(Q81)))*INDEX('Tender Setup'!$F$4:$F$33,U81)+MIN(10,MAX(0,N(R81)))*INDEX('Tender Setup'!$G$4:$G$33,U81)+MIN(10,MAX(0,N(S81)))*INDEX('Tender Setup'!$H$4:$H$33,U81))/10)</f>
        <v/>
      </c>
      <c r="Z81" s="11">
        <f>IF(B81="","",IF(I81&lt;&gt;"Yes",0,IF(N(INDEX('Tender Setup'!$I$4:$I$33,U81))=0,0,(X81+Y81)*100/INDEX('Tender Setup'!$I$4:$I$33,U81))))</f>
        <v/>
      </c>
      <c r="AA81" s="7">
        <f>IF(B81="","",IF(I81&lt;&gt;"Yes","Excluded",COUNTIFS(T$4:T$103,T81,I$4:I$103,"Yes",Z$4:Z$103,"&gt;"&amp;Z81)+1))</f>
        <v/>
      </c>
      <c r="AB81" s="7">
        <f>IF(I81&lt;&gt;"Yes","",IF(AND(COUNTIFS(T$4:T$103,T81,I$4:I$103,"Yes")&gt;=2,N81&lt;W81*(1-Settings!$B$12)),"Well under median: check scope",""))</f>
        <v/>
      </c>
      <c r="AC81" s="36">
        <f>IF(B81="","",TRIM(IF(COUNTIF(D81:H81,"Yes")&lt;5,"Compliance gates not all Yes. ","")&amp;IF(SUMPRODUCT(--ISTEXT(J81:M81))&gt;0,"A price cell holds text, not a number. ","")&amp;IF(N(J81)&lt;=0,"No quoted price. ",IF(N(N81)&lt;=0,"Levelled price is $0 or less. ",""))&amp;IF(U81=0,"Package isn't on the Packages tab. ","")&amp;IF(SUMPRODUCT(ISTEXT(O81:S81)+(O81:S81&lt;0)+(O81:S81&gt;10))&gt;0,"Scores must be 0 to 10 (capped). ","")&amp;IF(AND(AA81=1,COUNTIFS(T$4:T$103,T81,AA$4:AA$103,1)&gt;1),"Tied for 1st: ask both for clarifications. ","")))</f>
        <v/>
      </c>
      <c r="AD81" s="7">
        <f>T81&amp;"|"&amp;AA81</f>
        <v/>
      </c>
      <c r="AE81" s="22" t="n"/>
      <c r="AF81" s="23" t="n"/>
    </row>
    <row r="82">
      <c r="A82" s="22" t="n"/>
      <c r="B82" s="22" t="n"/>
      <c r="C82" s="24" t="n"/>
      <c r="D82" s="22" t="n"/>
      <c r="E82" s="22" t="n"/>
      <c r="F82" s="22" t="n"/>
      <c r="G82" s="22" t="n"/>
      <c r="H82" s="22" t="n"/>
      <c r="I82" s="7">
        <f>IF(B82="","",IF(AND(COUNTIF(D82:H82,"Yes")=5,SUMPRODUCT(--ISTEXT(J82:M82))=0,N(J82)&gt;0,N(N82)&gt;0,U82&gt;0),"Yes","No"))</f>
        <v/>
      </c>
      <c r="J82" s="33" t="n"/>
      <c r="K82" s="33" t="n"/>
      <c r="L82" s="33" t="n"/>
      <c r="M82" s="33" t="n"/>
      <c r="N82" s="9">
        <f>IF(B82="","",N(J82)+N(K82)+N(L82)+N(M82))</f>
        <v/>
      </c>
      <c r="O82" s="22" t="n"/>
      <c r="P82" s="22" t="n"/>
      <c r="Q82" s="22" t="n"/>
      <c r="R82" s="22" t="n"/>
      <c r="S82" s="22" t="n"/>
      <c r="T82" s="7">
        <f>IF(A82="","",LEFT(A82,2))</f>
        <v/>
      </c>
      <c r="U82" s="7">
        <f>IF(A82="",0,IFERROR(MATCH(LEFT(A82,3)&amp;"*",'Tender Setup'!$A$4:$A$33,0),0))</f>
        <v/>
      </c>
      <c r="V82" s="9">
        <f t="array" ref="V82">IF(I82&lt;&gt;"Yes","",MIN(IF((T$4:T$103=T82)*(I$4:I$103="Yes"),N$4:N$103)))</f>
        <v/>
      </c>
      <c r="W82" s="9">
        <f t="array" ref="W82">IF(I82&lt;&gt;"Yes","",MEDIAN(IF((T$4:T$103=T82)*(I$4:I$103="Yes"),N$4:N$103)))</f>
        <v/>
      </c>
      <c r="X82" s="11">
        <f>IF(I82&lt;&gt;"Yes",0,V82/N82*INDEX('Tender Setup'!$C$4:$C$33,U82))</f>
        <v/>
      </c>
      <c r="Y82" s="11">
        <f>IF(I82&lt;&gt;"Yes",0,(MIN(10,MAX(0,N(O82)))*INDEX('Tender Setup'!$D$4:$D$33,U82)+MIN(10,MAX(0,N(P82)))*INDEX('Tender Setup'!$E$4:$E$33,U82)+MIN(10,MAX(0,N(Q82)))*INDEX('Tender Setup'!$F$4:$F$33,U82)+MIN(10,MAX(0,N(R82)))*INDEX('Tender Setup'!$G$4:$G$33,U82)+MIN(10,MAX(0,N(S82)))*INDEX('Tender Setup'!$H$4:$H$33,U82))/10)</f>
        <v/>
      </c>
      <c r="Z82" s="11">
        <f>IF(B82="","",IF(I82&lt;&gt;"Yes",0,IF(N(INDEX('Tender Setup'!$I$4:$I$33,U82))=0,0,(X82+Y82)*100/INDEX('Tender Setup'!$I$4:$I$33,U82))))</f>
        <v/>
      </c>
      <c r="AA82" s="7">
        <f>IF(B82="","",IF(I82&lt;&gt;"Yes","Excluded",COUNTIFS(T$4:T$103,T82,I$4:I$103,"Yes",Z$4:Z$103,"&gt;"&amp;Z82)+1))</f>
        <v/>
      </c>
      <c r="AB82" s="7">
        <f>IF(I82&lt;&gt;"Yes","",IF(AND(COUNTIFS(T$4:T$103,T82,I$4:I$103,"Yes")&gt;=2,N82&lt;W82*(1-Settings!$B$12)),"Well under median: check scope",""))</f>
        <v/>
      </c>
      <c r="AC82" s="36">
        <f>IF(B82="","",TRIM(IF(COUNTIF(D82:H82,"Yes")&lt;5,"Compliance gates not all Yes. ","")&amp;IF(SUMPRODUCT(--ISTEXT(J82:M82))&gt;0,"A price cell holds text, not a number. ","")&amp;IF(N(J82)&lt;=0,"No quoted price. ",IF(N(N82)&lt;=0,"Levelled price is $0 or less. ",""))&amp;IF(U82=0,"Package isn't on the Packages tab. ","")&amp;IF(SUMPRODUCT(ISTEXT(O82:S82)+(O82:S82&lt;0)+(O82:S82&gt;10))&gt;0,"Scores must be 0 to 10 (capped). ","")&amp;IF(AND(AA82=1,COUNTIFS(T$4:T$103,T82,AA$4:AA$103,1)&gt;1),"Tied for 1st: ask both for clarifications. ","")))</f>
        <v/>
      </c>
      <c r="AD82" s="7">
        <f>T82&amp;"|"&amp;AA82</f>
        <v/>
      </c>
      <c r="AE82" s="22" t="n"/>
      <c r="AF82" s="23" t="n"/>
    </row>
    <row r="83">
      <c r="A83" s="22" t="n"/>
      <c r="B83" s="22" t="n"/>
      <c r="C83" s="24" t="n"/>
      <c r="D83" s="22" t="n"/>
      <c r="E83" s="22" t="n"/>
      <c r="F83" s="22" t="n"/>
      <c r="G83" s="22" t="n"/>
      <c r="H83" s="22" t="n"/>
      <c r="I83" s="7">
        <f>IF(B83="","",IF(AND(COUNTIF(D83:H83,"Yes")=5,SUMPRODUCT(--ISTEXT(J83:M83))=0,N(J83)&gt;0,N(N83)&gt;0,U83&gt;0),"Yes","No"))</f>
        <v/>
      </c>
      <c r="J83" s="33" t="n"/>
      <c r="K83" s="33" t="n"/>
      <c r="L83" s="33" t="n"/>
      <c r="M83" s="33" t="n"/>
      <c r="N83" s="9">
        <f>IF(B83="","",N(J83)+N(K83)+N(L83)+N(M83))</f>
        <v/>
      </c>
      <c r="O83" s="22" t="n"/>
      <c r="P83" s="22" t="n"/>
      <c r="Q83" s="22" t="n"/>
      <c r="R83" s="22" t="n"/>
      <c r="S83" s="22" t="n"/>
      <c r="T83" s="7">
        <f>IF(A83="","",LEFT(A83,2))</f>
        <v/>
      </c>
      <c r="U83" s="7">
        <f>IF(A83="",0,IFERROR(MATCH(LEFT(A83,3)&amp;"*",'Tender Setup'!$A$4:$A$33,0),0))</f>
        <v/>
      </c>
      <c r="V83" s="9">
        <f t="array" ref="V83">IF(I83&lt;&gt;"Yes","",MIN(IF((T$4:T$103=T83)*(I$4:I$103="Yes"),N$4:N$103)))</f>
        <v/>
      </c>
      <c r="W83" s="9">
        <f t="array" ref="W83">IF(I83&lt;&gt;"Yes","",MEDIAN(IF((T$4:T$103=T83)*(I$4:I$103="Yes"),N$4:N$103)))</f>
        <v/>
      </c>
      <c r="X83" s="11">
        <f>IF(I83&lt;&gt;"Yes",0,V83/N83*INDEX('Tender Setup'!$C$4:$C$33,U83))</f>
        <v/>
      </c>
      <c r="Y83" s="11">
        <f>IF(I83&lt;&gt;"Yes",0,(MIN(10,MAX(0,N(O83)))*INDEX('Tender Setup'!$D$4:$D$33,U83)+MIN(10,MAX(0,N(P83)))*INDEX('Tender Setup'!$E$4:$E$33,U83)+MIN(10,MAX(0,N(Q83)))*INDEX('Tender Setup'!$F$4:$F$33,U83)+MIN(10,MAX(0,N(R83)))*INDEX('Tender Setup'!$G$4:$G$33,U83)+MIN(10,MAX(0,N(S83)))*INDEX('Tender Setup'!$H$4:$H$33,U83))/10)</f>
        <v/>
      </c>
      <c r="Z83" s="11">
        <f>IF(B83="","",IF(I83&lt;&gt;"Yes",0,IF(N(INDEX('Tender Setup'!$I$4:$I$33,U83))=0,0,(X83+Y83)*100/INDEX('Tender Setup'!$I$4:$I$33,U83))))</f>
        <v/>
      </c>
      <c r="AA83" s="7">
        <f>IF(B83="","",IF(I83&lt;&gt;"Yes","Excluded",COUNTIFS(T$4:T$103,T83,I$4:I$103,"Yes",Z$4:Z$103,"&gt;"&amp;Z83)+1))</f>
        <v/>
      </c>
      <c r="AB83" s="7">
        <f>IF(I83&lt;&gt;"Yes","",IF(AND(COUNTIFS(T$4:T$103,T83,I$4:I$103,"Yes")&gt;=2,N83&lt;W83*(1-Settings!$B$12)),"Well under median: check scope",""))</f>
        <v/>
      </c>
      <c r="AC83" s="36">
        <f>IF(B83="","",TRIM(IF(COUNTIF(D83:H83,"Yes")&lt;5,"Compliance gates not all Yes. ","")&amp;IF(SUMPRODUCT(--ISTEXT(J83:M83))&gt;0,"A price cell holds text, not a number. ","")&amp;IF(N(J83)&lt;=0,"No quoted price. ",IF(N(N83)&lt;=0,"Levelled price is $0 or less. ",""))&amp;IF(U83=0,"Package isn't on the Packages tab. ","")&amp;IF(SUMPRODUCT(ISTEXT(O83:S83)+(O83:S83&lt;0)+(O83:S83&gt;10))&gt;0,"Scores must be 0 to 10 (capped). ","")&amp;IF(AND(AA83=1,COUNTIFS(T$4:T$103,T83,AA$4:AA$103,1)&gt;1),"Tied for 1st: ask both for clarifications. ","")))</f>
        <v/>
      </c>
      <c r="AD83" s="7">
        <f>T83&amp;"|"&amp;AA83</f>
        <v/>
      </c>
      <c r="AE83" s="22" t="n"/>
      <c r="AF83" s="23" t="n"/>
    </row>
    <row r="84">
      <c r="A84" s="22" t="n"/>
      <c r="B84" s="22" t="n"/>
      <c r="C84" s="24" t="n"/>
      <c r="D84" s="22" t="n"/>
      <c r="E84" s="22" t="n"/>
      <c r="F84" s="22" t="n"/>
      <c r="G84" s="22" t="n"/>
      <c r="H84" s="22" t="n"/>
      <c r="I84" s="7">
        <f>IF(B84="","",IF(AND(COUNTIF(D84:H84,"Yes")=5,SUMPRODUCT(--ISTEXT(J84:M84))=0,N(J84)&gt;0,N(N84)&gt;0,U84&gt;0),"Yes","No"))</f>
        <v/>
      </c>
      <c r="J84" s="33" t="n"/>
      <c r="K84" s="33" t="n"/>
      <c r="L84" s="33" t="n"/>
      <c r="M84" s="33" t="n"/>
      <c r="N84" s="9">
        <f>IF(B84="","",N(J84)+N(K84)+N(L84)+N(M84))</f>
        <v/>
      </c>
      <c r="O84" s="22" t="n"/>
      <c r="P84" s="22" t="n"/>
      <c r="Q84" s="22" t="n"/>
      <c r="R84" s="22" t="n"/>
      <c r="S84" s="22" t="n"/>
      <c r="T84" s="7">
        <f>IF(A84="","",LEFT(A84,2))</f>
        <v/>
      </c>
      <c r="U84" s="7">
        <f>IF(A84="",0,IFERROR(MATCH(LEFT(A84,3)&amp;"*",'Tender Setup'!$A$4:$A$33,0),0))</f>
        <v/>
      </c>
      <c r="V84" s="9">
        <f t="array" ref="V84">IF(I84&lt;&gt;"Yes","",MIN(IF((T$4:T$103=T84)*(I$4:I$103="Yes"),N$4:N$103)))</f>
        <v/>
      </c>
      <c r="W84" s="9">
        <f t="array" ref="W84">IF(I84&lt;&gt;"Yes","",MEDIAN(IF((T$4:T$103=T84)*(I$4:I$103="Yes"),N$4:N$103)))</f>
        <v/>
      </c>
      <c r="X84" s="11">
        <f>IF(I84&lt;&gt;"Yes",0,V84/N84*INDEX('Tender Setup'!$C$4:$C$33,U84))</f>
        <v/>
      </c>
      <c r="Y84" s="11">
        <f>IF(I84&lt;&gt;"Yes",0,(MIN(10,MAX(0,N(O84)))*INDEX('Tender Setup'!$D$4:$D$33,U84)+MIN(10,MAX(0,N(P84)))*INDEX('Tender Setup'!$E$4:$E$33,U84)+MIN(10,MAX(0,N(Q84)))*INDEX('Tender Setup'!$F$4:$F$33,U84)+MIN(10,MAX(0,N(R84)))*INDEX('Tender Setup'!$G$4:$G$33,U84)+MIN(10,MAX(0,N(S84)))*INDEX('Tender Setup'!$H$4:$H$33,U84))/10)</f>
        <v/>
      </c>
      <c r="Z84" s="11">
        <f>IF(B84="","",IF(I84&lt;&gt;"Yes",0,IF(N(INDEX('Tender Setup'!$I$4:$I$33,U84))=0,0,(X84+Y84)*100/INDEX('Tender Setup'!$I$4:$I$33,U84))))</f>
        <v/>
      </c>
      <c r="AA84" s="7">
        <f>IF(B84="","",IF(I84&lt;&gt;"Yes","Excluded",COUNTIFS(T$4:T$103,T84,I$4:I$103,"Yes",Z$4:Z$103,"&gt;"&amp;Z84)+1))</f>
        <v/>
      </c>
      <c r="AB84" s="7">
        <f>IF(I84&lt;&gt;"Yes","",IF(AND(COUNTIFS(T$4:T$103,T84,I$4:I$103,"Yes")&gt;=2,N84&lt;W84*(1-Settings!$B$12)),"Well under median: check scope",""))</f>
        <v/>
      </c>
      <c r="AC84" s="36">
        <f>IF(B84="","",TRIM(IF(COUNTIF(D84:H84,"Yes")&lt;5,"Compliance gates not all Yes. ","")&amp;IF(SUMPRODUCT(--ISTEXT(J84:M84))&gt;0,"A price cell holds text, not a number. ","")&amp;IF(N(J84)&lt;=0,"No quoted price. ",IF(N(N84)&lt;=0,"Levelled price is $0 or less. ",""))&amp;IF(U84=0,"Package isn't on the Packages tab. ","")&amp;IF(SUMPRODUCT(ISTEXT(O84:S84)+(O84:S84&lt;0)+(O84:S84&gt;10))&gt;0,"Scores must be 0 to 10 (capped). ","")&amp;IF(AND(AA84=1,COUNTIFS(T$4:T$103,T84,AA$4:AA$103,1)&gt;1),"Tied for 1st: ask both for clarifications. ","")))</f>
        <v/>
      </c>
      <c r="AD84" s="7">
        <f>T84&amp;"|"&amp;AA84</f>
        <v/>
      </c>
      <c r="AE84" s="22" t="n"/>
      <c r="AF84" s="23" t="n"/>
    </row>
    <row r="85">
      <c r="A85" s="22" t="n"/>
      <c r="B85" s="22" t="n"/>
      <c r="C85" s="24" t="n"/>
      <c r="D85" s="22" t="n"/>
      <c r="E85" s="22" t="n"/>
      <c r="F85" s="22" t="n"/>
      <c r="G85" s="22" t="n"/>
      <c r="H85" s="22" t="n"/>
      <c r="I85" s="7">
        <f>IF(B85="","",IF(AND(COUNTIF(D85:H85,"Yes")=5,SUMPRODUCT(--ISTEXT(J85:M85))=0,N(J85)&gt;0,N(N85)&gt;0,U85&gt;0),"Yes","No"))</f>
        <v/>
      </c>
      <c r="J85" s="33" t="n"/>
      <c r="K85" s="33" t="n"/>
      <c r="L85" s="33" t="n"/>
      <c r="M85" s="33" t="n"/>
      <c r="N85" s="9">
        <f>IF(B85="","",N(J85)+N(K85)+N(L85)+N(M85))</f>
        <v/>
      </c>
      <c r="O85" s="22" t="n"/>
      <c r="P85" s="22" t="n"/>
      <c r="Q85" s="22" t="n"/>
      <c r="R85" s="22" t="n"/>
      <c r="S85" s="22" t="n"/>
      <c r="T85" s="7">
        <f>IF(A85="","",LEFT(A85,2))</f>
        <v/>
      </c>
      <c r="U85" s="7">
        <f>IF(A85="",0,IFERROR(MATCH(LEFT(A85,3)&amp;"*",'Tender Setup'!$A$4:$A$33,0),0))</f>
        <v/>
      </c>
      <c r="V85" s="9">
        <f t="array" ref="V85">IF(I85&lt;&gt;"Yes","",MIN(IF((T$4:T$103=T85)*(I$4:I$103="Yes"),N$4:N$103)))</f>
        <v/>
      </c>
      <c r="W85" s="9">
        <f t="array" ref="W85">IF(I85&lt;&gt;"Yes","",MEDIAN(IF((T$4:T$103=T85)*(I$4:I$103="Yes"),N$4:N$103)))</f>
        <v/>
      </c>
      <c r="X85" s="11">
        <f>IF(I85&lt;&gt;"Yes",0,V85/N85*INDEX('Tender Setup'!$C$4:$C$33,U85))</f>
        <v/>
      </c>
      <c r="Y85" s="11">
        <f>IF(I85&lt;&gt;"Yes",0,(MIN(10,MAX(0,N(O85)))*INDEX('Tender Setup'!$D$4:$D$33,U85)+MIN(10,MAX(0,N(P85)))*INDEX('Tender Setup'!$E$4:$E$33,U85)+MIN(10,MAX(0,N(Q85)))*INDEX('Tender Setup'!$F$4:$F$33,U85)+MIN(10,MAX(0,N(R85)))*INDEX('Tender Setup'!$G$4:$G$33,U85)+MIN(10,MAX(0,N(S85)))*INDEX('Tender Setup'!$H$4:$H$33,U85))/10)</f>
        <v/>
      </c>
      <c r="Z85" s="11">
        <f>IF(B85="","",IF(I85&lt;&gt;"Yes",0,IF(N(INDEX('Tender Setup'!$I$4:$I$33,U85))=0,0,(X85+Y85)*100/INDEX('Tender Setup'!$I$4:$I$33,U85))))</f>
        <v/>
      </c>
      <c r="AA85" s="7">
        <f>IF(B85="","",IF(I85&lt;&gt;"Yes","Excluded",COUNTIFS(T$4:T$103,T85,I$4:I$103,"Yes",Z$4:Z$103,"&gt;"&amp;Z85)+1))</f>
        <v/>
      </c>
      <c r="AB85" s="7">
        <f>IF(I85&lt;&gt;"Yes","",IF(AND(COUNTIFS(T$4:T$103,T85,I$4:I$103,"Yes")&gt;=2,N85&lt;W85*(1-Settings!$B$12)),"Well under median: check scope",""))</f>
        <v/>
      </c>
      <c r="AC85" s="36">
        <f>IF(B85="","",TRIM(IF(COUNTIF(D85:H85,"Yes")&lt;5,"Compliance gates not all Yes. ","")&amp;IF(SUMPRODUCT(--ISTEXT(J85:M85))&gt;0,"A price cell holds text, not a number. ","")&amp;IF(N(J85)&lt;=0,"No quoted price. ",IF(N(N85)&lt;=0,"Levelled price is $0 or less. ",""))&amp;IF(U85=0,"Package isn't on the Packages tab. ","")&amp;IF(SUMPRODUCT(ISTEXT(O85:S85)+(O85:S85&lt;0)+(O85:S85&gt;10))&gt;0,"Scores must be 0 to 10 (capped). ","")&amp;IF(AND(AA85=1,COUNTIFS(T$4:T$103,T85,AA$4:AA$103,1)&gt;1),"Tied for 1st: ask both for clarifications. ","")))</f>
        <v/>
      </c>
      <c r="AD85" s="7">
        <f>T85&amp;"|"&amp;AA85</f>
        <v/>
      </c>
      <c r="AE85" s="22" t="n"/>
      <c r="AF85" s="23" t="n"/>
    </row>
    <row r="86">
      <c r="A86" s="22" t="n"/>
      <c r="B86" s="22" t="n"/>
      <c r="C86" s="24" t="n"/>
      <c r="D86" s="22" t="n"/>
      <c r="E86" s="22" t="n"/>
      <c r="F86" s="22" t="n"/>
      <c r="G86" s="22" t="n"/>
      <c r="H86" s="22" t="n"/>
      <c r="I86" s="7">
        <f>IF(B86="","",IF(AND(COUNTIF(D86:H86,"Yes")=5,SUMPRODUCT(--ISTEXT(J86:M86))=0,N(J86)&gt;0,N(N86)&gt;0,U86&gt;0),"Yes","No"))</f>
        <v/>
      </c>
      <c r="J86" s="33" t="n"/>
      <c r="K86" s="33" t="n"/>
      <c r="L86" s="33" t="n"/>
      <c r="M86" s="33" t="n"/>
      <c r="N86" s="9">
        <f>IF(B86="","",N(J86)+N(K86)+N(L86)+N(M86))</f>
        <v/>
      </c>
      <c r="O86" s="22" t="n"/>
      <c r="P86" s="22" t="n"/>
      <c r="Q86" s="22" t="n"/>
      <c r="R86" s="22" t="n"/>
      <c r="S86" s="22" t="n"/>
      <c r="T86" s="7">
        <f>IF(A86="","",LEFT(A86,2))</f>
        <v/>
      </c>
      <c r="U86" s="7">
        <f>IF(A86="",0,IFERROR(MATCH(LEFT(A86,3)&amp;"*",'Tender Setup'!$A$4:$A$33,0),0))</f>
        <v/>
      </c>
      <c r="V86" s="9">
        <f t="array" ref="V86">IF(I86&lt;&gt;"Yes","",MIN(IF((T$4:T$103=T86)*(I$4:I$103="Yes"),N$4:N$103)))</f>
        <v/>
      </c>
      <c r="W86" s="9">
        <f t="array" ref="W86">IF(I86&lt;&gt;"Yes","",MEDIAN(IF((T$4:T$103=T86)*(I$4:I$103="Yes"),N$4:N$103)))</f>
        <v/>
      </c>
      <c r="X86" s="11">
        <f>IF(I86&lt;&gt;"Yes",0,V86/N86*INDEX('Tender Setup'!$C$4:$C$33,U86))</f>
        <v/>
      </c>
      <c r="Y86" s="11">
        <f>IF(I86&lt;&gt;"Yes",0,(MIN(10,MAX(0,N(O86)))*INDEX('Tender Setup'!$D$4:$D$33,U86)+MIN(10,MAX(0,N(P86)))*INDEX('Tender Setup'!$E$4:$E$33,U86)+MIN(10,MAX(0,N(Q86)))*INDEX('Tender Setup'!$F$4:$F$33,U86)+MIN(10,MAX(0,N(R86)))*INDEX('Tender Setup'!$G$4:$G$33,U86)+MIN(10,MAX(0,N(S86)))*INDEX('Tender Setup'!$H$4:$H$33,U86))/10)</f>
        <v/>
      </c>
      <c r="Z86" s="11">
        <f>IF(B86="","",IF(I86&lt;&gt;"Yes",0,IF(N(INDEX('Tender Setup'!$I$4:$I$33,U86))=0,0,(X86+Y86)*100/INDEX('Tender Setup'!$I$4:$I$33,U86))))</f>
        <v/>
      </c>
      <c r="AA86" s="7">
        <f>IF(B86="","",IF(I86&lt;&gt;"Yes","Excluded",COUNTIFS(T$4:T$103,T86,I$4:I$103,"Yes",Z$4:Z$103,"&gt;"&amp;Z86)+1))</f>
        <v/>
      </c>
      <c r="AB86" s="7">
        <f>IF(I86&lt;&gt;"Yes","",IF(AND(COUNTIFS(T$4:T$103,T86,I$4:I$103,"Yes")&gt;=2,N86&lt;W86*(1-Settings!$B$12)),"Well under median: check scope",""))</f>
        <v/>
      </c>
      <c r="AC86" s="36">
        <f>IF(B86="","",TRIM(IF(COUNTIF(D86:H86,"Yes")&lt;5,"Compliance gates not all Yes. ","")&amp;IF(SUMPRODUCT(--ISTEXT(J86:M86))&gt;0,"A price cell holds text, not a number. ","")&amp;IF(N(J86)&lt;=0,"No quoted price. ",IF(N(N86)&lt;=0,"Levelled price is $0 or less. ",""))&amp;IF(U86=0,"Package isn't on the Packages tab. ","")&amp;IF(SUMPRODUCT(ISTEXT(O86:S86)+(O86:S86&lt;0)+(O86:S86&gt;10))&gt;0,"Scores must be 0 to 10 (capped). ","")&amp;IF(AND(AA86=1,COUNTIFS(T$4:T$103,T86,AA$4:AA$103,1)&gt;1),"Tied for 1st: ask both for clarifications. ","")))</f>
        <v/>
      </c>
      <c r="AD86" s="7">
        <f>T86&amp;"|"&amp;AA86</f>
        <v/>
      </c>
      <c r="AE86" s="22" t="n"/>
      <c r="AF86" s="23" t="n"/>
    </row>
    <row r="87">
      <c r="A87" s="22" t="n"/>
      <c r="B87" s="22" t="n"/>
      <c r="C87" s="24" t="n"/>
      <c r="D87" s="22" t="n"/>
      <c r="E87" s="22" t="n"/>
      <c r="F87" s="22" t="n"/>
      <c r="G87" s="22" t="n"/>
      <c r="H87" s="22" t="n"/>
      <c r="I87" s="7">
        <f>IF(B87="","",IF(AND(COUNTIF(D87:H87,"Yes")=5,SUMPRODUCT(--ISTEXT(J87:M87))=0,N(J87)&gt;0,N(N87)&gt;0,U87&gt;0),"Yes","No"))</f>
        <v/>
      </c>
      <c r="J87" s="33" t="n"/>
      <c r="K87" s="33" t="n"/>
      <c r="L87" s="33" t="n"/>
      <c r="M87" s="33" t="n"/>
      <c r="N87" s="9">
        <f>IF(B87="","",N(J87)+N(K87)+N(L87)+N(M87))</f>
        <v/>
      </c>
      <c r="O87" s="22" t="n"/>
      <c r="P87" s="22" t="n"/>
      <c r="Q87" s="22" t="n"/>
      <c r="R87" s="22" t="n"/>
      <c r="S87" s="22" t="n"/>
      <c r="T87" s="7">
        <f>IF(A87="","",LEFT(A87,2))</f>
        <v/>
      </c>
      <c r="U87" s="7">
        <f>IF(A87="",0,IFERROR(MATCH(LEFT(A87,3)&amp;"*",'Tender Setup'!$A$4:$A$33,0),0))</f>
        <v/>
      </c>
      <c r="V87" s="9">
        <f t="array" ref="V87">IF(I87&lt;&gt;"Yes","",MIN(IF((T$4:T$103=T87)*(I$4:I$103="Yes"),N$4:N$103)))</f>
        <v/>
      </c>
      <c r="W87" s="9">
        <f t="array" ref="W87">IF(I87&lt;&gt;"Yes","",MEDIAN(IF((T$4:T$103=T87)*(I$4:I$103="Yes"),N$4:N$103)))</f>
        <v/>
      </c>
      <c r="X87" s="11">
        <f>IF(I87&lt;&gt;"Yes",0,V87/N87*INDEX('Tender Setup'!$C$4:$C$33,U87))</f>
        <v/>
      </c>
      <c r="Y87" s="11">
        <f>IF(I87&lt;&gt;"Yes",0,(MIN(10,MAX(0,N(O87)))*INDEX('Tender Setup'!$D$4:$D$33,U87)+MIN(10,MAX(0,N(P87)))*INDEX('Tender Setup'!$E$4:$E$33,U87)+MIN(10,MAX(0,N(Q87)))*INDEX('Tender Setup'!$F$4:$F$33,U87)+MIN(10,MAX(0,N(R87)))*INDEX('Tender Setup'!$G$4:$G$33,U87)+MIN(10,MAX(0,N(S87)))*INDEX('Tender Setup'!$H$4:$H$33,U87))/10)</f>
        <v/>
      </c>
      <c r="Z87" s="11">
        <f>IF(B87="","",IF(I87&lt;&gt;"Yes",0,IF(N(INDEX('Tender Setup'!$I$4:$I$33,U87))=0,0,(X87+Y87)*100/INDEX('Tender Setup'!$I$4:$I$33,U87))))</f>
        <v/>
      </c>
      <c r="AA87" s="7">
        <f>IF(B87="","",IF(I87&lt;&gt;"Yes","Excluded",COUNTIFS(T$4:T$103,T87,I$4:I$103,"Yes",Z$4:Z$103,"&gt;"&amp;Z87)+1))</f>
        <v/>
      </c>
      <c r="AB87" s="7">
        <f>IF(I87&lt;&gt;"Yes","",IF(AND(COUNTIFS(T$4:T$103,T87,I$4:I$103,"Yes")&gt;=2,N87&lt;W87*(1-Settings!$B$12)),"Well under median: check scope",""))</f>
        <v/>
      </c>
      <c r="AC87" s="36">
        <f>IF(B87="","",TRIM(IF(COUNTIF(D87:H87,"Yes")&lt;5,"Compliance gates not all Yes. ","")&amp;IF(SUMPRODUCT(--ISTEXT(J87:M87))&gt;0,"A price cell holds text, not a number. ","")&amp;IF(N(J87)&lt;=0,"No quoted price. ",IF(N(N87)&lt;=0,"Levelled price is $0 or less. ",""))&amp;IF(U87=0,"Package isn't on the Packages tab. ","")&amp;IF(SUMPRODUCT(ISTEXT(O87:S87)+(O87:S87&lt;0)+(O87:S87&gt;10))&gt;0,"Scores must be 0 to 10 (capped). ","")&amp;IF(AND(AA87=1,COUNTIFS(T$4:T$103,T87,AA$4:AA$103,1)&gt;1),"Tied for 1st: ask both for clarifications. ","")))</f>
        <v/>
      </c>
      <c r="AD87" s="7">
        <f>T87&amp;"|"&amp;AA87</f>
        <v/>
      </c>
      <c r="AE87" s="22" t="n"/>
      <c r="AF87" s="23" t="n"/>
    </row>
    <row r="88">
      <c r="A88" s="22" t="n"/>
      <c r="B88" s="22" t="n"/>
      <c r="C88" s="24" t="n"/>
      <c r="D88" s="22" t="n"/>
      <c r="E88" s="22" t="n"/>
      <c r="F88" s="22" t="n"/>
      <c r="G88" s="22" t="n"/>
      <c r="H88" s="22" t="n"/>
      <c r="I88" s="7">
        <f>IF(B88="","",IF(AND(COUNTIF(D88:H88,"Yes")=5,SUMPRODUCT(--ISTEXT(J88:M88))=0,N(J88)&gt;0,N(N88)&gt;0,U88&gt;0),"Yes","No"))</f>
        <v/>
      </c>
      <c r="J88" s="33" t="n"/>
      <c r="K88" s="33" t="n"/>
      <c r="L88" s="33" t="n"/>
      <c r="M88" s="33" t="n"/>
      <c r="N88" s="9">
        <f>IF(B88="","",N(J88)+N(K88)+N(L88)+N(M88))</f>
        <v/>
      </c>
      <c r="O88" s="22" t="n"/>
      <c r="P88" s="22" t="n"/>
      <c r="Q88" s="22" t="n"/>
      <c r="R88" s="22" t="n"/>
      <c r="S88" s="22" t="n"/>
      <c r="T88" s="7">
        <f>IF(A88="","",LEFT(A88,2))</f>
        <v/>
      </c>
      <c r="U88" s="7">
        <f>IF(A88="",0,IFERROR(MATCH(LEFT(A88,3)&amp;"*",'Tender Setup'!$A$4:$A$33,0),0))</f>
        <v/>
      </c>
      <c r="V88" s="9">
        <f t="array" ref="V88">IF(I88&lt;&gt;"Yes","",MIN(IF((T$4:T$103=T88)*(I$4:I$103="Yes"),N$4:N$103)))</f>
        <v/>
      </c>
      <c r="W88" s="9">
        <f t="array" ref="W88">IF(I88&lt;&gt;"Yes","",MEDIAN(IF((T$4:T$103=T88)*(I$4:I$103="Yes"),N$4:N$103)))</f>
        <v/>
      </c>
      <c r="X88" s="11">
        <f>IF(I88&lt;&gt;"Yes",0,V88/N88*INDEX('Tender Setup'!$C$4:$C$33,U88))</f>
        <v/>
      </c>
      <c r="Y88" s="11">
        <f>IF(I88&lt;&gt;"Yes",0,(MIN(10,MAX(0,N(O88)))*INDEX('Tender Setup'!$D$4:$D$33,U88)+MIN(10,MAX(0,N(P88)))*INDEX('Tender Setup'!$E$4:$E$33,U88)+MIN(10,MAX(0,N(Q88)))*INDEX('Tender Setup'!$F$4:$F$33,U88)+MIN(10,MAX(0,N(R88)))*INDEX('Tender Setup'!$G$4:$G$33,U88)+MIN(10,MAX(0,N(S88)))*INDEX('Tender Setup'!$H$4:$H$33,U88))/10)</f>
        <v/>
      </c>
      <c r="Z88" s="11">
        <f>IF(B88="","",IF(I88&lt;&gt;"Yes",0,IF(N(INDEX('Tender Setup'!$I$4:$I$33,U88))=0,0,(X88+Y88)*100/INDEX('Tender Setup'!$I$4:$I$33,U88))))</f>
        <v/>
      </c>
      <c r="AA88" s="7">
        <f>IF(B88="","",IF(I88&lt;&gt;"Yes","Excluded",COUNTIFS(T$4:T$103,T88,I$4:I$103,"Yes",Z$4:Z$103,"&gt;"&amp;Z88)+1))</f>
        <v/>
      </c>
      <c r="AB88" s="7">
        <f>IF(I88&lt;&gt;"Yes","",IF(AND(COUNTIFS(T$4:T$103,T88,I$4:I$103,"Yes")&gt;=2,N88&lt;W88*(1-Settings!$B$12)),"Well under median: check scope",""))</f>
        <v/>
      </c>
      <c r="AC88" s="36">
        <f>IF(B88="","",TRIM(IF(COUNTIF(D88:H88,"Yes")&lt;5,"Compliance gates not all Yes. ","")&amp;IF(SUMPRODUCT(--ISTEXT(J88:M88))&gt;0,"A price cell holds text, not a number. ","")&amp;IF(N(J88)&lt;=0,"No quoted price. ",IF(N(N88)&lt;=0,"Levelled price is $0 or less. ",""))&amp;IF(U88=0,"Package isn't on the Packages tab. ","")&amp;IF(SUMPRODUCT(ISTEXT(O88:S88)+(O88:S88&lt;0)+(O88:S88&gt;10))&gt;0,"Scores must be 0 to 10 (capped). ","")&amp;IF(AND(AA88=1,COUNTIFS(T$4:T$103,T88,AA$4:AA$103,1)&gt;1),"Tied for 1st: ask both for clarifications. ","")))</f>
        <v/>
      </c>
      <c r="AD88" s="7">
        <f>T88&amp;"|"&amp;AA88</f>
        <v/>
      </c>
      <c r="AE88" s="22" t="n"/>
      <c r="AF88" s="23" t="n"/>
    </row>
    <row r="89">
      <c r="A89" s="22" t="n"/>
      <c r="B89" s="22" t="n"/>
      <c r="C89" s="24" t="n"/>
      <c r="D89" s="22" t="n"/>
      <c r="E89" s="22" t="n"/>
      <c r="F89" s="22" t="n"/>
      <c r="G89" s="22" t="n"/>
      <c r="H89" s="22" t="n"/>
      <c r="I89" s="7">
        <f>IF(B89="","",IF(AND(COUNTIF(D89:H89,"Yes")=5,SUMPRODUCT(--ISTEXT(J89:M89))=0,N(J89)&gt;0,N(N89)&gt;0,U89&gt;0),"Yes","No"))</f>
        <v/>
      </c>
      <c r="J89" s="33" t="n"/>
      <c r="K89" s="33" t="n"/>
      <c r="L89" s="33" t="n"/>
      <c r="M89" s="33" t="n"/>
      <c r="N89" s="9">
        <f>IF(B89="","",N(J89)+N(K89)+N(L89)+N(M89))</f>
        <v/>
      </c>
      <c r="O89" s="22" t="n"/>
      <c r="P89" s="22" t="n"/>
      <c r="Q89" s="22" t="n"/>
      <c r="R89" s="22" t="n"/>
      <c r="S89" s="22" t="n"/>
      <c r="T89" s="7">
        <f>IF(A89="","",LEFT(A89,2))</f>
        <v/>
      </c>
      <c r="U89" s="7">
        <f>IF(A89="",0,IFERROR(MATCH(LEFT(A89,3)&amp;"*",'Tender Setup'!$A$4:$A$33,0),0))</f>
        <v/>
      </c>
      <c r="V89" s="9">
        <f t="array" ref="V89">IF(I89&lt;&gt;"Yes","",MIN(IF((T$4:T$103=T89)*(I$4:I$103="Yes"),N$4:N$103)))</f>
        <v/>
      </c>
      <c r="W89" s="9">
        <f t="array" ref="W89">IF(I89&lt;&gt;"Yes","",MEDIAN(IF((T$4:T$103=T89)*(I$4:I$103="Yes"),N$4:N$103)))</f>
        <v/>
      </c>
      <c r="X89" s="11">
        <f>IF(I89&lt;&gt;"Yes",0,V89/N89*INDEX('Tender Setup'!$C$4:$C$33,U89))</f>
        <v/>
      </c>
      <c r="Y89" s="11">
        <f>IF(I89&lt;&gt;"Yes",0,(MIN(10,MAX(0,N(O89)))*INDEX('Tender Setup'!$D$4:$D$33,U89)+MIN(10,MAX(0,N(P89)))*INDEX('Tender Setup'!$E$4:$E$33,U89)+MIN(10,MAX(0,N(Q89)))*INDEX('Tender Setup'!$F$4:$F$33,U89)+MIN(10,MAX(0,N(R89)))*INDEX('Tender Setup'!$G$4:$G$33,U89)+MIN(10,MAX(0,N(S89)))*INDEX('Tender Setup'!$H$4:$H$33,U89))/10)</f>
        <v/>
      </c>
      <c r="Z89" s="11">
        <f>IF(B89="","",IF(I89&lt;&gt;"Yes",0,IF(N(INDEX('Tender Setup'!$I$4:$I$33,U89))=0,0,(X89+Y89)*100/INDEX('Tender Setup'!$I$4:$I$33,U89))))</f>
        <v/>
      </c>
      <c r="AA89" s="7">
        <f>IF(B89="","",IF(I89&lt;&gt;"Yes","Excluded",COUNTIFS(T$4:T$103,T89,I$4:I$103,"Yes",Z$4:Z$103,"&gt;"&amp;Z89)+1))</f>
        <v/>
      </c>
      <c r="AB89" s="7">
        <f>IF(I89&lt;&gt;"Yes","",IF(AND(COUNTIFS(T$4:T$103,T89,I$4:I$103,"Yes")&gt;=2,N89&lt;W89*(1-Settings!$B$12)),"Well under median: check scope",""))</f>
        <v/>
      </c>
      <c r="AC89" s="36">
        <f>IF(B89="","",TRIM(IF(COUNTIF(D89:H89,"Yes")&lt;5,"Compliance gates not all Yes. ","")&amp;IF(SUMPRODUCT(--ISTEXT(J89:M89))&gt;0,"A price cell holds text, not a number. ","")&amp;IF(N(J89)&lt;=0,"No quoted price. ",IF(N(N89)&lt;=0,"Levelled price is $0 or less. ",""))&amp;IF(U89=0,"Package isn't on the Packages tab. ","")&amp;IF(SUMPRODUCT(ISTEXT(O89:S89)+(O89:S89&lt;0)+(O89:S89&gt;10))&gt;0,"Scores must be 0 to 10 (capped). ","")&amp;IF(AND(AA89=1,COUNTIFS(T$4:T$103,T89,AA$4:AA$103,1)&gt;1),"Tied for 1st: ask both for clarifications. ","")))</f>
        <v/>
      </c>
      <c r="AD89" s="7">
        <f>T89&amp;"|"&amp;AA89</f>
        <v/>
      </c>
      <c r="AE89" s="22" t="n"/>
      <c r="AF89" s="23" t="n"/>
    </row>
    <row r="90">
      <c r="A90" s="22" t="n"/>
      <c r="B90" s="22" t="n"/>
      <c r="C90" s="24" t="n"/>
      <c r="D90" s="22" t="n"/>
      <c r="E90" s="22" t="n"/>
      <c r="F90" s="22" t="n"/>
      <c r="G90" s="22" t="n"/>
      <c r="H90" s="22" t="n"/>
      <c r="I90" s="7">
        <f>IF(B90="","",IF(AND(COUNTIF(D90:H90,"Yes")=5,SUMPRODUCT(--ISTEXT(J90:M90))=0,N(J90)&gt;0,N(N90)&gt;0,U90&gt;0),"Yes","No"))</f>
        <v/>
      </c>
      <c r="J90" s="33" t="n"/>
      <c r="K90" s="33" t="n"/>
      <c r="L90" s="33" t="n"/>
      <c r="M90" s="33" t="n"/>
      <c r="N90" s="9">
        <f>IF(B90="","",N(J90)+N(K90)+N(L90)+N(M90))</f>
        <v/>
      </c>
      <c r="O90" s="22" t="n"/>
      <c r="P90" s="22" t="n"/>
      <c r="Q90" s="22" t="n"/>
      <c r="R90" s="22" t="n"/>
      <c r="S90" s="22" t="n"/>
      <c r="T90" s="7">
        <f>IF(A90="","",LEFT(A90,2))</f>
        <v/>
      </c>
      <c r="U90" s="7">
        <f>IF(A90="",0,IFERROR(MATCH(LEFT(A90,3)&amp;"*",'Tender Setup'!$A$4:$A$33,0),0))</f>
        <v/>
      </c>
      <c r="V90" s="9">
        <f t="array" ref="V90">IF(I90&lt;&gt;"Yes","",MIN(IF((T$4:T$103=T90)*(I$4:I$103="Yes"),N$4:N$103)))</f>
        <v/>
      </c>
      <c r="W90" s="9">
        <f t="array" ref="W90">IF(I90&lt;&gt;"Yes","",MEDIAN(IF((T$4:T$103=T90)*(I$4:I$103="Yes"),N$4:N$103)))</f>
        <v/>
      </c>
      <c r="X90" s="11">
        <f>IF(I90&lt;&gt;"Yes",0,V90/N90*INDEX('Tender Setup'!$C$4:$C$33,U90))</f>
        <v/>
      </c>
      <c r="Y90" s="11">
        <f>IF(I90&lt;&gt;"Yes",0,(MIN(10,MAX(0,N(O90)))*INDEX('Tender Setup'!$D$4:$D$33,U90)+MIN(10,MAX(0,N(P90)))*INDEX('Tender Setup'!$E$4:$E$33,U90)+MIN(10,MAX(0,N(Q90)))*INDEX('Tender Setup'!$F$4:$F$33,U90)+MIN(10,MAX(0,N(R90)))*INDEX('Tender Setup'!$G$4:$G$33,U90)+MIN(10,MAX(0,N(S90)))*INDEX('Tender Setup'!$H$4:$H$33,U90))/10)</f>
        <v/>
      </c>
      <c r="Z90" s="11">
        <f>IF(B90="","",IF(I90&lt;&gt;"Yes",0,IF(N(INDEX('Tender Setup'!$I$4:$I$33,U90))=0,0,(X90+Y90)*100/INDEX('Tender Setup'!$I$4:$I$33,U90))))</f>
        <v/>
      </c>
      <c r="AA90" s="7">
        <f>IF(B90="","",IF(I90&lt;&gt;"Yes","Excluded",COUNTIFS(T$4:T$103,T90,I$4:I$103,"Yes",Z$4:Z$103,"&gt;"&amp;Z90)+1))</f>
        <v/>
      </c>
      <c r="AB90" s="7">
        <f>IF(I90&lt;&gt;"Yes","",IF(AND(COUNTIFS(T$4:T$103,T90,I$4:I$103,"Yes")&gt;=2,N90&lt;W90*(1-Settings!$B$12)),"Well under median: check scope",""))</f>
        <v/>
      </c>
      <c r="AC90" s="36">
        <f>IF(B90="","",TRIM(IF(COUNTIF(D90:H90,"Yes")&lt;5,"Compliance gates not all Yes. ","")&amp;IF(SUMPRODUCT(--ISTEXT(J90:M90))&gt;0,"A price cell holds text, not a number. ","")&amp;IF(N(J90)&lt;=0,"No quoted price. ",IF(N(N90)&lt;=0,"Levelled price is $0 or less. ",""))&amp;IF(U90=0,"Package isn't on the Packages tab. ","")&amp;IF(SUMPRODUCT(ISTEXT(O90:S90)+(O90:S90&lt;0)+(O90:S90&gt;10))&gt;0,"Scores must be 0 to 10 (capped). ","")&amp;IF(AND(AA90=1,COUNTIFS(T$4:T$103,T90,AA$4:AA$103,1)&gt;1),"Tied for 1st: ask both for clarifications. ","")))</f>
        <v/>
      </c>
      <c r="AD90" s="7">
        <f>T90&amp;"|"&amp;AA90</f>
        <v/>
      </c>
      <c r="AE90" s="22" t="n"/>
      <c r="AF90" s="23" t="n"/>
    </row>
    <row r="91">
      <c r="A91" s="22" t="n"/>
      <c r="B91" s="22" t="n"/>
      <c r="C91" s="24" t="n"/>
      <c r="D91" s="22" t="n"/>
      <c r="E91" s="22" t="n"/>
      <c r="F91" s="22" t="n"/>
      <c r="G91" s="22" t="n"/>
      <c r="H91" s="22" t="n"/>
      <c r="I91" s="7">
        <f>IF(B91="","",IF(AND(COUNTIF(D91:H91,"Yes")=5,SUMPRODUCT(--ISTEXT(J91:M91))=0,N(J91)&gt;0,N(N91)&gt;0,U91&gt;0),"Yes","No"))</f>
        <v/>
      </c>
      <c r="J91" s="33" t="n"/>
      <c r="K91" s="33" t="n"/>
      <c r="L91" s="33" t="n"/>
      <c r="M91" s="33" t="n"/>
      <c r="N91" s="9">
        <f>IF(B91="","",N(J91)+N(K91)+N(L91)+N(M91))</f>
        <v/>
      </c>
      <c r="O91" s="22" t="n"/>
      <c r="P91" s="22" t="n"/>
      <c r="Q91" s="22" t="n"/>
      <c r="R91" s="22" t="n"/>
      <c r="S91" s="22" t="n"/>
      <c r="T91" s="7">
        <f>IF(A91="","",LEFT(A91,2))</f>
        <v/>
      </c>
      <c r="U91" s="7">
        <f>IF(A91="",0,IFERROR(MATCH(LEFT(A91,3)&amp;"*",'Tender Setup'!$A$4:$A$33,0),0))</f>
        <v/>
      </c>
      <c r="V91" s="9">
        <f t="array" ref="V91">IF(I91&lt;&gt;"Yes","",MIN(IF((T$4:T$103=T91)*(I$4:I$103="Yes"),N$4:N$103)))</f>
        <v/>
      </c>
      <c r="W91" s="9">
        <f t="array" ref="W91">IF(I91&lt;&gt;"Yes","",MEDIAN(IF((T$4:T$103=T91)*(I$4:I$103="Yes"),N$4:N$103)))</f>
        <v/>
      </c>
      <c r="X91" s="11">
        <f>IF(I91&lt;&gt;"Yes",0,V91/N91*INDEX('Tender Setup'!$C$4:$C$33,U91))</f>
        <v/>
      </c>
      <c r="Y91" s="11">
        <f>IF(I91&lt;&gt;"Yes",0,(MIN(10,MAX(0,N(O91)))*INDEX('Tender Setup'!$D$4:$D$33,U91)+MIN(10,MAX(0,N(P91)))*INDEX('Tender Setup'!$E$4:$E$33,U91)+MIN(10,MAX(0,N(Q91)))*INDEX('Tender Setup'!$F$4:$F$33,U91)+MIN(10,MAX(0,N(R91)))*INDEX('Tender Setup'!$G$4:$G$33,U91)+MIN(10,MAX(0,N(S91)))*INDEX('Tender Setup'!$H$4:$H$33,U91))/10)</f>
        <v/>
      </c>
      <c r="Z91" s="11">
        <f>IF(B91="","",IF(I91&lt;&gt;"Yes",0,IF(N(INDEX('Tender Setup'!$I$4:$I$33,U91))=0,0,(X91+Y91)*100/INDEX('Tender Setup'!$I$4:$I$33,U91))))</f>
        <v/>
      </c>
      <c r="AA91" s="7">
        <f>IF(B91="","",IF(I91&lt;&gt;"Yes","Excluded",COUNTIFS(T$4:T$103,T91,I$4:I$103,"Yes",Z$4:Z$103,"&gt;"&amp;Z91)+1))</f>
        <v/>
      </c>
      <c r="AB91" s="7">
        <f>IF(I91&lt;&gt;"Yes","",IF(AND(COUNTIFS(T$4:T$103,T91,I$4:I$103,"Yes")&gt;=2,N91&lt;W91*(1-Settings!$B$12)),"Well under median: check scope",""))</f>
        <v/>
      </c>
      <c r="AC91" s="36">
        <f>IF(B91="","",TRIM(IF(COUNTIF(D91:H91,"Yes")&lt;5,"Compliance gates not all Yes. ","")&amp;IF(SUMPRODUCT(--ISTEXT(J91:M91))&gt;0,"A price cell holds text, not a number. ","")&amp;IF(N(J91)&lt;=0,"No quoted price. ",IF(N(N91)&lt;=0,"Levelled price is $0 or less. ",""))&amp;IF(U91=0,"Package isn't on the Packages tab. ","")&amp;IF(SUMPRODUCT(ISTEXT(O91:S91)+(O91:S91&lt;0)+(O91:S91&gt;10))&gt;0,"Scores must be 0 to 10 (capped). ","")&amp;IF(AND(AA91=1,COUNTIFS(T$4:T$103,T91,AA$4:AA$103,1)&gt;1),"Tied for 1st: ask both for clarifications. ","")))</f>
        <v/>
      </c>
      <c r="AD91" s="7">
        <f>T91&amp;"|"&amp;AA91</f>
        <v/>
      </c>
      <c r="AE91" s="22" t="n"/>
      <c r="AF91" s="23" t="n"/>
    </row>
    <row r="92">
      <c r="A92" s="22" t="n"/>
      <c r="B92" s="22" t="n"/>
      <c r="C92" s="24" t="n"/>
      <c r="D92" s="22" t="n"/>
      <c r="E92" s="22" t="n"/>
      <c r="F92" s="22" t="n"/>
      <c r="G92" s="22" t="n"/>
      <c r="H92" s="22" t="n"/>
      <c r="I92" s="7">
        <f>IF(B92="","",IF(AND(COUNTIF(D92:H92,"Yes")=5,SUMPRODUCT(--ISTEXT(J92:M92))=0,N(J92)&gt;0,N(N92)&gt;0,U92&gt;0),"Yes","No"))</f>
        <v/>
      </c>
      <c r="J92" s="33" t="n"/>
      <c r="K92" s="33" t="n"/>
      <c r="L92" s="33" t="n"/>
      <c r="M92" s="33" t="n"/>
      <c r="N92" s="9">
        <f>IF(B92="","",N(J92)+N(K92)+N(L92)+N(M92))</f>
        <v/>
      </c>
      <c r="O92" s="22" t="n"/>
      <c r="P92" s="22" t="n"/>
      <c r="Q92" s="22" t="n"/>
      <c r="R92" s="22" t="n"/>
      <c r="S92" s="22" t="n"/>
      <c r="T92" s="7">
        <f>IF(A92="","",LEFT(A92,2))</f>
        <v/>
      </c>
      <c r="U92" s="7">
        <f>IF(A92="",0,IFERROR(MATCH(LEFT(A92,3)&amp;"*",'Tender Setup'!$A$4:$A$33,0),0))</f>
        <v/>
      </c>
      <c r="V92" s="9">
        <f t="array" ref="V92">IF(I92&lt;&gt;"Yes","",MIN(IF((T$4:T$103=T92)*(I$4:I$103="Yes"),N$4:N$103)))</f>
        <v/>
      </c>
      <c r="W92" s="9">
        <f t="array" ref="W92">IF(I92&lt;&gt;"Yes","",MEDIAN(IF((T$4:T$103=T92)*(I$4:I$103="Yes"),N$4:N$103)))</f>
        <v/>
      </c>
      <c r="X92" s="11">
        <f>IF(I92&lt;&gt;"Yes",0,V92/N92*INDEX('Tender Setup'!$C$4:$C$33,U92))</f>
        <v/>
      </c>
      <c r="Y92" s="11">
        <f>IF(I92&lt;&gt;"Yes",0,(MIN(10,MAX(0,N(O92)))*INDEX('Tender Setup'!$D$4:$D$33,U92)+MIN(10,MAX(0,N(P92)))*INDEX('Tender Setup'!$E$4:$E$33,U92)+MIN(10,MAX(0,N(Q92)))*INDEX('Tender Setup'!$F$4:$F$33,U92)+MIN(10,MAX(0,N(R92)))*INDEX('Tender Setup'!$G$4:$G$33,U92)+MIN(10,MAX(0,N(S92)))*INDEX('Tender Setup'!$H$4:$H$33,U92))/10)</f>
        <v/>
      </c>
      <c r="Z92" s="11">
        <f>IF(B92="","",IF(I92&lt;&gt;"Yes",0,IF(N(INDEX('Tender Setup'!$I$4:$I$33,U92))=0,0,(X92+Y92)*100/INDEX('Tender Setup'!$I$4:$I$33,U92))))</f>
        <v/>
      </c>
      <c r="AA92" s="7">
        <f>IF(B92="","",IF(I92&lt;&gt;"Yes","Excluded",COUNTIFS(T$4:T$103,T92,I$4:I$103,"Yes",Z$4:Z$103,"&gt;"&amp;Z92)+1))</f>
        <v/>
      </c>
      <c r="AB92" s="7">
        <f>IF(I92&lt;&gt;"Yes","",IF(AND(COUNTIFS(T$4:T$103,T92,I$4:I$103,"Yes")&gt;=2,N92&lt;W92*(1-Settings!$B$12)),"Well under median: check scope",""))</f>
        <v/>
      </c>
      <c r="AC92" s="36">
        <f>IF(B92="","",TRIM(IF(COUNTIF(D92:H92,"Yes")&lt;5,"Compliance gates not all Yes. ","")&amp;IF(SUMPRODUCT(--ISTEXT(J92:M92))&gt;0,"A price cell holds text, not a number. ","")&amp;IF(N(J92)&lt;=0,"No quoted price. ",IF(N(N92)&lt;=0,"Levelled price is $0 or less. ",""))&amp;IF(U92=0,"Package isn't on the Packages tab. ","")&amp;IF(SUMPRODUCT(ISTEXT(O92:S92)+(O92:S92&lt;0)+(O92:S92&gt;10))&gt;0,"Scores must be 0 to 10 (capped). ","")&amp;IF(AND(AA92=1,COUNTIFS(T$4:T$103,T92,AA$4:AA$103,1)&gt;1),"Tied for 1st: ask both for clarifications. ","")))</f>
        <v/>
      </c>
      <c r="AD92" s="7">
        <f>T92&amp;"|"&amp;AA92</f>
        <v/>
      </c>
      <c r="AE92" s="22" t="n"/>
      <c r="AF92" s="23" t="n"/>
    </row>
    <row r="93">
      <c r="A93" s="22" t="n"/>
      <c r="B93" s="22" t="n"/>
      <c r="C93" s="24" t="n"/>
      <c r="D93" s="22" t="n"/>
      <c r="E93" s="22" t="n"/>
      <c r="F93" s="22" t="n"/>
      <c r="G93" s="22" t="n"/>
      <c r="H93" s="22" t="n"/>
      <c r="I93" s="7">
        <f>IF(B93="","",IF(AND(COUNTIF(D93:H93,"Yes")=5,SUMPRODUCT(--ISTEXT(J93:M93))=0,N(J93)&gt;0,N(N93)&gt;0,U93&gt;0),"Yes","No"))</f>
        <v/>
      </c>
      <c r="J93" s="33" t="n"/>
      <c r="K93" s="33" t="n"/>
      <c r="L93" s="33" t="n"/>
      <c r="M93" s="33" t="n"/>
      <c r="N93" s="9">
        <f>IF(B93="","",N(J93)+N(K93)+N(L93)+N(M93))</f>
        <v/>
      </c>
      <c r="O93" s="22" t="n"/>
      <c r="P93" s="22" t="n"/>
      <c r="Q93" s="22" t="n"/>
      <c r="R93" s="22" t="n"/>
      <c r="S93" s="22" t="n"/>
      <c r="T93" s="7">
        <f>IF(A93="","",LEFT(A93,2))</f>
        <v/>
      </c>
      <c r="U93" s="7">
        <f>IF(A93="",0,IFERROR(MATCH(LEFT(A93,3)&amp;"*",'Tender Setup'!$A$4:$A$33,0),0))</f>
        <v/>
      </c>
      <c r="V93" s="9">
        <f t="array" ref="V93">IF(I93&lt;&gt;"Yes","",MIN(IF((T$4:T$103=T93)*(I$4:I$103="Yes"),N$4:N$103)))</f>
        <v/>
      </c>
      <c r="W93" s="9">
        <f t="array" ref="W93">IF(I93&lt;&gt;"Yes","",MEDIAN(IF((T$4:T$103=T93)*(I$4:I$103="Yes"),N$4:N$103)))</f>
        <v/>
      </c>
      <c r="X93" s="11">
        <f>IF(I93&lt;&gt;"Yes",0,V93/N93*INDEX('Tender Setup'!$C$4:$C$33,U93))</f>
        <v/>
      </c>
      <c r="Y93" s="11">
        <f>IF(I93&lt;&gt;"Yes",0,(MIN(10,MAX(0,N(O93)))*INDEX('Tender Setup'!$D$4:$D$33,U93)+MIN(10,MAX(0,N(P93)))*INDEX('Tender Setup'!$E$4:$E$33,U93)+MIN(10,MAX(0,N(Q93)))*INDEX('Tender Setup'!$F$4:$F$33,U93)+MIN(10,MAX(0,N(R93)))*INDEX('Tender Setup'!$G$4:$G$33,U93)+MIN(10,MAX(0,N(S93)))*INDEX('Tender Setup'!$H$4:$H$33,U93))/10)</f>
        <v/>
      </c>
      <c r="Z93" s="11">
        <f>IF(B93="","",IF(I93&lt;&gt;"Yes",0,IF(N(INDEX('Tender Setup'!$I$4:$I$33,U93))=0,0,(X93+Y93)*100/INDEX('Tender Setup'!$I$4:$I$33,U93))))</f>
        <v/>
      </c>
      <c r="AA93" s="7">
        <f>IF(B93="","",IF(I93&lt;&gt;"Yes","Excluded",COUNTIFS(T$4:T$103,T93,I$4:I$103,"Yes",Z$4:Z$103,"&gt;"&amp;Z93)+1))</f>
        <v/>
      </c>
      <c r="AB93" s="7">
        <f>IF(I93&lt;&gt;"Yes","",IF(AND(COUNTIFS(T$4:T$103,T93,I$4:I$103,"Yes")&gt;=2,N93&lt;W93*(1-Settings!$B$12)),"Well under median: check scope",""))</f>
        <v/>
      </c>
      <c r="AC93" s="36">
        <f>IF(B93="","",TRIM(IF(COUNTIF(D93:H93,"Yes")&lt;5,"Compliance gates not all Yes. ","")&amp;IF(SUMPRODUCT(--ISTEXT(J93:M93))&gt;0,"A price cell holds text, not a number. ","")&amp;IF(N(J93)&lt;=0,"No quoted price. ",IF(N(N93)&lt;=0,"Levelled price is $0 or less. ",""))&amp;IF(U93=0,"Package isn't on the Packages tab. ","")&amp;IF(SUMPRODUCT(ISTEXT(O93:S93)+(O93:S93&lt;0)+(O93:S93&gt;10))&gt;0,"Scores must be 0 to 10 (capped). ","")&amp;IF(AND(AA93=1,COUNTIFS(T$4:T$103,T93,AA$4:AA$103,1)&gt;1),"Tied for 1st: ask both for clarifications. ","")))</f>
        <v/>
      </c>
      <c r="AD93" s="7">
        <f>T93&amp;"|"&amp;AA93</f>
        <v/>
      </c>
      <c r="AE93" s="22" t="n"/>
      <c r="AF93" s="23" t="n"/>
    </row>
    <row r="94">
      <c r="A94" s="22" t="n"/>
      <c r="B94" s="22" t="n"/>
      <c r="C94" s="24" t="n"/>
      <c r="D94" s="22" t="n"/>
      <c r="E94" s="22" t="n"/>
      <c r="F94" s="22" t="n"/>
      <c r="G94" s="22" t="n"/>
      <c r="H94" s="22" t="n"/>
      <c r="I94" s="7">
        <f>IF(B94="","",IF(AND(COUNTIF(D94:H94,"Yes")=5,SUMPRODUCT(--ISTEXT(J94:M94))=0,N(J94)&gt;0,N(N94)&gt;0,U94&gt;0),"Yes","No"))</f>
        <v/>
      </c>
      <c r="J94" s="33" t="n"/>
      <c r="K94" s="33" t="n"/>
      <c r="L94" s="33" t="n"/>
      <c r="M94" s="33" t="n"/>
      <c r="N94" s="9">
        <f>IF(B94="","",N(J94)+N(K94)+N(L94)+N(M94))</f>
        <v/>
      </c>
      <c r="O94" s="22" t="n"/>
      <c r="P94" s="22" t="n"/>
      <c r="Q94" s="22" t="n"/>
      <c r="R94" s="22" t="n"/>
      <c r="S94" s="22" t="n"/>
      <c r="T94" s="7">
        <f>IF(A94="","",LEFT(A94,2))</f>
        <v/>
      </c>
      <c r="U94" s="7">
        <f>IF(A94="",0,IFERROR(MATCH(LEFT(A94,3)&amp;"*",'Tender Setup'!$A$4:$A$33,0),0))</f>
        <v/>
      </c>
      <c r="V94" s="9">
        <f t="array" ref="V94">IF(I94&lt;&gt;"Yes","",MIN(IF((T$4:T$103=T94)*(I$4:I$103="Yes"),N$4:N$103)))</f>
        <v/>
      </c>
      <c r="W94" s="9">
        <f t="array" ref="W94">IF(I94&lt;&gt;"Yes","",MEDIAN(IF((T$4:T$103=T94)*(I$4:I$103="Yes"),N$4:N$103)))</f>
        <v/>
      </c>
      <c r="X94" s="11">
        <f>IF(I94&lt;&gt;"Yes",0,V94/N94*INDEX('Tender Setup'!$C$4:$C$33,U94))</f>
        <v/>
      </c>
      <c r="Y94" s="11">
        <f>IF(I94&lt;&gt;"Yes",0,(MIN(10,MAX(0,N(O94)))*INDEX('Tender Setup'!$D$4:$D$33,U94)+MIN(10,MAX(0,N(P94)))*INDEX('Tender Setup'!$E$4:$E$33,U94)+MIN(10,MAX(0,N(Q94)))*INDEX('Tender Setup'!$F$4:$F$33,U94)+MIN(10,MAX(0,N(R94)))*INDEX('Tender Setup'!$G$4:$G$33,U94)+MIN(10,MAX(0,N(S94)))*INDEX('Tender Setup'!$H$4:$H$33,U94))/10)</f>
        <v/>
      </c>
      <c r="Z94" s="11">
        <f>IF(B94="","",IF(I94&lt;&gt;"Yes",0,IF(N(INDEX('Tender Setup'!$I$4:$I$33,U94))=0,0,(X94+Y94)*100/INDEX('Tender Setup'!$I$4:$I$33,U94))))</f>
        <v/>
      </c>
      <c r="AA94" s="7">
        <f>IF(B94="","",IF(I94&lt;&gt;"Yes","Excluded",COUNTIFS(T$4:T$103,T94,I$4:I$103,"Yes",Z$4:Z$103,"&gt;"&amp;Z94)+1))</f>
        <v/>
      </c>
      <c r="AB94" s="7">
        <f>IF(I94&lt;&gt;"Yes","",IF(AND(COUNTIFS(T$4:T$103,T94,I$4:I$103,"Yes")&gt;=2,N94&lt;W94*(1-Settings!$B$12)),"Well under median: check scope",""))</f>
        <v/>
      </c>
      <c r="AC94" s="36">
        <f>IF(B94="","",TRIM(IF(COUNTIF(D94:H94,"Yes")&lt;5,"Compliance gates not all Yes. ","")&amp;IF(SUMPRODUCT(--ISTEXT(J94:M94))&gt;0,"A price cell holds text, not a number. ","")&amp;IF(N(J94)&lt;=0,"No quoted price. ",IF(N(N94)&lt;=0,"Levelled price is $0 or less. ",""))&amp;IF(U94=0,"Package isn't on the Packages tab. ","")&amp;IF(SUMPRODUCT(ISTEXT(O94:S94)+(O94:S94&lt;0)+(O94:S94&gt;10))&gt;0,"Scores must be 0 to 10 (capped). ","")&amp;IF(AND(AA94=1,COUNTIFS(T$4:T$103,T94,AA$4:AA$103,1)&gt;1),"Tied for 1st: ask both for clarifications. ","")))</f>
        <v/>
      </c>
      <c r="AD94" s="7">
        <f>T94&amp;"|"&amp;AA94</f>
        <v/>
      </c>
      <c r="AE94" s="22" t="n"/>
      <c r="AF94" s="23" t="n"/>
    </row>
    <row r="95">
      <c r="A95" s="22" t="n"/>
      <c r="B95" s="22" t="n"/>
      <c r="C95" s="24" t="n"/>
      <c r="D95" s="22" t="n"/>
      <c r="E95" s="22" t="n"/>
      <c r="F95" s="22" t="n"/>
      <c r="G95" s="22" t="n"/>
      <c r="H95" s="22" t="n"/>
      <c r="I95" s="7">
        <f>IF(B95="","",IF(AND(COUNTIF(D95:H95,"Yes")=5,SUMPRODUCT(--ISTEXT(J95:M95))=0,N(J95)&gt;0,N(N95)&gt;0,U95&gt;0),"Yes","No"))</f>
        <v/>
      </c>
      <c r="J95" s="33" t="n"/>
      <c r="K95" s="33" t="n"/>
      <c r="L95" s="33" t="n"/>
      <c r="M95" s="33" t="n"/>
      <c r="N95" s="9">
        <f>IF(B95="","",N(J95)+N(K95)+N(L95)+N(M95))</f>
        <v/>
      </c>
      <c r="O95" s="22" t="n"/>
      <c r="P95" s="22" t="n"/>
      <c r="Q95" s="22" t="n"/>
      <c r="R95" s="22" t="n"/>
      <c r="S95" s="22" t="n"/>
      <c r="T95" s="7">
        <f>IF(A95="","",LEFT(A95,2))</f>
        <v/>
      </c>
      <c r="U95" s="7">
        <f>IF(A95="",0,IFERROR(MATCH(LEFT(A95,3)&amp;"*",'Tender Setup'!$A$4:$A$33,0),0))</f>
        <v/>
      </c>
      <c r="V95" s="9">
        <f t="array" ref="V95">IF(I95&lt;&gt;"Yes","",MIN(IF((T$4:T$103=T95)*(I$4:I$103="Yes"),N$4:N$103)))</f>
        <v/>
      </c>
      <c r="W95" s="9">
        <f t="array" ref="W95">IF(I95&lt;&gt;"Yes","",MEDIAN(IF((T$4:T$103=T95)*(I$4:I$103="Yes"),N$4:N$103)))</f>
        <v/>
      </c>
      <c r="X95" s="11">
        <f>IF(I95&lt;&gt;"Yes",0,V95/N95*INDEX('Tender Setup'!$C$4:$C$33,U95))</f>
        <v/>
      </c>
      <c r="Y95" s="11">
        <f>IF(I95&lt;&gt;"Yes",0,(MIN(10,MAX(0,N(O95)))*INDEX('Tender Setup'!$D$4:$D$33,U95)+MIN(10,MAX(0,N(P95)))*INDEX('Tender Setup'!$E$4:$E$33,U95)+MIN(10,MAX(0,N(Q95)))*INDEX('Tender Setup'!$F$4:$F$33,U95)+MIN(10,MAX(0,N(R95)))*INDEX('Tender Setup'!$G$4:$G$33,U95)+MIN(10,MAX(0,N(S95)))*INDEX('Tender Setup'!$H$4:$H$33,U95))/10)</f>
        <v/>
      </c>
      <c r="Z95" s="11">
        <f>IF(B95="","",IF(I95&lt;&gt;"Yes",0,IF(N(INDEX('Tender Setup'!$I$4:$I$33,U95))=0,0,(X95+Y95)*100/INDEX('Tender Setup'!$I$4:$I$33,U95))))</f>
        <v/>
      </c>
      <c r="AA95" s="7">
        <f>IF(B95="","",IF(I95&lt;&gt;"Yes","Excluded",COUNTIFS(T$4:T$103,T95,I$4:I$103,"Yes",Z$4:Z$103,"&gt;"&amp;Z95)+1))</f>
        <v/>
      </c>
      <c r="AB95" s="7">
        <f>IF(I95&lt;&gt;"Yes","",IF(AND(COUNTIFS(T$4:T$103,T95,I$4:I$103,"Yes")&gt;=2,N95&lt;W95*(1-Settings!$B$12)),"Well under median: check scope",""))</f>
        <v/>
      </c>
      <c r="AC95" s="36">
        <f>IF(B95="","",TRIM(IF(COUNTIF(D95:H95,"Yes")&lt;5,"Compliance gates not all Yes. ","")&amp;IF(SUMPRODUCT(--ISTEXT(J95:M95))&gt;0,"A price cell holds text, not a number. ","")&amp;IF(N(J95)&lt;=0,"No quoted price. ",IF(N(N95)&lt;=0,"Levelled price is $0 or less. ",""))&amp;IF(U95=0,"Package isn't on the Packages tab. ","")&amp;IF(SUMPRODUCT(ISTEXT(O95:S95)+(O95:S95&lt;0)+(O95:S95&gt;10))&gt;0,"Scores must be 0 to 10 (capped). ","")&amp;IF(AND(AA95=1,COUNTIFS(T$4:T$103,T95,AA$4:AA$103,1)&gt;1),"Tied for 1st: ask both for clarifications. ","")))</f>
        <v/>
      </c>
      <c r="AD95" s="7">
        <f>T95&amp;"|"&amp;AA95</f>
        <v/>
      </c>
      <c r="AE95" s="22" t="n"/>
      <c r="AF95" s="23" t="n"/>
    </row>
    <row r="96">
      <c r="A96" s="22" t="n"/>
      <c r="B96" s="22" t="n"/>
      <c r="C96" s="24" t="n"/>
      <c r="D96" s="22" t="n"/>
      <c r="E96" s="22" t="n"/>
      <c r="F96" s="22" t="n"/>
      <c r="G96" s="22" t="n"/>
      <c r="H96" s="22" t="n"/>
      <c r="I96" s="7">
        <f>IF(B96="","",IF(AND(COUNTIF(D96:H96,"Yes")=5,SUMPRODUCT(--ISTEXT(J96:M96))=0,N(J96)&gt;0,N(N96)&gt;0,U96&gt;0),"Yes","No"))</f>
        <v/>
      </c>
      <c r="J96" s="33" t="n"/>
      <c r="K96" s="33" t="n"/>
      <c r="L96" s="33" t="n"/>
      <c r="M96" s="33" t="n"/>
      <c r="N96" s="9">
        <f>IF(B96="","",N(J96)+N(K96)+N(L96)+N(M96))</f>
        <v/>
      </c>
      <c r="O96" s="22" t="n"/>
      <c r="P96" s="22" t="n"/>
      <c r="Q96" s="22" t="n"/>
      <c r="R96" s="22" t="n"/>
      <c r="S96" s="22" t="n"/>
      <c r="T96" s="7">
        <f>IF(A96="","",LEFT(A96,2))</f>
        <v/>
      </c>
      <c r="U96" s="7">
        <f>IF(A96="",0,IFERROR(MATCH(LEFT(A96,3)&amp;"*",'Tender Setup'!$A$4:$A$33,0),0))</f>
        <v/>
      </c>
      <c r="V96" s="9">
        <f t="array" ref="V96">IF(I96&lt;&gt;"Yes","",MIN(IF((T$4:T$103=T96)*(I$4:I$103="Yes"),N$4:N$103)))</f>
        <v/>
      </c>
      <c r="W96" s="9">
        <f t="array" ref="W96">IF(I96&lt;&gt;"Yes","",MEDIAN(IF((T$4:T$103=T96)*(I$4:I$103="Yes"),N$4:N$103)))</f>
        <v/>
      </c>
      <c r="X96" s="11">
        <f>IF(I96&lt;&gt;"Yes",0,V96/N96*INDEX('Tender Setup'!$C$4:$C$33,U96))</f>
        <v/>
      </c>
      <c r="Y96" s="11">
        <f>IF(I96&lt;&gt;"Yes",0,(MIN(10,MAX(0,N(O96)))*INDEX('Tender Setup'!$D$4:$D$33,U96)+MIN(10,MAX(0,N(P96)))*INDEX('Tender Setup'!$E$4:$E$33,U96)+MIN(10,MAX(0,N(Q96)))*INDEX('Tender Setup'!$F$4:$F$33,U96)+MIN(10,MAX(0,N(R96)))*INDEX('Tender Setup'!$G$4:$G$33,U96)+MIN(10,MAX(0,N(S96)))*INDEX('Tender Setup'!$H$4:$H$33,U96))/10)</f>
        <v/>
      </c>
      <c r="Z96" s="11">
        <f>IF(B96="","",IF(I96&lt;&gt;"Yes",0,IF(N(INDEX('Tender Setup'!$I$4:$I$33,U96))=0,0,(X96+Y96)*100/INDEX('Tender Setup'!$I$4:$I$33,U96))))</f>
        <v/>
      </c>
      <c r="AA96" s="7">
        <f>IF(B96="","",IF(I96&lt;&gt;"Yes","Excluded",COUNTIFS(T$4:T$103,T96,I$4:I$103,"Yes",Z$4:Z$103,"&gt;"&amp;Z96)+1))</f>
        <v/>
      </c>
      <c r="AB96" s="7">
        <f>IF(I96&lt;&gt;"Yes","",IF(AND(COUNTIFS(T$4:T$103,T96,I$4:I$103,"Yes")&gt;=2,N96&lt;W96*(1-Settings!$B$12)),"Well under median: check scope",""))</f>
        <v/>
      </c>
      <c r="AC96" s="36">
        <f>IF(B96="","",TRIM(IF(COUNTIF(D96:H96,"Yes")&lt;5,"Compliance gates not all Yes. ","")&amp;IF(SUMPRODUCT(--ISTEXT(J96:M96))&gt;0,"A price cell holds text, not a number. ","")&amp;IF(N(J96)&lt;=0,"No quoted price. ",IF(N(N96)&lt;=0,"Levelled price is $0 or less. ",""))&amp;IF(U96=0,"Package isn't on the Packages tab. ","")&amp;IF(SUMPRODUCT(ISTEXT(O96:S96)+(O96:S96&lt;0)+(O96:S96&gt;10))&gt;0,"Scores must be 0 to 10 (capped). ","")&amp;IF(AND(AA96=1,COUNTIFS(T$4:T$103,T96,AA$4:AA$103,1)&gt;1),"Tied for 1st: ask both for clarifications. ","")))</f>
        <v/>
      </c>
      <c r="AD96" s="7">
        <f>T96&amp;"|"&amp;AA96</f>
        <v/>
      </c>
      <c r="AE96" s="22" t="n"/>
      <c r="AF96" s="23" t="n"/>
    </row>
    <row r="97">
      <c r="A97" s="22" t="n"/>
      <c r="B97" s="22" t="n"/>
      <c r="C97" s="24" t="n"/>
      <c r="D97" s="22" t="n"/>
      <c r="E97" s="22" t="n"/>
      <c r="F97" s="22" t="n"/>
      <c r="G97" s="22" t="n"/>
      <c r="H97" s="22" t="n"/>
      <c r="I97" s="7">
        <f>IF(B97="","",IF(AND(COUNTIF(D97:H97,"Yes")=5,SUMPRODUCT(--ISTEXT(J97:M97))=0,N(J97)&gt;0,N(N97)&gt;0,U97&gt;0),"Yes","No"))</f>
        <v/>
      </c>
      <c r="J97" s="33" t="n"/>
      <c r="K97" s="33" t="n"/>
      <c r="L97" s="33" t="n"/>
      <c r="M97" s="33" t="n"/>
      <c r="N97" s="9">
        <f>IF(B97="","",N(J97)+N(K97)+N(L97)+N(M97))</f>
        <v/>
      </c>
      <c r="O97" s="22" t="n"/>
      <c r="P97" s="22" t="n"/>
      <c r="Q97" s="22" t="n"/>
      <c r="R97" s="22" t="n"/>
      <c r="S97" s="22" t="n"/>
      <c r="T97" s="7">
        <f>IF(A97="","",LEFT(A97,2))</f>
        <v/>
      </c>
      <c r="U97" s="7">
        <f>IF(A97="",0,IFERROR(MATCH(LEFT(A97,3)&amp;"*",'Tender Setup'!$A$4:$A$33,0),0))</f>
        <v/>
      </c>
      <c r="V97" s="9">
        <f t="array" ref="V97">IF(I97&lt;&gt;"Yes","",MIN(IF((T$4:T$103=T97)*(I$4:I$103="Yes"),N$4:N$103)))</f>
        <v/>
      </c>
      <c r="W97" s="9">
        <f t="array" ref="W97">IF(I97&lt;&gt;"Yes","",MEDIAN(IF((T$4:T$103=T97)*(I$4:I$103="Yes"),N$4:N$103)))</f>
        <v/>
      </c>
      <c r="X97" s="11">
        <f>IF(I97&lt;&gt;"Yes",0,V97/N97*INDEX('Tender Setup'!$C$4:$C$33,U97))</f>
        <v/>
      </c>
      <c r="Y97" s="11">
        <f>IF(I97&lt;&gt;"Yes",0,(MIN(10,MAX(0,N(O97)))*INDEX('Tender Setup'!$D$4:$D$33,U97)+MIN(10,MAX(0,N(P97)))*INDEX('Tender Setup'!$E$4:$E$33,U97)+MIN(10,MAX(0,N(Q97)))*INDEX('Tender Setup'!$F$4:$F$33,U97)+MIN(10,MAX(0,N(R97)))*INDEX('Tender Setup'!$G$4:$G$33,U97)+MIN(10,MAX(0,N(S97)))*INDEX('Tender Setup'!$H$4:$H$33,U97))/10)</f>
        <v/>
      </c>
      <c r="Z97" s="11">
        <f>IF(B97="","",IF(I97&lt;&gt;"Yes",0,IF(N(INDEX('Tender Setup'!$I$4:$I$33,U97))=0,0,(X97+Y97)*100/INDEX('Tender Setup'!$I$4:$I$33,U97))))</f>
        <v/>
      </c>
      <c r="AA97" s="7">
        <f>IF(B97="","",IF(I97&lt;&gt;"Yes","Excluded",COUNTIFS(T$4:T$103,T97,I$4:I$103,"Yes",Z$4:Z$103,"&gt;"&amp;Z97)+1))</f>
        <v/>
      </c>
      <c r="AB97" s="7">
        <f>IF(I97&lt;&gt;"Yes","",IF(AND(COUNTIFS(T$4:T$103,T97,I$4:I$103,"Yes")&gt;=2,N97&lt;W97*(1-Settings!$B$12)),"Well under median: check scope",""))</f>
        <v/>
      </c>
      <c r="AC97" s="36">
        <f>IF(B97="","",TRIM(IF(COUNTIF(D97:H97,"Yes")&lt;5,"Compliance gates not all Yes. ","")&amp;IF(SUMPRODUCT(--ISTEXT(J97:M97))&gt;0,"A price cell holds text, not a number. ","")&amp;IF(N(J97)&lt;=0,"No quoted price. ",IF(N(N97)&lt;=0,"Levelled price is $0 or less. ",""))&amp;IF(U97=0,"Package isn't on the Packages tab. ","")&amp;IF(SUMPRODUCT(ISTEXT(O97:S97)+(O97:S97&lt;0)+(O97:S97&gt;10))&gt;0,"Scores must be 0 to 10 (capped). ","")&amp;IF(AND(AA97=1,COUNTIFS(T$4:T$103,T97,AA$4:AA$103,1)&gt;1),"Tied for 1st: ask both for clarifications. ","")))</f>
        <v/>
      </c>
      <c r="AD97" s="7">
        <f>T97&amp;"|"&amp;AA97</f>
        <v/>
      </c>
      <c r="AE97" s="22" t="n"/>
      <c r="AF97" s="23" t="n"/>
    </row>
    <row r="98">
      <c r="A98" s="22" t="n"/>
      <c r="B98" s="22" t="n"/>
      <c r="C98" s="24" t="n"/>
      <c r="D98" s="22" t="n"/>
      <c r="E98" s="22" t="n"/>
      <c r="F98" s="22" t="n"/>
      <c r="G98" s="22" t="n"/>
      <c r="H98" s="22" t="n"/>
      <c r="I98" s="7">
        <f>IF(B98="","",IF(AND(COUNTIF(D98:H98,"Yes")=5,SUMPRODUCT(--ISTEXT(J98:M98))=0,N(J98)&gt;0,N(N98)&gt;0,U98&gt;0),"Yes","No"))</f>
        <v/>
      </c>
      <c r="J98" s="33" t="n"/>
      <c r="K98" s="33" t="n"/>
      <c r="L98" s="33" t="n"/>
      <c r="M98" s="33" t="n"/>
      <c r="N98" s="9">
        <f>IF(B98="","",N(J98)+N(K98)+N(L98)+N(M98))</f>
        <v/>
      </c>
      <c r="O98" s="22" t="n"/>
      <c r="P98" s="22" t="n"/>
      <c r="Q98" s="22" t="n"/>
      <c r="R98" s="22" t="n"/>
      <c r="S98" s="22" t="n"/>
      <c r="T98" s="7">
        <f>IF(A98="","",LEFT(A98,2))</f>
        <v/>
      </c>
      <c r="U98" s="7">
        <f>IF(A98="",0,IFERROR(MATCH(LEFT(A98,3)&amp;"*",'Tender Setup'!$A$4:$A$33,0),0))</f>
        <v/>
      </c>
      <c r="V98" s="9">
        <f t="array" ref="V98">IF(I98&lt;&gt;"Yes","",MIN(IF((T$4:T$103=T98)*(I$4:I$103="Yes"),N$4:N$103)))</f>
        <v/>
      </c>
      <c r="W98" s="9">
        <f t="array" ref="W98">IF(I98&lt;&gt;"Yes","",MEDIAN(IF((T$4:T$103=T98)*(I$4:I$103="Yes"),N$4:N$103)))</f>
        <v/>
      </c>
      <c r="X98" s="11">
        <f>IF(I98&lt;&gt;"Yes",0,V98/N98*INDEX('Tender Setup'!$C$4:$C$33,U98))</f>
        <v/>
      </c>
      <c r="Y98" s="11">
        <f>IF(I98&lt;&gt;"Yes",0,(MIN(10,MAX(0,N(O98)))*INDEX('Tender Setup'!$D$4:$D$33,U98)+MIN(10,MAX(0,N(P98)))*INDEX('Tender Setup'!$E$4:$E$33,U98)+MIN(10,MAX(0,N(Q98)))*INDEX('Tender Setup'!$F$4:$F$33,U98)+MIN(10,MAX(0,N(R98)))*INDEX('Tender Setup'!$G$4:$G$33,U98)+MIN(10,MAX(0,N(S98)))*INDEX('Tender Setup'!$H$4:$H$33,U98))/10)</f>
        <v/>
      </c>
      <c r="Z98" s="11">
        <f>IF(B98="","",IF(I98&lt;&gt;"Yes",0,IF(N(INDEX('Tender Setup'!$I$4:$I$33,U98))=0,0,(X98+Y98)*100/INDEX('Tender Setup'!$I$4:$I$33,U98))))</f>
        <v/>
      </c>
      <c r="AA98" s="7">
        <f>IF(B98="","",IF(I98&lt;&gt;"Yes","Excluded",COUNTIFS(T$4:T$103,T98,I$4:I$103,"Yes",Z$4:Z$103,"&gt;"&amp;Z98)+1))</f>
        <v/>
      </c>
      <c r="AB98" s="7">
        <f>IF(I98&lt;&gt;"Yes","",IF(AND(COUNTIFS(T$4:T$103,T98,I$4:I$103,"Yes")&gt;=2,N98&lt;W98*(1-Settings!$B$12)),"Well under median: check scope",""))</f>
        <v/>
      </c>
      <c r="AC98" s="36">
        <f>IF(B98="","",TRIM(IF(COUNTIF(D98:H98,"Yes")&lt;5,"Compliance gates not all Yes. ","")&amp;IF(SUMPRODUCT(--ISTEXT(J98:M98))&gt;0,"A price cell holds text, not a number. ","")&amp;IF(N(J98)&lt;=0,"No quoted price. ",IF(N(N98)&lt;=0,"Levelled price is $0 or less. ",""))&amp;IF(U98=0,"Package isn't on the Packages tab. ","")&amp;IF(SUMPRODUCT(ISTEXT(O98:S98)+(O98:S98&lt;0)+(O98:S98&gt;10))&gt;0,"Scores must be 0 to 10 (capped). ","")&amp;IF(AND(AA98=1,COUNTIFS(T$4:T$103,T98,AA$4:AA$103,1)&gt;1),"Tied for 1st: ask both for clarifications. ","")))</f>
        <v/>
      </c>
      <c r="AD98" s="7">
        <f>T98&amp;"|"&amp;AA98</f>
        <v/>
      </c>
      <c r="AE98" s="22" t="n"/>
      <c r="AF98" s="23" t="n"/>
    </row>
    <row r="99">
      <c r="A99" s="22" t="n"/>
      <c r="B99" s="22" t="n"/>
      <c r="C99" s="24" t="n"/>
      <c r="D99" s="22" t="n"/>
      <c r="E99" s="22" t="n"/>
      <c r="F99" s="22" t="n"/>
      <c r="G99" s="22" t="n"/>
      <c r="H99" s="22" t="n"/>
      <c r="I99" s="7">
        <f>IF(B99="","",IF(AND(COUNTIF(D99:H99,"Yes")=5,SUMPRODUCT(--ISTEXT(J99:M99))=0,N(J99)&gt;0,N(N99)&gt;0,U99&gt;0),"Yes","No"))</f>
        <v/>
      </c>
      <c r="J99" s="33" t="n"/>
      <c r="K99" s="33" t="n"/>
      <c r="L99" s="33" t="n"/>
      <c r="M99" s="33" t="n"/>
      <c r="N99" s="9">
        <f>IF(B99="","",N(J99)+N(K99)+N(L99)+N(M99))</f>
        <v/>
      </c>
      <c r="O99" s="22" t="n"/>
      <c r="P99" s="22" t="n"/>
      <c r="Q99" s="22" t="n"/>
      <c r="R99" s="22" t="n"/>
      <c r="S99" s="22" t="n"/>
      <c r="T99" s="7">
        <f>IF(A99="","",LEFT(A99,2))</f>
        <v/>
      </c>
      <c r="U99" s="7">
        <f>IF(A99="",0,IFERROR(MATCH(LEFT(A99,3)&amp;"*",'Tender Setup'!$A$4:$A$33,0),0))</f>
        <v/>
      </c>
      <c r="V99" s="9">
        <f t="array" ref="V99">IF(I99&lt;&gt;"Yes","",MIN(IF((T$4:T$103=T99)*(I$4:I$103="Yes"),N$4:N$103)))</f>
        <v/>
      </c>
      <c r="W99" s="9">
        <f t="array" ref="W99">IF(I99&lt;&gt;"Yes","",MEDIAN(IF((T$4:T$103=T99)*(I$4:I$103="Yes"),N$4:N$103)))</f>
        <v/>
      </c>
      <c r="X99" s="11">
        <f>IF(I99&lt;&gt;"Yes",0,V99/N99*INDEX('Tender Setup'!$C$4:$C$33,U99))</f>
        <v/>
      </c>
      <c r="Y99" s="11">
        <f>IF(I99&lt;&gt;"Yes",0,(MIN(10,MAX(0,N(O99)))*INDEX('Tender Setup'!$D$4:$D$33,U99)+MIN(10,MAX(0,N(P99)))*INDEX('Tender Setup'!$E$4:$E$33,U99)+MIN(10,MAX(0,N(Q99)))*INDEX('Tender Setup'!$F$4:$F$33,U99)+MIN(10,MAX(0,N(R99)))*INDEX('Tender Setup'!$G$4:$G$33,U99)+MIN(10,MAX(0,N(S99)))*INDEX('Tender Setup'!$H$4:$H$33,U99))/10)</f>
        <v/>
      </c>
      <c r="Z99" s="11">
        <f>IF(B99="","",IF(I99&lt;&gt;"Yes",0,IF(N(INDEX('Tender Setup'!$I$4:$I$33,U99))=0,0,(X99+Y99)*100/INDEX('Tender Setup'!$I$4:$I$33,U99))))</f>
        <v/>
      </c>
      <c r="AA99" s="7">
        <f>IF(B99="","",IF(I99&lt;&gt;"Yes","Excluded",COUNTIFS(T$4:T$103,T99,I$4:I$103,"Yes",Z$4:Z$103,"&gt;"&amp;Z99)+1))</f>
        <v/>
      </c>
      <c r="AB99" s="7">
        <f>IF(I99&lt;&gt;"Yes","",IF(AND(COUNTIFS(T$4:T$103,T99,I$4:I$103,"Yes")&gt;=2,N99&lt;W99*(1-Settings!$B$12)),"Well under median: check scope",""))</f>
        <v/>
      </c>
      <c r="AC99" s="36">
        <f>IF(B99="","",TRIM(IF(COUNTIF(D99:H99,"Yes")&lt;5,"Compliance gates not all Yes. ","")&amp;IF(SUMPRODUCT(--ISTEXT(J99:M99))&gt;0,"A price cell holds text, not a number. ","")&amp;IF(N(J99)&lt;=0,"No quoted price. ",IF(N(N99)&lt;=0,"Levelled price is $0 or less. ",""))&amp;IF(U99=0,"Package isn't on the Packages tab. ","")&amp;IF(SUMPRODUCT(ISTEXT(O99:S99)+(O99:S99&lt;0)+(O99:S99&gt;10))&gt;0,"Scores must be 0 to 10 (capped). ","")&amp;IF(AND(AA99=1,COUNTIFS(T$4:T$103,T99,AA$4:AA$103,1)&gt;1),"Tied for 1st: ask both for clarifications. ","")))</f>
        <v/>
      </c>
      <c r="AD99" s="7">
        <f>T99&amp;"|"&amp;AA99</f>
        <v/>
      </c>
      <c r="AE99" s="22" t="n"/>
      <c r="AF99" s="23" t="n"/>
    </row>
    <row r="100">
      <c r="A100" s="22" t="n"/>
      <c r="B100" s="22" t="n"/>
      <c r="C100" s="24" t="n"/>
      <c r="D100" s="22" t="n"/>
      <c r="E100" s="22" t="n"/>
      <c r="F100" s="22" t="n"/>
      <c r="G100" s="22" t="n"/>
      <c r="H100" s="22" t="n"/>
      <c r="I100" s="7">
        <f>IF(B100="","",IF(AND(COUNTIF(D100:H100,"Yes")=5,SUMPRODUCT(--ISTEXT(J100:M100))=0,N(J100)&gt;0,N(N100)&gt;0,U100&gt;0),"Yes","No"))</f>
        <v/>
      </c>
      <c r="J100" s="33" t="n"/>
      <c r="K100" s="33" t="n"/>
      <c r="L100" s="33" t="n"/>
      <c r="M100" s="33" t="n"/>
      <c r="N100" s="9">
        <f>IF(B100="","",N(J100)+N(K100)+N(L100)+N(M100))</f>
        <v/>
      </c>
      <c r="O100" s="22" t="n"/>
      <c r="P100" s="22" t="n"/>
      <c r="Q100" s="22" t="n"/>
      <c r="R100" s="22" t="n"/>
      <c r="S100" s="22" t="n"/>
      <c r="T100" s="7">
        <f>IF(A100="","",LEFT(A100,2))</f>
        <v/>
      </c>
      <c r="U100" s="7">
        <f>IF(A100="",0,IFERROR(MATCH(LEFT(A100,3)&amp;"*",'Tender Setup'!$A$4:$A$33,0),0))</f>
        <v/>
      </c>
      <c r="V100" s="9">
        <f t="array" ref="V100">IF(I100&lt;&gt;"Yes","",MIN(IF((T$4:T$103=T100)*(I$4:I$103="Yes"),N$4:N$103)))</f>
        <v/>
      </c>
      <c r="W100" s="9">
        <f t="array" ref="W100">IF(I100&lt;&gt;"Yes","",MEDIAN(IF((T$4:T$103=T100)*(I$4:I$103="Yes"),N$4:N$103)))</f>
        <v/>
      </c>
      <c r="X100" s="11">
        <f>IF(I100&lt;&gt;"Yes",0,V100/N100*INDEX('Tender Setup'!$C$4:$C$33,U100))</f>
        <v/>
      </c>
      <c r="Y100" s="11">
        <f>IF(I100&lt;&gt;"Yes",0,(MIN(10,MAX(0,N(O100)))*INDEX('Tender Setup'!$D$4:$D$33,U100)+MIN(10,MAX(0,N(P100)))*INDEX('Tender Setup'!$E$4:$E$33,U100)+MIN(10,MAX(0,N(Q100)))*INDEX('Tender Setup'!$F$4:$F$33,U100)+MIN(10,MAX(0,N(R100)))*INDEX('Tender Setup'!$G$4:$G$33,U100)+MIN(10,MAX(0,N(S100)))*INDEX('Tender Setup'!$H$4:$H$33,U100))/10)</f>
        <v/>
      </c>
      <c r="Z100" s="11">
        <f>IF(B100="","",IF(I100&lt;&gt;"Yes",0,IF(N(INDEX('Tender Setup'!$I$4:$I$33,U100))=0,0,(X100+Y100)*100/INDEX('Tender Setup'!$I$4:$I$33,U100))))</f>
        <v/>
      </c>
      <c r="AA100" s="7">
        <f>IF(B100="","",IF(I100&lt;&gt;"Yes","Excluded",COUNTIFS(T$4:T$103,T100,I$4:I$103,"Yes",Z$4:Z$103,"&gt;"&amp;Z100)+1))</f>
        <v/>
      </c>
      <c r="AB100" s="7">
        <f>IF(I100&lt;&gt;"Yes","",IF(AND(COUNTIFS(T$4:T$103,T100,I$4:I$103,"Yes")&gt;=2,N100&lt;W100*(1-Settings!$B$12)),"Well under median: check scope",""))</f>
        <v/>
      </c>
      <c r="AC100" s="36">
        <f>IF(B100="","",TRIM(IF(COUNTIF(D100:H100,"Yes")&lt;5,"Compliance gates not all Yes. ","")&amp;IF(SUMPRODUCT(--ISTEXT(J100:M100))&gt;0,"A price cell holds text, not a number. ","")&amp;IF(N(J100)&lt;=0,"No quoted price. ",IF(N(N100)&lt;=0,"Levelled price is $0 or less. ",""))&amp;IF(U100=0,"Package isn't on the Packages tab. ","")&amp;IF(SUMPRODUCT(ISTEXT(O100:S100)+(O100:S100&lt;0)+(O100:S100&gt;10))&gt;0,"Scores must be 0 to 10 (capped). ","")&amp;IF(AND(AA100=1,COUNTIFS(T$4:T$103,T100,AA$4:AA$103,1)&gt;1),"Tied for 1st: ask both for clarifications. ","")))</f>
        <v/>
      </c>
      <c r="AD100" s="7">
        <f>T100&amp;"|"&amp;AA100</f>
        <v/>
      </c>
      <c r="AE100" s="22" t="n"/>
      <c r="AF100" s="23" t="n"/>
    </row>
    <row r="101">
      <c r="A101" s="22" t="n"/>
      <c r="B101" s="22" t="n"/>
      <c r="C101" s="24" t="n"/>
      <c r="D101" s="22" t="n"/>
      <c r="E101" s="22" t="n"/>
      <c r="F101" s="22" t="n"/>
      <c r="G101" s="22" t="n"/>
      <c r="H101" s="22" t="n"/>
      <c r="I101" s="7">
        <f>IF(B101="","",IF(AND(COUNTIF(D101:H101,"Yes")=5,SUMPRODUCT(--ISTEXT(J101:M101))=0,N(J101)&gt;0,N(N101)&gt;0,U101&gt;0),"Yes","No"))</f>
        <v/>
      </c>
      <c r="J101" s="33" t="n"/>
      <c r="K101" s="33" t="n"/>
      <c r="L101" s="33" t="n"/>
      <c r="M101" s="33" t="n"/>
      <c r="N101" s="9">
        <f>IF(B101="","",N(J101)+N(K101)+N(L101)+N(M101))</f>
        <v/>
      </c>
      <c r="O101" s="22" t="n"/>
      <c r="P101" s="22" t="n"/>
      <c r="Q101" s="22" t="n"/>
      <c r="R101" s="22" t="n"/>
      <c r="S101" s="22" t="n"/>
      <c r="T101" s="7">
        <f>IF(A101="","",LEFT(A101,2))</f>
        <v/>
      </c>
      <c r="U101" s="7">
        <f>IF(A101="",0,IFERROR(MATCH(LEFT(A101,3)&amp;"*",'Tender Setup'!$A$4:$A$33,0),0))</f>
        <v/>
      </c>
      <c r="V101" s="9">
        <f t="array" ref="V101">IF(I101&lt;&gt;"Yes","",MIN(IF((T$4:T$103=T101)*(I$4:I$103="Yes"),N$4:N$103)))</f>
        <v/>
      </c>
      <c r="W101" s="9">
        <f t="array" ref="W101">IF(I101&lt;&gt;"Yes","",MEDIAN(IF((T$4:T$103=T101)*(I$4:I$103="Yes"),N$4:N$103)))</f>
        <v/>
      </c>
      <c r="X101" s="11">
        <f>IF(I101&lt;&gt;"Yes",0,V101/N101*INDEX('Tender Setup'!$C$4:$C$33,U101))</f>
        <v/>
      </c>
      <c r="Y101" s="11">
        <f>IF(I101&lt;&gt;"Yes",0,(MIN(10,MAX(0,N(O101)))*INDEX('Tender Setup'!$D$4:$D$33,U101)+MIN(10,MAX(0,N(P101)))*INDEX('Tender Setup'!$E$4:$E$33,U101)+MIN(10,MAX(0,N(Q101)))*INDEX('Tender Setup'!$F$4:$F$33,U101)+MIN(10,MAX(0,N(R101)))*INDEX('Tender Setup'!$G$4:$G$33,U101)+MIN(10,MAX(0,N(S101)))*INDEX('Tender Setup'!$H$4:$H$33,U101))/10)</f>
        <v/>
      </c>
      <c r="Z101" s="11">
        <f>IF(B101="","",IF(I101&lt;&gt;"Yes",0,IF(N(INDEX('Tender Setup'!$I$4:$I$33,U101))=0,0,(X101+Y101)*100/INDEX('Tender Setup'!$I$4:$I$33,U101))))</f>
        <v/>
      </c>
      <c r="AA101" s="7">
        <f>IF(B101="","",IF(I101&lt;&gt;"Yes","Excluded",COUNTIFS(T$4:T$103,T101,I$4:I$103,"Yes",Z$4:Z$103,"&gt;"&amp;Z101)+1))</f>
        <v/>
      </c>
      <c r="AB101" s="7">
        <f>IF(I101&lt;&gt;"Yes","",IF(AND(COUNTIFS(T$4:T$103,T101,I$4:I$103,"Yes")&gt;=2,N101&lt;W101*(1-Settings!$B$12)),"Well under median: check scope",""))</f>
        <v/>
      </c>
      <c r="AC101" s="36">
        <f>IF(B101="","",TRIM(IF(COUNTIF(D101:H101,"Yes")&lt;5,"Compliance gates not all Yes. ","")&amp;IF(SUMPRODUCT(--ISTEXT(J101:M101))&gt;0,"A price cell holds text, not a number. ","")&amp;IF(N(J101)&lt;=0,"No quoted price. ",IF(N(N101)&lt;=0,"Levelled price is $0 or less. ",""))&amp;IF(U101=0,"Package isn't on the Packages tab. ","")&amp;IF(SUMPRODUCT(ISTEXT(O101:S101)+(O101:S101&lt;0)+(O101:S101&gt;10))&gt;0,"Scores must be 0 to 10 (capped). ","")&amp;IF(AND(AA101=1,COUNTIFS(T$4:T$103,T101,AA$4:AA$103,1)&gt;1),"Tied for 1st: ask both for clarifications. ","")))</f>
        <v/>
      </c>
      <c r="AD101" s="7">
        <f>T101&amp;"|"&amp;AA101</f>
        <v/>
      </c>
      <c r="AE101" s="22" t="n"/>
      <c r="AF101" s="23" t="n"/>
    </row>
    <row r="102">
      <c r="A102" s="22" t="n"/>
      <c r="B102" s="22" t="n"/>
      <c r="C102" s="24" t="n"/>
      <c r="D102" s="22" t="n"/>
      <c r="E102" s="22" t="n"/>
      <c r="F102" s="22" t="n"/>
      <c r="G102" s="22" t="n"/>
      <c r="H102" s="22" t="n"/>
      <c r="I102" s="7">
        <f>IF(B102="","",IF(AND(COUNTIF(D102:H102,"Yes")=5,SUMPRODUCT(--ISTEXT(J102:M102))=0,N(J102)&gt;0,N(N102)&gt;0,U102&gt;0),"Yes","No"))</f>
        <v/>
      </c>
      <c r="J102" s="33" t="n"/>
      <c r="K102" s="33" t="n"/>
      <c r="L102" s="33" t="n"/>
      <c r="M102" s="33" t="n"/>
      <c r="N102" s="9">
        <f>IF(B102="","",N(J102)+N(K102)+N(L102)+N(M102))</f>
        <v/>
      </c>
      <c r="O102" s="22" t="n"/>
      <c r="P102" s="22" t="n"/>
      <c r="Q102" s="22" t="n"/>
      <c r="R102" s="22" t="n"/>
      <c r="S102" s="22" t="n"/>
      <c r="T102" s="7">
        <f>IF(A102="","",LEFT(A102,2))</f>
        <v/>
      </c>
      <c r="U102" s="7">
        <f>IF(A102="",0,IFERROR(MATCH(LEFT(A102,3)&amp;"*",'Tender Setup'!$A$4:$A$33,0),0))</f>
        <v/>
      </c>
      <c r="V102" s="9">
        <f t="array" ref="V102">IF(I102&lt;&gt;"Yes","",MIN(IF((T$4:T$103=T102)*(I$4:I$103="Yes"),N$4:N$103)))</f>
        <v/>
      </c>
      <c r="W102" s="9">
        <f t="array" ref="W102">IF(I102&lt;&gt;"Yes","",MEDIAN(IF((T$4:T$103=T102)*(I$4:I$103="Yes"),N$4:N$103)))</f>
        <v/>
      </c>
      <c r="X102" s="11">
        <f>IF(I102&lt;&gt;"Yes",0,V102/N102*INDEX('Tender Setup'!$C$4:$C$33,U102))</f>
        <v/>
      </c>
      <c r="Y102" s="11">
        <f>IF(I102&lt;&gt;"Yes",0,(MIN(10,MAX(0,N(O102)))*INDEX('Tender Setup'!$D$4:$D$33,U102)+MIN(10,MAX(0,N(P102)))*INDEX('Tender Setup'!$E$4:$E$33,U102)+MIN(10,MAX(0,N(Q102)))*INDEX('Tender Setup'!$F$4:$F$33,U102)+MIN(10,MAX(0,N(R102)))*INDEX('Tender Setup'!$G$4:$G$33,U102)+MIN(10,MAX(0,N(S102)))*INDEX('Tender Setup'!$H$4:$H$33,U102))/10)</f>
        <v/>
      </c>
      <c r="Z102" s="11">
        <f>IF(B102="","",IF(I102&lt;&gt;"Yes",0,IF(N(INDEX('Tender Setup'!$I$4:$I$33,U102))=0,0,(X102+Y102)*100/INDEX('Tender Setup'!$I$4:$I$33,U102))))</f>
        <v/>
      </c>
      <c r="AA102" s="7">
        <f>IF(B102="","",IF(I102&lt;&gt;"Yes","Excluded",COUNTIFS(T$4:T$103,T102,I$4:I$103,"Yes",Z$4:Z$103,"&gt;"&amp;Z102)+1))</f>
        <v/>
      </c>
      <c r="AB102" s="7">
        <f>IF(I102&lt;&gt;"Yes","",IF(AND(COUNTIFS(T$4:T$103,T102,I$4:I$103,"Yes")&gt;=2,N102&lt;W102*(1-Settings!$B$12)),"Well under median: check scope",""))</f>
        <v/>
      </c>
      <c r="AC102" s="36">
        <f>IF(B102="","",TRIM(IF(COUNTIF(D102:H102,"Yes")&lt;5,"Compliance gates not all Yes. ","")&amp;IF(SUMPRODUCT(--ISTEXT(J102:M102))&gt;0,"A price cell holds text, not a number. ","")&amp;IF(N(J102)&lt;=0,"No quoted price. ",IF(N(N102)&lt;=0,"Levelled price is $0 or less. ",""))&amp;IF(U102=0,"Package isn't on the Packages tab. ","")&amp;IF(SUMPRODUCT(ISTEXT(O102:S102)+(O102:S102&lt;0)+(O102:S102&gt;10))&gt;0,"Scores must be 0 to 10 (capped). ","")&amp;IF(AND(AA102=1,COUNTIFS(T$4:T$103,T102,AA$4:AA$103,1)&gt;1),"Tied for 1st: ask both for clarifications. ","")))</f>
        <v/>
      </c>
      <c r="AD102" s="7">
        <f>T102&amp;"|"&amp;AA102</f>
        <v/>
      </c>
      <c r="AE102" s="22" t="n"/>
      <c r="AF102" s="23" t="n"/>
    </row>
    <row r="103">
      <c r="A103" s="22" t="n"/>
      <c r="B103" s="22" t="n"/>
      <c r="C103" s="24" t="n"/>
      <c r="D103" s="22" t="n"/>
      <c r="E103" s="22" t="n"/>
      <c r="F103" s="22" t="n"/>
      <c r="G103" s="22" t="n"/>
      <c r="H103" s="22" t="n"/>
      <c r="I103" s="7">
        <f>IF(B103="","",IF(AND(COUNTIF(D103:H103,"Yes")=5,SUMPRODUCT(--ISTEXT(J103:M103))=0,N(J103)&gt;0,N(N103)&gt;0,U103&gt;0),"Yes","No"))</f>
        <v/>
      </c>
      <c r="J103" s="33" t="n"/>
      <c r="K103" s="33" t="n"/>
      <c r="L103" s="33" t="n"/>
      <c r="M103" s="33" t="n"/>
      <c r="N103" s="9">
        <f>IF(B103="","",N(J103)+N(K103)+N(L103)+N(M103))</f>
        <v/>
      </c>
      <c r="O103" s="22" t="n"/>
      <c r="P103" s="22" t="n"/>
      <c r="Q103" s="22" t="n"/>
      <c r="R103" s="22" t="n"/>
      <c r="S103" s="22" t="n"/>
      <c r="T103" s="7">
        <f>IF(A103="","",LEFT(A103,2))</f>
        <v/>
      </c>
      <c r="U103" s="7">
        <f>IF(A103="",0,IFERROR(MATCH(LEFT(A103,3)&amp;"*",'Tender Setup'!$A$4:$A$33,0),0))</f>
        <v/>
      </c>
      <c r="V103" s="9">
        <f t="array" ref="V103">IF(I103&lt;&gt;"Yes","",MIN(IF((T$4:T$103=T103)*(I$4:I$103="Yes"),N$4:N$103)))</f>
        <v/>
      </c>
      <c r="W103" s="9">
        <f t="array" ref="W103">IF(I103&lt;&gt;"Yes","",MEDIAN(IF((T$4:T$103=T103)*(I$4:I$103="Yes"),N$4:N$103)))</f>
        <v/>
      </c>
      <c r="X103" s="11">
        <f>IF(I103&lt;&gt;"Yes",0,V103/N103*INDEX('Tender Setup'!$C$4:$C$33,U103))</f>
        <v/>
      </c>
      <c r="Y103" s="11">
        <f>IF(I103&lt;&gt;"Yes",0,(MIN(10,MAX(0,N(O103)))*INDEX('Tender Setup'!$D$4:$D$33,U103)+MIN(10,MAX(0,N(P103)))*INDEX('Tender Setup'!$E$4:$E$33,U103)+MIN(10,MAX(0,N(Q103)))*INDEX('Tender Setup'!$F$4:$F$33,U103)+MIN(10,MAX(0,N(R103)))*INDEX('Tender Setup'!$G$4:$G$33,U103)+MIN(10,MAX(0,N(S103)))*INDEX('Tender Setup'!$H$4:$H$33,U103))/10)</f>
        <v/>
      </c>
      <c r="Z103" s="11">
        <f>IF(B103="","",IF(I103&lt;&gt;"Yes",0,IF(N(INDEX('Tender Setup'!$I$4:$I$33,U103))=0,0,(X103+Y103)*100/INDEX('Tender Setup'!$I$4:$I$33,U103))))</f>
        <v/>
      </c>
      <c r="AA103" s="7">
        <f>IF(B103="","",IF(I103&lt;&gt;"Yes","Excluded",COUNTIFS(T$4:T$103,T103,I$4:I$103,"Yes",Z$4:Z$103,"&gt;"&amp;Z103)+1))</f>
        <v/>
      </c>
      <c r="AB103" s="7">
        <f>IF(I103&lt;&gt;"Yes","",IF(AND(COUNTIFS(T$4:T$103,T103,I$4:I$103,"Yes")&gt;=2,N103&lt;W103*(1-Settings!$B$12)),"Well under median: check scope",""))</f>
        <v/>
      </c>
      <c r="AC103" s="36">
        <f>IF(B103="","",TRIM(IF(COUNTIF(D103:H103,"Yes")&lt;5,"Compliance gates not all Yes. ","")&amp;IF(SUMPRODUCT(--ISTEXT(J103:M103))&gt;0,"A price cell holds text, not a number. ","")&amp;IF(N(J103)&lt;=0,"No quoted price. ",IF(N(N103)&lt;=0,"Levelled price is $0 or less. ",""))&amp;IF(U103=0,"Package isn't on the Packages tab. ","")&amp;IF(SUMPRODUCT(ISTEXT(O103:S103)+(O103:S103&lt;0)+(O103:S103&gt;10))&gt;0,"Scores must be 0 to 10 (capped). ","")&amp;IF(AND(AA103=1,COUNTIFS(T$4:T$103,T103,AA$4:AA$103,1)&gt;1),"Tied for 1st: ask both for clarifications. ","")))</f>
        <v/>
      </c>
      <c r="AD103" s="7">
        <f>T103&amp;"|"&amp;AA103</f>
        <v/>
      </c>
      <c r="AE103" s="22" t="n"/>
      <c r="AF103" s="23" t="n"/>
    </row>
  </sheetData>
  <sheetProtection selectLockedCells="0" selectUnlockedCells="0" sheet="1" objects="0" insertRows="0" insertHyperlinks="0" autoFilter="0" scenarios="0" formatColumns="0" deleteColumns="1" insertColumns="1" pivotTables="1" deleteRows="0" formatCells="0" formatRows="0" sort="0"/>
  <autoFilter ref="A3:AF103"/>
  <conditionalFormatting sqref="I4:I103">
    <cfRule type="cellIs" priority="1" operator="equal" dxfId="2">
      <formula>"No"</formula>
    </cfRule>
  </conditionalFormatting>
  <conditionalFormatting sqref="AA4:AA103">
    <cfRule type="cellIs" priority="2" operator="equal" dxfId="0">
      <formula>1</formula>
    </cfRule>
  </conditionalFormatting>
  <conditionalFormatting sqref="AB4:AB103">
    <cfRule type="expression" priority="3" dxfId="1">
      <formula>LEN(AB4)&gt;0</formula>
    </cfRule>
  </conditionalFormatting>
  <conditionalFormatting sqref="AC4:AC103">
    <cfRule type="expression" priority="4" dxfId="1">
      <formula>LEN(AC4)&gt;0</formula>
    </cfRule>
  </conditionalFormatting>
  <conditionalFormatting sqref="D4:D103">
    <cfRule type="cellIs" priority="5" operator="equal" dxfId="2">
      <formula>"No"</formula>
    </cfRule>
  </conditionalFormatting>
  <conditionalFormatting sqref="E4:E103">
    <cfRule type="cellIs" priority="6" operator="equal" dxfId="2">
      <formula>"No"</formula>
    </cfRule>
  </conditionalFormatting>
  <conditionalFormatting sqref="F4:F103">
    <cfRule type="cellIs" priority="7" operator="equal" dxfId="2">
      <formula>"No"</formula>
    </cfRule>
  </conditionalFormatting>
  <conditionalFormatting sqref="G4:G103">
    <cfRule type="cellIs" priority="8" operator="equal" dxfId="2">
      <formula>"No"</formula>
    </cfRule>
  </conditionalFormatting>
  <conditionalFormatting sqref="H4:H103">
    <cfRule type="cellIs" priority="9" operator="equal" dxfId="2">
      <formula>"No"</formula>
    </cfRule>
  </conditionalFormatting>
  <dataValidations count="11">
    <dataValidation sqref="A4:A103" showDropDown="0" showInputMessage="0" showErrorMessage="0" allowBlank="1" error="Pick a value from the list." type="list" errorStyle="warning">
      <formula1>='Packages'!$B$4:$B$33</formula1>
    </dataValidation>
    <dataValidation sqref="D4:D103" showDropDown="0" showInputMessage="0" showErrorMessage="0" allowBlank="1" error="Pick a value from the list." type="list" errorStyle="warning">
      <formula1>=Lists!$B$2:$B$3</formula1>
    </dataValidation>
    <dataValidation sqref="E4:E103" showDropDown="0" showInputMessage="0" showErrorMessage="0" allowBlank="1" error="Pick a value from the list." type="list" errorStyle="warning">
      <formula1>=Lists!$B$2:$B$3</formula1>
    </dataValidation>
    <dataValidation sqref="F4:F103" showDropDown="0" showInputMessage="0" showErrorMessage="0" allowBlank="1" error="Pick a value from the list." type="list" errorStyle="warning">
      <formula1>=Lists!$B$2:$B$3</formula1>
    </dataValidation>
    <dataValidation sqref="G4:G103" showDropDown="0" showInputMessage="0" showErrorMessage="0" allowBlank="1" error="Pick a value from the list." type="list" errorStyle="warning">
      <formula1>=Lists!$B$2:$B$3</formula1>
    </dataValidation>
    <dataValidation sqref="H4:H103" showDropDown="0" showInputMessage="0" showErrorMessage="0" allowBlank="1" error="Pick a value from the list." type="list" errorStyle="warning">
      <formula1>=Lists!$B$2:$B$3</formula1>
    </dataValidation>
    <dataValidation sqref="O4:O103" showDropDown="0" showInputMessage="0" showErrorMessage="0" allowBlank="1" error="Score from 0 to 10." type="whole" errorStyle="warning" operator="between">
      <formula1>0</formula1>
      <formula2>10</formula2>
    </dataValidation>
    <dataValidation sqref="P4:P103" showDropDown="0" showInputMessage="0" showErrorMessage="0" allowBlank="1" error="Score from 0 to 10." type="whole" errorStyle="warning" operator="between">
      <formula1>0</formula1>
      <formula2>10</formula2>
    </dataValidation>
    <dataValidation sqref="Q4:Q103" showDropDown="0" showInputMessage="0" showErrorMessage="0" allowBlank="1" error="Score from 0 to 10." type="whole" errorStyle="warning" operator="between">
      <formula1>0</formula1>
      <formula2>10</formula2>
    </dataValidation>
    <dataValidation sqref="R4:R103" showDropDown="0" showInputMessage="0" showErrorMessage="0" allowBlank="1" error="Score from 0 to 10." type="whole" errorStyle="warning" operator="between">
      <formula1>0</formula1>
      <formula2>10</formula2>
    </dataValidation>
    <dataValidation sqref="S4:S103" showDropDown="0" showInputMessage="0" showErrorMessage="0" allowBlank="1" error="Score from 0 to 10." type="whole" errorStyle="warning" operator="between">
      <formula1>0</formula1>
      <formula2>10</formula2>
    </dataValidation>
  </dataValidation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T33"/>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6" customWidth="1" min="1" max="1"/>
    <col width="26" customWidth="1" min="2" max="2"/>
    <col width="36" customWidth="1" min="3" max="3"/>
    <col width="20" customWidth="1" min="4" max="4"/>
    <col width="22" customWidth="1" min="5" max="5"/>
    <col width="28" customWidth="1" min="6" max="6"/>
    <col width="9" customWidth="1" min="7" max="7"/>
    <col width="12" customWidth="1" min="8" max="8"/>
    <col width="13" customWidth="1" min="9" max="9"/>
    <col width="13" customWidth="1" min="10" max="10"/>
    <col width="13" customWidth="1" min="11" max="11"/>
    <col width="12" customWidth="1" min="12" max="12"/>
    <col width="13" customWidth="1" min="13" max="13"/>
    <col width="14" customWidth="1" min="14" max="14"/>
    <col width="14" customWidth="1" min="15" max="15"/>
    <col width="12" customWidth="1" min="16" max="16"/>
    <col width="24" customWidth="1" min="17" max="17"/>
    <col width="36" customWidth="1" min="18" max="18"/>
    <col width="8" customWidth="1" min="19" max="19"/>
    <col width="30" customWidth="1" min="20" max="20"/>
  </cols>
  <sheetData>
    <row r="1" ht="24" customHeight="1">
      <c r="A1" s="1" t="inlineStr">
        <is>
          <t>Trade packages &amp; cost control</t>
        </is>
      </c>
    </row>
    <row r="2">
      <c r="A2" s="2" t="inlineStr">
        <is>
          <t>Budget, committed (signed contracts + approved variations), paid and forecast for each package. Other tabs find a package by its two-digit No., so you can rename it safely. Type your own forecast in Forecast override if you have one.</t>
        </is>
      </c>
    </row>
    <row r="3" ht="32" customHeight="1">
      <c r="A3" s="20" t="inlineStr">
        <is>
          <t>No.</t>
        </is>
      </c>
      <c r="B3" s="20" t="inlineStr">
        <is>
          <t>Package</t>
        </is>
      </c>
      <c r="C3" s="20" t="inlineStr">
        <is>
          <t>Scope</t>
        </is>
      </c>
      <c r="D3" s="20" t="inlineStr">
        <is>
          <t>Usual basis</t>
        </is>
      </c>
      <c r="E3" s="20" t="inlineStr">
        <is>
          <t>Licence / registration</t>
        </is>
      </c>
      <c r="F3" s="20" t="inlineStr">
        <is>
          <t>Paperwork to collect</t>
        </is>
      </c>
      <c r="G3" s="20" t="inlineStr">
        <is>
          <t>On site from</t>
        </is>
      </c>
      <c r="H3" s="20" t="inlineStr">
        <is>
          <t>Budget ($)</t>
        </is>
      </c>
      <c r="I3" s="21" t="inlineStr">
        <is>
          <t>Contracted ($)</t>
        </is>
      </c>
      <c r="J3" s="21" t="inlineStr">
        <is>
          <t>Approved variations ($)</t>
        </is>
      </c>
      <c r="K3" s="21" t="inlineStr">
        <is>
          <t>Committed ($)</t>
        </is>
      </c>
      <c r="L3" s="21" t="inlineStr">
        <is>
          <t>Paid ($)</t>
        </is>
      </c>
      <c r="M3" s="20" t="inlineStr">
        <is>
          <t>Forecast override ($)</t>
        </is>
      </c>
      <c r="N3" s="21" t="inlineStr">
        <is>
          <t>Forecast final ($)</t>
        </is>
      </c>
      <c r="O3" s="21" t="inlineStr">
        <is>
          <t>Under / (over) budget ($)</t>
        </is>
      </c>
      <c r="P3" s="21" t="inlineStr">
        <is>
          <t>Flag</t>
        </is>
      </c>
      <c r="Q3" s="21" t="inlineStr">
        <is>
          <t>Check</t>
        </is>
      </c>
      <c r="R3" s="21" t="inlineStr">
        <is>
          <t>Drive folder</t>
        </is>
      </c>
      <c r="S3" s="21" t="inlineStr">
        <is>
          <t>Folder</t>
        </is>
      </c>
      <c r="T3" s="20" t="inlineStr">
        <is>
          <t>Notes</t>
        </is>
      </c>
    </row>
    <row r="4">
      <c r="A4" s="35" t="inlineStr">
        <is>
          <t>01</t>
        </is>
      </c>
      <c r="B4" s="22" t="inlineStr">
        <is>
          <t>01 Surveyor</t>
        </is>
      </c>
      <c r="C4" s="23" t="inlineStr">
        <is>
          <t>Surveyor: set-out &amp; re-establishment</t>
        </is>
      </c>
      <c r="D4" s="23" t="inlineStr">
        <is>
          <t>Lump sum</t>
        </is>
      </c>
      <c r="E4" s="23" t="inlineStr">
        <is>
          <t>Licensed land surveyor</t>
        </is>
      </c>
      <c r="F4" s="23" t="inlineStr">
        <is>
          <t>Set-out certificate</t>
        </is>
      </c>
      <c r="G4" s="22" t="inlineStr">
        <is>
          <t>G4</t>
        </is>
      </c>
      <c r="H4" s="33" t="n"/>
      <c r="I4" s="9">
        <f>IF(OR($B4="",$A4=""),"",SUMIFS('Trades'!$T$4:$T$103,'Trades'!$A$4:$A$103,$A4&amp;" *",'Trades'!$S$4:$S$103,"Yes"))</f>
        <v/>
      </c>
      <c r="J4" s="9">
        <f>IF(OR($B4="",$A4=""),"",SUMIFS('Variations'!$G$4:$G$153,'Variations'!$C$4:$C$153,$A4&amp;" *",'Variations'!$I$4:$I$153,"Approved"))</f>
        <v/>
      </c>
      <c r="K4" s="9">
        <f>IF(B4="","",N(I4)+N(J4))</f>
        <v/>
      </c>
      <c r="L4" s="9">
        <f>IF(OR($B4="",$A4=""),"",SUMIFS('Payments'!$F$4:$F$303,'Payments'!$B$4:$B$303,$A4&amp;" *",'Payments'!$K$4:$K$303,"Yes"))</f>
        <v/>
      </c>
      <c r="M4" s="33" t="n"/>
      <c r="N4" s="9">
        <f>IF(B4="","",IF(ISNUMBER(M4),M4,IF(N(K4)&gt;0,K4,N(H4))))</f>
        <v/>
      </c>
      <c r="O4" s="10">
        <f>IF(OR(B4="",N(H4)=0),"",H4-N4)</f>
        <v/>
      </c>
      <c r="P4" s="7">
        <f>IF(OR(B4="",N(H4)=0),"",IF(N4&gt;H4*(1+Settings!$B$13),"Over budget",""))</f>
        <v/>
      </c>
      <c r="Q4" s="7">
        <f>IF(B4="","",TRIM(IF(OR(A4="",LEFT(B4,LEN(A4)+1)&lt;&gt;A4&amp;" "),"Start the name with its No. and a space, e.g. 21 Pool. ","")&amp;IF(AND(A4&lt;&gt;"",COUNTIF(A$4:A$33,A4)&gt;1),"Duplicate No. ","")))</f>
        <v/>
      </c>
      <c r="R4" s="7">
        <f>IF(B4="","",IFERROR(INDEX('Google Drive Map'!$B$4:$B$33,MATCH("04/"&amp;LEFT(B4,2),'Google Drive Map'!$A$4:$A$33,0)),"04 Trades &amp; Tenders/"&amp;B4))</f>
        <v/>
      </c>
      <c r="S4" s="7">
        <f>IF(R4="","",IF(IFERROR(INDEX('Google Drive Map'!$G$4:$G$33,MATCH(R4,'Google Drive Map'!$B$4:$B$33,0))&amp;"","")="","",HYPERLINK(INDEX('Google Drive Map'!$G$4:$G$33,MATCH(R4,'Google Drive Map'!$B$4:$B$33,0)),"Open")))</f>
        <v/>
      </c>
      <c r="T4" s="23" t="n"/>
    </row>
    <row r="5">
      <c r="A5" s="35" t="inlineStr">
        <is>
          <t>02</t>
        </is>
      </c>
      <c r="B5" s="22" t="inlineStr">
        <is>
          <t>02 Demolition &amp; earthworks</t>
        </is>
      </c>
      <c r="C5" s="23" t="inlineStr">
        <is>
          <t>Demolition / earthworks / excavation</t>
        </is>
      </c>
      <c r="D5" s="23" t="inlineStr">
        <is>
          <t>Lump sum or hourly rates</t>
        </is>
      </c>
      <c r="E5" s="23" t="inlineStr">
        <is>
          <t>Registered demolisher (if demolishing)</t>
        </is>
      </c>
      <c r="F5" s="23" t="inlineStr">
        <is>
          <t>SWMS, tip dockets, asbestos clearance</t>
        </is>
      </c>
      <c r="G5" s="22" t="inlineStr">
        <is>
          <t>G4</t>
        </is>
      </c>
      <c r="H5" s="33" t="n"/>
      <c r="I5" s="9">
        <f>IF(OR($B5="",$A5=""),"",SUMIFS('Trades'!$T$4:$T$103,'Trades'!$A$4:$A$103,$A5&amp;" *",'Trades'!$S$4:$S$103,"Yes"))</f>
        <v/>
      </c>
      <c r="J5" s="9">
        <f>IF(OR($B5="",$A5=""),"",SUMIFS('Variations'!$G$4:$G$153,'Variations'!$C$4:$C$153,$A5&amp;" *",'Variations'!$I$4:$I$153,"Approved"))</f>
        <v/>
      </c>
      <c r="K5" s="9">
        <f>IF(B5="","",N(I5)+N(J5))</f>
        <v/>
      </c>
      <c r="L5" s="9">
        <f>IF(OR($B5="",$A5=""),"",SUMIFS('Payments'!$F$4:$F$303,'Payments'!$B$4:$B$303,$A5&amp;" *",'Payments'!$K$4:$K$303,"Yes"))</f>
        <v/>
      </c>
      <c r="M5" s="33" t="n"/>
      <c r="N5" s="9">
        <f>IF(B5="","",IF(ISNUMBER(M5),M5,IF(N(K5)&gt;0,K5,N(H5))))</f>
        <v/>
      </c>
      <c r="O5" s="10">
        <f>IF(OR(B5="",N(H5)=0),"",H5-N5)</f>
        <v/>
      </c>
      <c r="P5" s="7">
        <f>IF(OR(B5="",N(H5)=0),"",IF(N5&gt;H5*(1+Settings!$B$13),"Over budget",""))</f>
        <v/>
      </c>
      <c r="Q5" s="7">
        <f>IF(B5="","",TRIM(IF(OR(A5="",LEFT(B5,LEN(A5)+1)&lt;&gt;A5&amp;" "),"Start the name with its No. and a space, e.g. 21 Pool. ","")&amp;IF(AND(A5&lt;&gt;"",COUNTIF(A$4:A$33,A5)&gt;1),"Duplicate No. ","")))</f>
        <v/>
      </c>
      <c r="R5" s="7">
        <f>IF(B5="","",IFERROR(INDEX('Google Drive Map'!$B$4:$B$33,MATCH("04/"&amp;LEFT(B5,2),'Google Drive Map'!$A$4:$A$33,0)),"04 Trades &amp; Tenders/"&amp;B5))</f>
        <v/>
      </c>
      <c r="S5" s="7">
        <f>IF(R5="","",IF(IFERROR(INDEX('Google Drive Map'!$G$4:$G$33,MATCH(R5,'Google Drive Map'!$B$4:$B$33,0))&amp;"","")="","",HYPERLINK(INDEX('Google Drive Map'!$G$4:$G$33,MATCH(R5,'Google Drive Map'!$B$4:$B$33,0)),"Open")))</f>
        <v/>
      </c>
      <c r="T5" s="23" t="n"/>
    </row>
    <row r="6">
      <c r="A6" s="35" t="inlineStr">
        <is>
          <t>03</t>
        </is>
      </c>
      <c r="B6" s="22" t="inlineStr">
        <is>
          <t>03 Plumbing &amp; drainage</t>
        </is>
      </c>
      <c r="C6" s="23" t="inlineStr">
        <is>
          <t>Plumber: drainage, stormwater, sewer</t>
        </is>
      </c>
      <c r="D6" s="23" t="inlineStr">
        <is>
          <t>Lump sum per stage</t>
        </is>
      </c>
      <c r="E6" s="23" t="inlineStr">
        <is>
          <t>BPC licensed plumber</t>
        </is>
      </c>
      <c r="F6" s="23" t="inlineStr">
        <is>
          <t>Plumbing compliance certificate (PCC)</t>
        </is>
      </c>
      <c r="G6" s="22" t="inlineStr">
        <is>
          <t>G4</t>
        </is>
      </c>
      <c r="H6" s="33" t="n"/>
      <c r="I6" s="9">
        <f>IF(OR($B6="",$A6=""),"",SUMIFS('Trades'!$T$4:$T$103,'Trades'!$A$4:$A$103,$A6&amp;" *",'Trades'!$S$4:$S$103,"Yes"))</f>
        <v/>
      </c>
      <c r="J6" s="9">
        <f>IF(OR($B6="",$A6=""),"",SUMIFS('Variations'!$G$4:$G$153,'Variations'!$C$4:$C$153,$A6&amp;" *",'Variations'!$I$4:$I$153,"Approved"))</f>
        <v/>
      </c>
      <c r="K6" s="9">
        <f>IF(B6="","",N(I6)+N(J6))</f>
        <v/>
      </c>
      <c r="L6" s="9">
        <f>IF(OR($B6="",$A6=""),"",SUMIFS('Payments'!$F$4:$F$303,'Payments'!$B$4:$B$303,$A6&amp;" *",'Payments'!$K$4:$K$303,"Yes"))</f>
        <v/>
      </c>
      <c r="M6" s="33" t="n"/>
      <c r="N6" s="9">
        <f>IF(B6="","",IF(ISNUMBER(M6),M6,IF(N(K6)&gt;0,K6,N(H6))))</f>
        <v/>
      </c>
      <c r="O6" s="10">
        <f>IF(OR(B6="",N(H6)=0),"",H6-N6)</f>
        <v/>
      </c>
      <c r="P6" s="7">
        <f>IF(OR(B6="",N(H6)=0),"",IF(N6&gt;H6*(1+Settings!$B$13),"Over budget",""))</f>
        <v/>
      </c>
      <c r="Q6" s="7">
        <f>IF(B6="","",TRIM(IF(OR(A6="",LEFT(B6,LEN(A6)+1)&lt;&gt;A6&amp;" "),"Start the name with its No. and a space, e.g. 21 Pool. ","")&amp;IF(AND(A6&lt;&gt;"",COUNTIF(A$4:A$33,A6)&gt;1),"Duplicate No. ","")))</f>
        <v/>
      </c>
      <c r="R6" s="7">
        <f>IF(B6="","",IFERROR(INDEX('Google Drive Map'!$B$4:$B$33,MATCH("04/"&amp;LEFT(B6,2),'Google Drive Map'!$A$4:$A$33,0)),"04 Trades &amp; Tenders/"&amp;B6))</f>
        <v/>
      </c>
      <c r="S6" s="7">
        <f>IF(R6="","",IF(IFERROR(INDEX('Google Drive Map'!$G$4:$G$33,MATCH(R6,'Google Drive Map'!$B$4:$B$33,0))&amp;"","")="","",HYPERLINK(INDEX('Google Drive Map'!$G$4:$G$33,MATCH(R6,'Google Drive Map'!$B$4:$B$33,0)),"Open")))</f>
        <v/>
      </c>
      <c r="T6" s="23" t="n"/>
    </row>
    <row r="7">
      <c r="A7" s="35" t="inlineStr">
        <is>
          <t>04</t>
        </is>
      </c>
      <c r="B7" s="22" t="inlineStr">
        <is>
          <t>04 Concreter</t>
        </is>
      </c>
      <c r="C7" s="23" t="inlineStr">
        <is>
          <t>Concreter: footings &amp; slab</t>
        </is>
      </c>
      <c r="D7" s="23" t="inlineStr">
        <is>
          <t>Lump sum (m² + extras)</t>
        </is>
      </c>
      <c r="E7" s="23" t="inlineStr">
        <is>
          <t>Registered if over $10k*</t>
        </is>
      </c>
      <c r="F7" s="23" t="inlineStr">
        <is>
          <t>Engineer pour approval, pre-pour inspection</t>
        </is>
      </c>
      <c r="G7" s="22" t="inlineStr">
        <is>
          <t>G4</t>
        </is>
      </c>
      <c r="H7" s="33" t="n"/>
      <c r="I7" s="9">
        <f>IF(OR($B7="",$A7=""),"",SUMIFS('Trades'!$T$4:$T$103,'Trades'!$A$4:$A$103,$A7&amp;" *",'Trades'!$S$4:$S$103,"Yes"))</f>
        <v/>
      </c>
      <c r="J7" s="9">
        <f>IF(OR($B7="",$A7=""),"",SUMIFS('Variations'!$G$4:$G$153,'Variations'!$C$4:$C$153,$A7&amp;" *",'Variations'!$I$4:$I$153,"Approved"))</f>
        <v/>
      </c>
      <c r="K7" s="9">
        <f>IF(B7="","",N(I7)+N(J7))</f>
        <v/>
      </c>
      <c r="L7" s="9">
        <f>IF(OR($B7="",$A7=""),"",SUMIFS('Payments'!$F$4:$F$303,'Payments'!$B$4:$B$303,$A7&amp;" *",'Payments'!$K$4:$K$303,"Yes"))</f>
        <v/>
      </c>
      <c r="M7" s="33" t="n"/>
      <c r="N7" s="9">
        <f>IF(B7="","",IF(ISNUMBER(M7),M7,IF(N(K7)&gt;0,K7,N(H7))))</f>
        <v/>
      </c>
      <c r="O7" s="10">
        <f>IF(OR(B7="",N(H7)=0),"",H7-N7)</f>
        <v/>
      </c>
      <c r="P7" s="7">
        <f>IF(OR(B7="",N(H7)=0),"",IF(N7&gt;H7*(1+Settings!$B$13),"Over budget",""))</f>
        <v/>
      </c>
      <c r="Q7" s="7">
        <f>IF(B7="","",TRIM(IF(OR(A7="",LEFT(B7,LEN(A7)+1)&lt;&gt;A7&amp;" "),"Start the name with its No. and a space, e.g. 21 Pool. ","")&amp;IF(AND(A7&lt;&gt;"",COUNTIF(A$4:A$33,A7)&gt;1),"Duplicate No. ","")))</f>
        <v/>
      </c>
      <c r="R7" s="7">
        <f>IF(B7="","",IFERROR(INDEX('Google Drive Map'!$B$4:$B$33,MATCH("04/"&amp;LEFT(B7,2),'Google Drive Map'!$A$4:$A$33,0)),"04 Trades &amp; Tenders/"&amp;B7))</f>
        <v/>
      </c>
      <c r="S7" s="7">
        <f>IF(R7="","",IF(IFERROR(INDEX('Google Drive Map'!$G$4:$G$33,MATCH(R7,'Google Drive Map'!$B$4:$B$33,0))&amp;"","")="","",HYPERLINK(INDEX('Google Drive Map'!$G$4:$G$33,MATCH(R7,'Google Drive Map'!$B$4:$B$33,0)),"Open")))</f>
        <v/>
      </c>
      <c r="T7" s="23" t="n"/>
    </row>
    <row r="8">
      <c r="A8" s="35" t="inlineStr">
        <is>
          <t>05</t>
        </is>
      </c>
      <c r="B8" s="22" t="inlineStr">
        <is>
          <t>05 Termite management</t>
        </is>
      </c>
      <c r="C8" s="23" t="inlineStr">
        <is>
          <t>Termite management</t>
        </is>
      </c>
      <c r="D8" s="23" t="inlineStr">
        <is>
          <t>Supply &amp; install</t>
        </is>
      </c>
      <c r="E8" s="23" t="inlineStr">
        <is>
          <t>Licensed pest controller</t>
        </is>
      </c>
      <c r="F8" s="23" t="inlineStr">
        <is>
          <t>AS 3660.1 certificate, durable notice</t>
        </is>
      </c>
      <c r="G8" s="22" t="inlineStr">
        <is>
          <t>G4</t>
        </is>
      </c>
      <c r="H8" s="33" t="n"/>
      <c r="I8" s="9">
        <f>IF(OR($B8="",$A8=""),"",SUMIFS('Trades'!$T$4:$T$103,'Trades'!$A$4:$A$103,$A8&amp;" *",'Trades'!$S$4:$S$103,"Yes"))</f>
        <v/>
      </c>
      <c r="J8" s="9">
        <f>IF(OR($B8="",$A8=""),"",SUMIFS('Variations'!$G$4:$G$153,'Variations'!$C$4:$C$153,$A8&amp;" *",'Variations'!$I$4:$I$153,"Approved"))</f>
        <v/>
      </c>
      <c r="K8" s="9">
        <f>IF(B8="","",N(I8)+N(J8))</f>
        <v/>
      </c>
      <c r="L8" s="9">
        <f>IF(OR($B8="",$A8=""),"",SUMIFS('Payments'!$F$4:$F$303,'Payments'!$B$4:$B$303,$A8&amp;" *",'Payments'!$K$4:$K$303,"Yes"))</f>
        <v/>
      </c>
      <c r="M8" s="33" t="n"/>
      <c r="N8" s="9">
        <f>IF(B8="","",IF(ISNUMBER(M8),M8,IF(N(K8)&gt;0,K8,N(H8))))</f>
        <v/>
      </c>
      <c r="O8" s="10">
        <f>IF(OR(B8="",N(H8)=0),"",H8-N8)</f>
        <v/>
      </c>
      <c r="P8" s="7">
        <f>IF(OR(B8="",N(H8)=0),"",IF(N8&gt;H8*(1+Settings!$B$13),"Over budget",""))</f>
        <v/>
      </c>
      <c r="Q8" s="7">
        <f>IF(B8="","",TRIM(IF(OR(A8="",LEFT(B8,LEN(A8)+1)&lt;&gt;A8&amp;" "),"Start the name with its No. and a space, e.g. 21 Pool. ","")&amp;IF(AND(A8&lt;&gt;"",COUNTIF(A$4:A$33,A8)&gt;1),"Duplicate No. ","")))</f>
        <v/>
      </c>
      <c r="R8" s="7">
        <f>IF(B8="","",IFERROR(INDEX('Google Drive Map'!$B$4:$B$33,MATCH("04/"&amp;LEFT(B8,2),'Google Drive Map'!$A$4:$A$33,0)),"04 Trades &amp; Tenders/"&amp;B8))</f>
        <v/>
      </c>
      <c r="S8" s="7">
        <f>IF(R8="","",IF(IFERROR(INDEX('Google Drive Map'!$G$4:$G$33,MATCH(R8,'Google Drive Map'!$B$4:$B$33,0))&amp;"","")="","",HYPERLINK(INDEX('Google Drive Map'!$G$4:$G$33,MATCH(R8,'Google Drive Map'!$B$4:$B$33,0)),"Open")))</f>
        <v/>
      </c>
      <c r="T8" s="23" t="n"/>
    </row>
    <row r="9">
      <c r="A9" s="35" t="inlineStr">
        <is>
          <t>06</t>
        </is>
      </c>
      <c r="B9" s="22" t="inlineStr">
        <is>
          <t>06 Frame &amp; truss supply</t>
        </is>
      </c>
      <c r="C9" s="23" t="inlineStr">
        <is>
          <t>Frame &amp; truss supply</t>
        </is>
      </c>
      <c r="D9" s="23" t="inlineStr">
        <is>
          <t>Supply only</t>
        </is>
      </c>
      <c r="E9" s="23" t="inlineStr">
        <is>
          <t>n/a (supplier)</t>
        </is>
      </c>
      <c r="F9" s="23" t="inlineStr">
        <is>
          <t>Truss &amp; frame design certificates</t>
        </is>
      </c>
      <c r="G9" s="22" t="inlineStr">
        <is>
          <t>G5</t>
        </is>
      </c>
      <c r="H9" s="33" t="n"/>
      <c r="I9" s="9">
        <f>IF(OR($B9="",$A9=""),"",SUMIFS('Trades'!$T$4:$T$103,'Trades'!$A$4:$A$103,$A9&amp;" *",'Trades'!$S$4:$S$103,"Yes"))</f>
        <v/>
      </c>
      <c r="J9" s="9">
        <f>IF(OR($B9="",$A9=""),"",SUMIFS('Variations'!$G$4:$G$153,'Variations'!$C$4:$C$153,$A9&amp;" *",'Variations'!$I$4:$I$153,"Approved"))</f>
        <v/>
      </c>
      <c r="K9" s="9">
        <f>IF(B9="","",N(I9)+N(J9))</f>
        <v/>
      </c>
      <c r="L9" s="9">
        <f>IF(OR($B9="",$A9=""),"",SUMIFS('Payments'!$F$4:$F$303,'Payments'!$B$4:$B$303,$A9&amp;" *",'Payments'!$K$4:$K$303,"Yes"))</f>
        <v/>
      </c>
      <c r="M9" s="33" t="n"/>
      <c r="N9" s="9">
        <f>IF(B9="","",IF(ISNUMBER(M9),M9,IF(N(K9)&gt;0,K9,N(H9))))</f>
        <v/>
      </c>
      <c r="O9" s="10">
        <f>IF(OR(B9="",N(H9)=0),"",H9-N9)</f>
        <v/>
      </c>
      <c r="P9" s="7">
        <f>IF(OR(B9="",N(H9)=0),"",IF(N9&gt;H9*(1+Settings!$B$13),"Over budget",""))</f>
        <v/>
      </c>
      <c r="Q9" s="7">
        <f>IF(B9="","",TRIM(IF(OR(A9="",LEFT(B9,LEN(A9)+1)&lt;&gt;A9&amp;" "),"Start the name with its No. and a space, e.g. 21 Pool. ","")&amp;IF(AND(A9&lt;&gt;"",COUNTIF(A$4:A$33,A9)&gt;1),"Duplicate No. ","")))</f>
        <v/>
      </c>
      <c r="R9" s="7">
        <f>IF(B9="","",IFERROR(INDEX('Google Drive Map'!$B$4:$B$33,MATCH("04/"&amp;LEFT(B9,2),'Google Drive Map'!$A$4:$A$33,0)),"04 Trades &amp; Tenders/"&amp;B9))</f>
        <v/>
      </c>
      <c r="S9" s="7">
        <f>IF(R9="","",IF(IFERROR(INDEX('Google Drive Map'!$G$4:$G$33,MATCH(R9,'Google Drive Map'!$B$4:$B$33,0))&amp;"","")="","",HYPERLINK(INDEX('Google Drive Map'!$G$4:$G$33,MATCH(R9,'Google Drive Map'!$B$4:$B$33,0)),"Open")))</f>
        <v/>
      </c>
      <c r="T9" s="23" t="n"/>
    </row>
    <row r="10">
      <c r="A10" s="35" t="inlineStr">
        <is>
          <t>07</t>
        </is>
      </c>
      <c r="B10" s="22" t="inlineStr">
        <is>
          <t>07 Carpenter (frame)</t>
        </is>
      </c>
      <c r="C10" s="23" t="inlineStr">
        <is>
          <t>Carpenter: frame, fascia, eaves</t>
        </is>
      </c>
      <c r="D10" s="23" t="inlineStr">
        <is>
          <t>Labour only or lump sum</t>
        </is>
      </c>
      <c r="E10" s="23" t="inlineStr">
        <is>
          <t>Registered if over $10k*</t>
        </is>
      </c>
      <c r="F10" s="23" t="inlineStr">
        <is>
          <t>Frame inspection pass</t>
        </is>
      </c>
      <c r="G10" s="22" t="inlineStr">
        <is>
          <t>G5</t>
        </is>
      </c>
      <c r="H10" s="33" t="n"/>
      <c r="I10" s="9">
        <f>IF(OR($B10="",$A10=""),"",SUMIFS('Trades'!$T$4:$T$103,'Trades'!$A$4:$A$103,$A10&amp;" *",'Trades'!$S$4:$S$103,"Yes"))</f>
        <v/>
      </c>
      <c r="J10" s="9">
        <f>IF(OR($B10="",$A10=""),"",SUMIFS('Variations'!$G$4:$G$153,'Variations'!$C$4:$C$153,$A10&amp;" *",'Variations'!$I$4:$I$153,"Approved"))</f>
        <v/>
      </c>
      <c r="K10" s="9">
        <f>IF(B10="","",N(I10)+N(J10))</f>
        <v/>
      </c>
      <c r="L10" s="9">
        <f>IF(OR($B10="",$A10=""),"",SUMIFS('Payments'!$F$4:$F$303,'Payments'!$B$4:$B$303,$A10&amp;" *",'Payments'!$K$4:$K$303,"Yes"))</f>
        <v/>
      </c>
      <c r="M10" s="33" t="n"/>
      <c r="N10" s="9">
        <f>IF(B10="","",IF(ISNUMBER(M10),M10,IF(N(K10)&gt;0,K10,N(H10))))</f>
        <v/>
      </c>
      <c r="O10" s="10">
        <f>IF(OR(B10="",N(H10)=0),"",H10-N10)</f>
        <v/>
      </c>
      <c r="P10" s="7">
        <f>IF(OR(B10="",N(H10)=0),"",IF(N10&gt;H10*(1+Settings!$B$13),"Over budget",""))</f>
        <v/>
      </c>
      <c r="Q10" s="7">
        <f>IF(B10="","",TRIM(IF(OR(A10="",LEFT(B10,LEN(A10)+1)&lt;&gt;A10&amp;" "),"Start the name with its No. and a space, e.g. 21 Pool. ","")&amp;IF(AND(A10&lt;&gt;"",COUNTIF(A$4:A$33,A10)&gt;1),"Duplicate No. ","")))</f>
        <v/>
      </c>
      <c r="R10" s="7">
        <f>IF(B10="","",IFERROR(INDEX('Google Drive Map'!$B$4:$B$33,MATCH("04/"&amp;LEFT(B10,2),'Google Drive Map'!$A$4:$A$33,0)),"04 Trades &amp; Tenders/"&amp;B10))</f>
        <v/>
      </c>
      <c r="S10" s="7">
        <f>IF(R10="","",IF(IFERROR(INDEX('Google Drive Map'!$G$4:$G$33,MATCH(R10,'Google Drive Map'!$B$4:$B$33,0))&amp;"","")="","",HYPERLINK(INDEX('Google Drive Map'!$G$4:$G$33,MATCH(R10,'Google Drive Map'!$B$4:$B$33,0)),"Open")))</f>
        <v/>
      </c>
      <c r="T10" s="23" t="n"/>
    </row>
    <row r="11">
      <c r="A11" s="35" t="inlineStr">
        <is>
          <t>08</t>
        </is>
      </c>
      <c r="B11" s="22" t="inlineStr">
        <is>
          <t>08 Roofing</t>
        </is>
      </c>
      <c r="C11" s="23" t="inlineStr">
        <is>
          <t>Roofer &amp; plumber: roof, gutters, downpipes</t>
        </is>
      </c>
      <c r="D11" s="23" t="inlineStr">
        <is>
          <t>Supply &amp; install</t>
        </is>
      </c>
      <c r="E11" s="23" t="inlineStr">
        <is>
          <t>Roof plumbing licence</t>
        </is>
      </c>
      <c r="F11" s="23" t="inlineStr">
        <is>
          <t>PCC (roofing)</t>
        </is>
      </c>
      <c r="G11" s="22" t="inlineStr">
        <is>
          <t>G5</t>
        </is>
      </c>
      <c r="H11" s="33" t="n"/>
      <c r="I11" s="9">
        <f>IF(OR($B11="",$A11=""),"",SUMIFS('Trades'!$T$4:$T$103,'Trades'!$A$4:$A$103,$A11&amp;" *",'Trades'!$S$4:$S$103,"Yes"))</f>
        <v/>
      </c>
      <c r="J11" s="9">
        <f>IF(OR($B11="",$A11=""),"",SUMIFS('Variations'!$G$4:$G$153,'Variations'!$C$4:$C$153,$A11&amp;" *",'Variations'!$I$4:$I$153,"Approved"))</f>
        <v/>
      </c>
      <c r="K11" s="9">
        <f>IF(B11="","",N(I11)+N(J11))</f>
        <v/>
      </c>
      <c r="L11" s="9">
        <f>IF(OR($B11="",$A11=""),"",SUMIFS('Payments'!$F$4:$F$303,'Payments'!$B$4:$B$303,$A11&amp;" *",'Payments'!$K$4:$K$303,"Yes"))</f>
        <v/>
      </c>
      <c r="M11" s="33" t="n"/>
      <c r="N11" s="9">
        <f>IF(B11="","",IF(ISNUMBER(M11),M11,IF(N(K11)&gt;0,K11,N(H11))))</f>
        <v/>
      </c>
      <c r="O11" s="10">
        <f>IF(OR(B11="",N(H11)=0),"",H11-N11)</f>
        <v/>
      </c>
      <c r="P11" s="7">
        <f>IF(OR(B11="",N(H11)=0),"",IF(N11&gt;H11*(1+Settings!$B$13),"Over budget",""))</f>
        <v/>
      </c>
      <c r="Q11" s="7">
        <f>IF(B11="","",TRIM(IF(OR(A11="",LEFT(B11,LEN(A11)+1)&lt;&gt;A11&amp;" "),"Start the name with its No. and a space, e.g. 21 Pool. ","")&amp;IF(AND(A11&lt;&gt;"",COUNTIF(A$4:A$33,A11)&gt;1),"Duplicate No. ","")))</f>
        <v/>
      </c>
      <c r="R11" s="7">
        <f>IF(B11="","",IFERROR(INDEX('Google Drive Map'!$B$4:$B$33,MATCH("04/"&amp;LEFT(B11,2),'Google Drive Map'!$A$4:$A$33,0)),"04 Trades &amp; Tenders/"&amp;B11))</f>
        <v/>
      </c>
      <c r="S11" s="7">
        <f>IF(R11="","",IF(IFERROR(INDEX('Google Drive Map'!$G$4:$G$33,MATCH(R11,'Google Drive Map'!$B$4:$B$33,0))&amp;"","")="","",HYPERLINK(INDEX('Google Drive Map'!$G$4:$G$33,MATCH(R11,'Google Drive Map'!$B$4:$B$33,0)),"Open")))</f>
        <v/>
      </c>
      <c r="T11" s="23" t="n"/>
    </row>
    <row r="12">
      <c r="A12" s="35" t="inlineStr">
        <is>
          <t>09</t>
        </is>
      </c>
      <c r="B12" s="22" t="inlineStr">
        <is>
          <t>09 Windows &amp; external doors</t>
        </is>
      </c>
      <c r="C12" s="23" t="inlineStr">
        <is>
          <t>Windows &amp; external doors</t>
        </is>
      </c>
      <c r="D12" s="23" t="inlineStr">
        <is>
          <t>Supply (&amp; install)</t>
        </is>
      </c>
      <c r="E12" s="23" t="inlineStr">
        <is>
          <t>n/a / glazier</t>
        </is>
      </c>
      <c r="F12" s="23" t="inlineStr">
        <is>
          <t>AS 2047 / 1288 glazing certificate, energy labels</t>
        </is>
      </c>
      <c r="G12" s="22" t="inlineStr">
        <is>
          <t>G5</t>
        </is>
      </c>
      <c r="H12" s="33" t="n"/>
      <c r="I12" s="9">
        <f>IF(OR($B12="",$A12=""),"",SUMIFS('Trades'!$T$4:$T$103,'Trades'!$A$4:$A$103,$A12&amp;" *",'Trades'!$S$4:$S$103,"Yes"))</f>
        <v/>
      </c>
      <c r="J12" s="9">
        <f>IF(OR($B12="",$A12=""),"",SUMIFS('Variations'!$G$4:$G$153,'Variations'!$C$4:$C$153,$A12&amp;" *",'Variations'!$I$4:$I$153,"Approved"))</f>
        <v/>
      </c>
      <c r="K12" s="9">
        <f>IF(B12="","",N(I12)+N(J12))</f>
        <v/>
      </c>
      <c r="L12" s="9">
        <f>IF(OR($B12="",$A12=""),"",SUMIFS('Payments'!$F$4:$F$303,'Payments'!$B$4:$B$303,$A12&amp;" *",'Payments'!$K$4:$K$303,"Yes"))</f>
        <v/>
      </c>
      <c r="M12" s="33" t="n"/>
      <c r="N12" s="9">
        <f>IF(B12="","",IF(ISNUMBER(M12),M12,IF(N(K12)&gt;0,K12,N(H12))))</f>
        <v/>
      </c>
      <c r="O12" s="10">
        <f>IF(OR(B12="",N(H12)=0),"",H12-N12)</f>
        <v/>
      </c>
      <c r="P12" s="7">
        <f>IF(OR(B12="",N(H12)=0),"",IF(N12&gt;H12*(1+Settings!$B$13),"Over budget",""))</f>
        <v/>
      </c>
      <c r="Q12" s="7">
        <f>IF(B12="","",TRIM(IF(OR(A12="",LEFT(B12,LEN(A12)+1)&lt;&gt;A12&amp;" "),"Start the name with its No. and a space, e.g. 21 Pool. ","")&amp;IF(AND(A12&lt;&gt;"",COUNTIF(A$4:A$33,A12)&gt;1),"Duplicate No. ","")))</f>
        <v/>
      </c>
      <c r="R12" s="7">
        <f>IF(B12="","",IFERROR(INDEX('Google Drive Map'!$B$4:$B$33,MATCH("04/"&amp;LEFT(B12,2),'Google Drive Map'!$A$4:$A$33,0)),"04 Trades &amp; Tenders/"&amp;B12))</f>
        <v/>
      </c>
      <c r="S12" s="7">
        <f>IF(R12="","",IF(IFERROR(INDEX('Google Drive Map'!$G$4:$G$33,MATCH(R12,'Google Drive Map'!$B$4:$B$33,0))&amp;"","")="","",HYPERLINK(INDEX('Google Drive Map'!$G$4:$G$33,MATCH(R12,'Google Drive Map'!$B$4:$B$33,0)),"Open")))</f>
        <v/>
      </c>
      <c r="T12" s="23" t="n"/>
    </row>
    <row r="13">
      <c r="A13" s="35" t="inlineStr">
        <is>
          <t>10</t>
        </is>
      </c>
      <c r="B13" s="22" t="inlineStr">
        <is>
          <t>10 Bricklayer &amp; cladding</t>
        </is>
      </c>
      <c r="C13" s="23" t="inlineStr">
        <is>
          <t>Bricklayer / cladding</t>
        </is>
      </c>
      <c r="D13" s="23" t="inlineStr">
        <is>
          <t>Rate per 1,000 bricks or m²</t>
        </is>
      </c>
      <c r="E13" s="23" t="inlineStr">
        <is>
          <t>Registered if over $10k*</t>
        </is>
      </c>
      <c r="F13" s="23" t="inlineStr">
        <is>
          <t>Wall-tie &amp; flashing photos</t>
        </is>
      </c>
      <c r="G13" s="22" t="inlineStr">
        <is>
          <t>G5</t>
        </is>
      </c>
      <c r="H13" s="33" t="n"/>
      <c r="I13" s="9">
        <f>IF(OR($B13="",$A13=""),"",SUMIFS('Trades'!$T$4:$T$103,'Trades'!$A$4:$A$103,$A13&amp;" *",'Trades'!$S$4:$S$103,"Yes"))</f>
        <v/>
      </c>
      <c r="J13" s="9">
        <f>IF(OR($B13="",$A13=""),"",SUMIFS('Variations'!$G$4:$G$153,'Variations'!$C$4:$C$153,$A13&amp;" *",'Variations'!$I$4:$I$153,"Approved"))</f>
        <v/>
      </c>
      <c r="K13" s="9">
        <f>IF(B13="","",N(I13)+N(J13))</f>
        <v/>
      </c>
      <c r="L13" s="9">
        <f>IF(OR($B13="",$A13=""),"",SUMIFS('Payments'!$F$4:$F$303,'Payments'!$B$4:$B$303,$A13&amp;" *",'Payments'!$K$4:$K$303,"Yes"))</f>
        <v/>
      </c>
      <c r="M13" s="33" t="n"/>
      <c r="N13" s="9">
        <f>IF(B13="","",IF(ISNUMBER(M13),M13,IF(N(K13)&gt;0,K13,N(H13))))</f>
        <v/>
      </c>
      <c r="O13" s="10">
        <f>IF(OR(B13="",N(H13)=0),"",H13-N13)</f>
        <v/>
      </c>
      <c r="P13" s="7">
        <f>IF(OR(B13="",N(H13)=0),"",IF(N13&gt;H13*(1+Settings!$B$13),"Over budget",""))</f>
        <v/>
      </c>
      <c r="Q13" s="7">
        <f>IF(B13="","",TRIM(IF(OR(A13="",LEFT(B13,LEN(A13)+1)&lt;&gt;A13&amp;" "),"Start the name with its No. and a space, e.g. 21 Pool. ","")&amp;IF(AND(A13&lt;&gt;"",COUNTIF(A$4:A$33,A13)&gt;1),"Duplicate No. ","")))</f>
        <v/>
      </c>
      <c r="R13" s="7">
        <f>IF(B13="","",IFERROR(INDEX('Google Drive Map'!$B$4:$B$33,MATCH("04/"&amp;LEFT(B13,2),'Google Drive Map'!$A$4:$A$33,0)),"04 Trades &amp; Tenders/"&amp;B13))</f>
        <v/>
      </c>
      <c r="S13" s="7">
        <f>IF(R13="","",IF(IFERROR(INDEX('Google Drive Map'!$G$4:$G$33,MATCH(R13,'Google Drive Map'!$B$4:$B$33,0))&amp;"","")="","",HYPERLINK(INDEX('Google Drive Map'!$G$4:$G$33,MATCH(R13,'Google Drive Map'!$B$4:$B$33,0)),"Open")))</f>
        <v/>
      </c>
      <c r="T13" s="23" t="n"/>
    </row>
    <row r="14">
      <c r="A14" s="35" t="inlineStr">
        <is>
          <t>11</t>
        </is>
      </c>
      <c r="B14" s="22" t="inlineStr">
        <is>
          <t>11 Electrician</t>
        </is>
      </c>
      <c r="C14" s="23" t="inlineStr">
        <is>
          <t>Electrician: rough-in &amp; fit-off</t>
        </is>
      </c>
      <c r="D14" s="23" t="inlineStr">
        <is>
          <t>Lump sum + points schedule</t>
        </is>
      </c>
      <c r="E14" s="23" t="inlineStr">
        <is>
          <t>ESV licensed electrician</t>
        </is>
      </c>
      <c r="F14" s="23" t="inlineStr">
        <is>
          <t>Certificate of Electrical Safety</t>
        </is>
      </c>
      <c r="G14" s="22" t="inlineStr">
        <is>
          <t>G5</t>
        </is>
      </c>
      <c r="H14" s="33" t="n"/>
      <c r="I14" s="9">
        <f>IF(OR($B14="",$A14=""),"",SUMIFS('Trades'!$T$4:$T$103,'Trades'!$A$4:$A$103,$A14&amp;" *",'Trades'!$S$4:$S$103,"Yes"))</f>
        <v/>
      </c>
      <c r="J14" s="9">
        <f>IF(OR($B14="",$A14=""),"",SUMIFS('Variations'!$G$4:$G$153,'Variations'!$C$4:$C$153,$A14&amp;" *",'Variations'!$I$4:$I$153,"Approved"))</f>
        <v/>
      </c>
      <c r="K14" s="9">
        <f>IF(B14="","",N(I14)+N(J14))</f>
        <v/>
      </c>
      <c r="L14" s="9">
        <f>IF(OR($B14="",$A14=""),"",SUMIFS('Payments'!$F$4:$F$303,'Payments'!$B$4:$B$303,$A14&amp;" *",'Payments'!$K$4:$K$303,"Yes"))</f>
        <v/>
      </c>
      <c r="M14" s="33" t="n"/>
      <c r="N14" s="9">
        <f>IF(B14="","",IF(ISNUMBER(M14),M14,IF(N(K14)&gt;0,K14,N(H14))))</f>
        <v/>
      </c>
      <c r="O14" s="10">
        <f>IF(OR(B14="",N(H14)=0),"",H14-N14)</f>
        <v/>
      </c>
      <c r="P14" s="7">
        <f>IF(OR(B14="",N(H14)=0),"",IF(N14&gt;H14*(1+Settings!$B$13),"Over budget",""))</f>
        <v/>
      </c>
      <c r="Q14" s="7">
        <f>IF(B14="","",TRIM(IF(OR(A14="",LEFT(B14,LEN(A14)+1)&lt;&gt;A14&amp;" "),"Start the name with its No. and a space, e.g. 21 Pool. ","")&amp;IF(AND(A14&lt;&gt;"",COUNTIF(A$4:A$33,A14)&gt;1),"Duplicate No. ","")))</f>
        <v/>
      </c>
      <c r="R14" s="7">
        <f>IF(B14="","",IFERROR(INDEX('Google Drive Map'!$B$4:$B$33,MATCH("04/"&amp;LEFT(B14,2),'Google Drive Map'!$A$4:$A$33,0)),"04 Trades &amp; Tenders/"&amp;B14))</f>
        <v/>
      </c>
      <c r="S14" s="7">
        <f>IF(R14="","",IF(IFERROR(INDEX('Google Drive Map'!$G$4:$G$33,MATCH(R14,'Google Drive Map'!$B$4:$B$33,0))&amp;"","")="","",HYPERLINK(INDEX('Google Drive Map'!$G$4:$G$33,MATCH(R14,'Google Drive Map'!$B$4:$B$33,0)),"Open")))</f>
        <v/>
      </c>
      <c r="T14" s="23" t="n"/>
    </row>
    <row r="15">
      <c r="A15" s="35" t="inlineStr">
        <is>
          <t>12</t>
        </is>
      </c>
      <c r="B15" s="22" t="inlineStr">
        <is>
          <t>12 Insulation</t>
        </is>
      </c>
      <c r="C15" s="23" t="inlineStr">
        <is>
          <t>Insulation</t>
        </is>
      </c>
      <c r="D15" s="23" t="inlineStr">
        <is>
          <t>Supply &amp; install</t>
        </is>
      </c>
      <c r="E15" s="23" t="inlineStr">
        <is>
          <t>n/a</t>
        </is>
      </c>
      <c r="F15" s="23" t="inlineStr">
        <is>
          <t>Insulation certificate (R-values per energy report)</t>
        </is>
      </c>
      <c r="G15" s="22" t="inlineStr">
        <is>
          <t>G5</t>
        </is>
      </c>
      <c r="H15" s="33" t="n"/>
      <c r="I15" s="9">
        <f>IF(OR($B15="",$A15=""),"",SUMIFS('Trades'!$T$4:$T$103,'Trades'!$A$4:$A$103,$A15&amp;" *",'Trades'!$S$4:$S$103,"Yes"))</f>
        <v/>
      </c>
      <c r="J15" s="9">
        <f>IF(OR($B15="",$A15=""),"",SUMIFS('Variations'!$G$4:$G$153,'Variations'!$C$4:$C$153,$A15&amp;" *",'Variations'!$I$4:$I$153,"Approved"))</f>
        <v/>
      </c>
      <c r="K15" s="9">
        <f>IF(B15="","",N(I15)+N(J15))</f>
        <v/>
      </c>
      <c r="L15" s="9">
        <f>IF(OR($B15="",$A15=""),"",SUMIFS('Payments'!$F$4:$F$303,'Payments'!$B$4:$B$303,$A15&amp;" *",'Payments'!$K$4:$K$303,"Yes"))</f>
        <v/>
      </c>
      <c r="M15" s="33" t="n"/>
      <c r="N15" s="9">
        <f>IF(B15="","",IF(ISNUMBER(M15),M15,IF(N(K15)&gt;0,K15,N(H15))))</f>
        <v/>
      </c>
      <c r="O15" s="10">
        <f>IF(OR(B15="",N(H15)=0),"",H15-N15)</f>
        <v/>
      </c>
      <c r="P15" s="7">
        <f>IF(OR(B15="",N(H15)=0),"",IF(N15&gt;H15*(1+Settings!$B$13),"Over budget",""))</f>
        <v/>
      </c>
      <c r="Q15" s="7">
        <f>IF(B15="","",TRIM(IF(OR(A15="",LEFT(B15,LEN(A15)+1)&lt;&gt;A15&amp;" "),"Start the name with its No. and a space, e.g. 21 Pool. ","")&amp;IF(AND(A15&lt;&gt;"",COUNTIF(A$4:A$33,A15)&gt;1),"Duplicate No. ","")))</f>
        <v/>
      </c>
      <c r="R15" s="7">
        <f>IF(B15="","",IFERROR(INDEX('Google Drive Map'!$B$4:$B$33,MATCH("04/"&amp;LEFT(B15,2),'Google Drive Map'!$A$4:$A$33,0)),"04 Trades &amp; Tenders/"&amp;B15))</f>
        <v/>
      </c>
      <c r="S15" s="7">
        <f>IF(R15="","",IF(IFERROR(INDEX('Google Drive Map'!$G$4:$G$33,MATCH(R15,'Google Drive Map'!$B$4:$B$33,0))&amp;"","")="","",HYPERLINK(INDEX('Google Drive Map'!$G$4:$G$33,MATCH(R15,'Google Drive Map'!$B$4:$B$33,0)),"Open")))</f>
        <v/>
      </c>
      <c r="T15" s="23" t="n"/>
    </row>
    <row r="16">
      <c r="A16" s="35" t="inlineStr">
        <is>
          <t>13</t>
        </is>
      </c>
      <c r="B16" s="22" t="inlineStr">
        <is>
          <t>13 Plasterer</t>
        </is>
      </c>
      <c r="C16" s="23" t="inlineStr">
        <is>
          <t>Plasterer</t>
        </is>
      </c>
      <c r="D16" s="23" t="inlineStr">
        <is>
          <t>Rate per m² / lump sum</t>
        </is>
      </c>
      <c r="E16" s="23" t="inlineStr">
        <is>
          <t>Registered if over $10k*</t>
        </is>
      </c>
      <c r="F16" s="23" t="inlineStr">
        <is>
          <t>Wet-area board spec</t>
        </is>
      </c>
      <c r="G16" s="22" t="inlineStr">
        <is>
          <t>G6</t>
        </is>
      </c>
      <c r="H16" s="33" t="n"/>
      <c r="I16" s="9">
        <f>IF(OR($B16="",$A16=""),"",SUMIFS('Trades'!$T$4:$T$103,'Trades'!$A$4:$A$103,$A16&amp;" *",'Trades'!$S$4:$S$103,"Yes"))</f>
        <v/>
      </c>
      <c r="J16" s="9">
        <f>IF(OR($B16="",$A16=""),"",SUMIFS('Variations'!$G$4:$G$153,'Variations'!$C$4:$C$153,$A16&amp;" *",'Variations'!$I$4:$I$153,"Approved"))</f>
        <v/>
      </c>
      <c r="K16" s="9">
        <f>IF(B16="","",N(I16)+N(J16))</f>
        <v/>
      </c>
      <c r="L16" s="9">
        <f>IF(OR($B16="",$A16=""),"",SUMIFS('Payments'!$F$4:$F$303,'Payments'!$B$4:$B$303,$A16&amp;" *",'Payments'!$K$4:$K$303,"Yes"))</f>
        <v/>
      </c>
      <c r="M16" s="33" t="n"/>
      <c r="N16" s="9">
        <f>IF(B16="","",IF(ISNUMBER(M16),M16,IF(N(K16)&gt;0,K16,N(H16))))</f>
        <v/>
      </c>
      <c r="O16" s="10">
        <f>IF(OR(B16="",N(H16)=0),"",H16-N16)</f>
        <v/>
      </c>
      <c r="P16" s="7">
        <f>IF(OR(B16="",N(H16)=0),"",IF(N16&gt;H16*(1+Settings!$B$13),"Over budget",""))</f>
        <v/>
      </c>
      <c r="Q16" s="7">
        <f>IF(B16="","",TRIM(IF(OR(A16="",LEFT(B16,LEN(A16)+1)&lt;&gt;A16&amp;" "),"Start the name with its No. and a space, e.g. 21 Pool. ","")&amp;IF(AND(A16&lt;&gt;"",COUNTIF(A$4:A$33,A16)&gt;1),"Duplicate No. ","")))</f>
        <v/>
      </c>
      <c r="R16" s="7">
        <f>IF(B16="","",IFERROR(INDEX('Google Drive Map'!$B$4:$B$33,MATCH("04/"&amp;LEFT(B16,2),'Google Drive Map'!$A$4:$A$33,0)),"04 Trades &amp; Tenders/"&amp;B16))</f>
        <v/>
      </c>
      <c r="S16" s="7">
        <f>IF(R16="","",IF(IFERROR(INDEX('Google Drive Map'!$G$4:$G$33,MATCH(R16,'Google Drive Map'!$B$4:$B$33,0))&amp;"","")="","",HYPERLINK(INDEX('Google Drive Map'!$G$4:$G$33,MATCH(R16,'Google Drive Map'!$B$4:$B$33,0)),"Open")))</f>
        <v/>
      </c>
      <c r="T16" s="23" t="n"/>
    </row>
    <row r="17">
      <c r="A17" s="35" t="inlineStr">
        <is>
          <t>14</t>
        </is>
      </c>
      <c r="B17" s="22" t="inlineStr">
        <is>
          <t>14 Waterproofer</t>
        </is>
      </c>
      <c r="C17" s="23" t="inlineStr">
        <is>
          <t>Waterproofer</t>
        </is>
      </c>
      <c r="D17" s="23" t="inlineStr">
        <is>
          <t>Lump sum per room</t>
        </is>
      </c>
      <c r="E17" s="23" t="inlineStr">
        <is>
          <t>Registered if over $10k*</t>
        </is>
      </c>
      <c r="F17" s="23" t="inlineStr">
        <is>
          <t>AS 3740 waterproofing certificate</t>
        </is>
      </c>
      <c r="G17" s="22" t="inlineStr">
        <is>
          <t>G6</t>
        </is>
      </c>
      <c r="H17" s="33" t="n"/>
      <c r="I17" s="9">
        <f>IF(OR($B17="",$A17=""),"",SUMIFS('Trades'!$T$4:$T$103,'Trades'!$A$4:$A$103,$A17&amp;" *",'Trades'!$S$4:$S$103,"Yes"))</f>
        <v/>
      </c>
      <c r="J17" s="9">
        <f>IF(OR($B17="",$A17=""),"",SUMIFS('Variations'!$G$4:$G$153,'Variations'!$C$4:$C$153,$A17&amp;" *",'Variations'!$I$4:$I$153,"Approved"))</f>
        <v/>
      </c>
      <c r="K17" s="9">
        <f>IF(B17="","",N(I17)+N(J17))</f>
        <v/>
      </c>
      <c r="L17" s="9">
        <f>IF(OR($B17="",$A17=""),"",SUMIFS('Payments'!$F$4:$F$303,'Payments'!$B$4:$B$303,$A17&amp;" *",'Payments'!$K$4:$K$303,"Yes"))</f>
        <v/>
      </c>
      <c r="M17" s="33" t="n"/>
      <c r="N17" s="9">
        <f>IF(B17="","",IF(ISNUMBER(M17),M17,IF(N(K17)&gt;0,K17,N(H17))))</f>
        <v/>
      </c>
      <c r="O17" s="10">
        <f>IF(OR(B17="",N(H17)=0),"",H17-N17)</f>
        <v/>
      </c>
      <c r="P17" s="7">
        <f>IF(OR(B17="",N(H17)=0),"",IF(N17&gt;H17*(1+Settings!$B$13),"Over budget",""))</f>
        <v/>
      </c>
      <c r="Q17" s="7">
        <f>IF(B17="","",TRIM(IF(OR(A17="",LEFT(B17,LEN(A17)+1)&lt;&gt;A17&amp;" "),"Start the name with its No. and a space, e.g. 21 Pool. ","")&amp;IF(AND(A17&lt;&gt;"",COUNTIF(A$4:A$33,A17)&gt;1),"Duplicate No. ","")))</f>
        <v/>
      </c>
      <c r="R17" s="7">
        <f>IF(B17="","",IFERROR(INDEX('Google Drive Map'!$B$4:$B$33,MATCH("04/"&amp;LEFT(B17,2),'Google Drive Map'!$A$4:$A$33,0)),"04 Trades &amp; Tenders/"&amp;B17))</f>
        <v/>
      </c>
      <c r="S17" s="7">
        <f>IF(R17="","",IF(IFERROR(INDEX('Google Drive Map'!$G$4:$G$33,MATCH(R17,'Google Drive Map'!$B$4:$B$33,0))&amp;"","")="","",HYPERLINK(INDEX('Google Drive Map'!$G$4:$G$33,MATCH(R17,'Google Drive Map'!$B$4:$B$33,0)),"Open")))</f>
        <v/>
      </c>
      <c r="T17" s="23" t="n"/>
    </row>
    <row r="18">
      <c r="A18" s="35" t="inlineStr">
        <is>
          <t>15</t>
        </is>
      </c>
      <c r="B18" s="22" t="inlineStr">
        <is>
          <t>15 Cabinetmaker</t>
        </is>
      </c>
      <c r="C18" s="23" t="inlineStr">
        <is>
          <t>Cabinetmaker: kitchen, vanities, robes</t>
        </is>
      </c>
      <c r="D18" s="23" t="inlineStr">
        <is>
          <t>Supply &amp; install</t>
        </is>
      </c>
      <c r="E18" s="23" t="inlineStr">
        <is>
          <t>Registered if over $10k*</t>
        </is>
      </c>
      <c r="F18" s="23" t="inlineStr">
        <is>
          <t>Shop drawings sign-off</t>
        </is>
      </c>
      <c r="G18" s="22" t="inlineStr">
        <is>
          <t>G6</t>
        </is>
      </c>
      <c r="H18" s="33" t="n"/>
      <c r="I18" s="9">
        <f>IF(OR($B18="",$A18=""),"",SUMIFS('Trades'!$T$4:$T$103,'Trades'!$A$4:$A$103,$A18&amp;" *",'Trades'!$S$4:$S$103,"Yes"))</f>
        <v/>
      </c>
      <c r="J18" s="9">
        <f>IF(OR($B18="",$A18=""),"",SUMIFS('Variations'!$G$4:$G$153,'Variations'!$C$4:$C$153,$A18&amp;" *",'Variations'!$I$4:$I$153,"Approved"))</f>
        <v/>
      </c>
      <c r="K18" s="9">
        <f>IF(B18="","",N(I18)+N(J18))</f>
        <v/>
      </c>
      <c r="L18" s="9">
        <f>IF(OR($B18="",$A18=""),"",SUMIFS('Payments'!$F$4:$F$303,'Payments'!$B$4:$B$303,$A18&amp;" *",'Payments'!$K$4:$K$303,"Yes"))</f>
        <v/>
      </c>
      <c r="M18" s="33" t="n"/>
      <c r="N18" s="9">
        <f>IF(B18="","",IF(ISNUMBER(M18),M18,IF(N(K18)&gt;0,K18,N(H18))))</f>
        <v/>
      </c>
      <c r="O18" s="10">
        <f>IF(OR(B18="",N(H18)=0),"",H18-N18)</f>
        <v/>
      </c>
      <c r="P18" s="7">
        <f>IF(OR(B18="",N(H18)=0),"",IF(N18&gt;H18*(1+Settings!$B$13),"Over budget",""))</f>
        <v/>
      </c>
      <c r="Q18" s="7">
        <f>IF(B18="","",TRIM(IF(OR(A18="",LEFT(B18,LEN(A18)+1)&lt;&gt;A18&amp;" "),"Start the name with its No. and a space, e.g. 21 Pool. ","")&amp;IF(AND(A18&lt;&gt;"",COUNTIF(A$4:A$33,A18)&gt;1),"Duplicate No. ","")))</f>
        <v/>
      </c>
      <c r="R18" s="7">
        <f>IF(B18="","",IFERROR(INDEX('Google Drive Map'!$B$4:$B$33,MATCH("04/"&amp;LEFT(B18,2),'Google Drive Map'!$A$4:$A$33,0)),"04 Trades &amp; Tenders/"&amp;B18))</f>
        <v/>
      </c>
      <c r="S18" s="7">
        <f>IF(R18="","",IF(IFERROR(INDEX('Google Drive Map'!$G$4:$G$33,MATCH(R18,'Google Drive Map'!$B$4:$B$33,0))&amp;"","")="","",HYPERLINK(INDEX('Google Drive Map'!$G$4:$G$33,MATCH(R18,'Google Drive Map'!$B$4:$B$33,0)),"Open")))</f>
        <v/>
      </c>
      <c r="T18" s="23" t="n"/>
    </row>
    <row r="19">
      <c r="A19" s="35" t="inlineStr">
        <is>
          <t>16</t>
        </is>
      </c>
      <c r="B19" s="22" t="inlineStr">
        <is>
          <t>16 Tiler</t>
        </is>
      </c>
      <c r="C19" s="23" t="inlineStr">
        <is>
          <t>Tiler</t>
        </is>
      </c>
      <c r="D19" s="23" t="inlineStr">
        <is>
          <t>Rate per m²</t>
        </is>
      </c>
      <c r="E19" s="23" t="inlineStr">
        <is>
          <t>Registered if over $10k*</t>
        </is>
      </c>
      <c r="F19" s="23" t="inlineStr">
        <is>
          <t>Tile &amp; grout codes</t>
        </is>
      </c>
      <c r="G19" s="22" t="inlineStr">
        <is>
          <t>G6</t>
        </is>
      </c>
      <c r="H19" s="33" t="n"/>
      <c r="I19" s="9">
        <f>IF(OR($B19="",$A19=""),"",SUMIFS('Trades'!$T$4:$T$103,'Trades'!$A$4:$A$103,$A19&amp;" *",'Trades'!$S$4:$S$103,"Yes"))</f>
        <v/>
      </c>
      <c r="J19" s="9">
        <f>IF(OR($B19="",$A19=""),"",SUMIFS('Variations'!$G$4:$G$153,'Variations'!$C$4:$C$153,$A19&amp;" *",'Variations'!$I$4:$I$153,"Approved"))</f>
        <v/>
      </c>
      <c r="K19" s="9">
        <f>IF(B19="","",N(I19)+N(J19))</f>
        <v/>
      </c>
      <c r="L19" s="9">
        <f>IF(OR($B19="",$A19=""),"",SUMIFS('Payments'!$F$4:$F$303,'Payments'!$B$4:$B$303,$A19&amp;" *",'Payments'!$K$4:$K$303,"Yes"))</f>
        <v/>
      </c>
      <c r="M19" s="33" t="n"/>
      <c r="N19" s="9">
        <f>IF(B19="","",IF(ISNUMBER(M19),M19,IF(N(K19)&gt;0,K19,N(H19))))</f>
        <v/>
      </c>
      <c r="O19" s="10">
        <f>IF(OR(B19="",N(H19)=0),"",H19-N19)</f>
        <v/>
      </c>
      <c r="P19" s="7">
        <f>IF(OR(B19="",N(H19)=0),"",IF(N19&gt;H19*(1+Settings!$B$13),"Over budget",""))</f>
        <v/>
      </c>
      <c r="Q19" s="7">
        <f>IF(B19="","",TRIM(IF(OR(A19="",LEFT(B19,LEN(A19)+1)&lt;&gt;A19&amp;" "),"Start the name with its No. and a space, e.g. 21 Pool. ","")&amp;IF(AND(A19&lt;&gt;"",COUNTIF(A$4:A$33,A19)&gt;1),"Duplicate No. ","")))</f>
        <v/>
      </c>
      <c r="R19" s="7">
        <f>IF(B19="","",IFERROR(INDEX('Google Drive Map'!$B$4:$B$33,MATCH("04/"&amp;LEFT(B19,2),'Google Drive Map'!$A$4:$A$33,0)),"04 Trades &amp; Tenders/"&amp;B19))</f>
        <v/>
      </c>
      <c r="S19" s="7">
        <f>IF(R19="","",IF(IFERROR(INDEX('Google Drive Map'!$G$4:$G$33,MATCH(R19,'Google Drive Map'!$B$4:$B$33,0))&amp;"","")="","",HYPERLINK(INDEX('Google Drive Map'!$G$4:$G$33,MATCH(R19,'Google Drive Map'!$B$4:$B$33,0)),"Open")))</f>
        <v/>
      </c>
      <c r="T19" s="23" t="n"/>
    </row>
    <row r="20">
      <c r="A20" s="35" t="inlineStr">
        <is>
          <t>17</t>
        </is>
      </c>
      <c r="B20" s="22" t="inlineStr">
        <is>
          <t>17 Fixing carpenter</t>
        </is>
      </c>
      <c r="C20" s="23" t="inlineStr">
        <is>
          <t>Fixing carpenter</t>
        </is>
      </c>
      <c r="D20" s="23" t="inlineStr">
        <is>
          <t>Labour only</t>
        </is>
      </c>
      <c r="E20" s="23" t="inlineStr">
        <is>
          <t>Registered if over $10k*</t>
        </is>
      </c>
      <c r="F20" s="23" t="inlineStr">
        <is>
          <t>n/a</t>
        </is>
      </c>
      <c r="G20" s="22" t="inlineStr">
        <is>
          <t>G6</t>
        </is>
      </c>
      <c r="H20" s="33" t="n"/>
      <c r="I20" s="9">
        <f>IF(OR($B20="",$A20=""),"",SUMIFS('Trades'!$T$4:$T$103,'Trades'!$A$4:$A$103,$A20&amp;" *",'Trades'!$S$4:$S$103,"Yes"))</f>
        <v/>
      </c>
      <c r="J20" s="9">
        <f>IF(OR($B20="",$A20=""),"",SUMIFS('Variations'!$G$4:$G$153,'Variations'!$C$4:$C$153,$A20&amp;" *",'Variations'!$I$4:$I$153,"Approved"))</f>
        <v/>
      </c>
      <c r="K20" s="9">
        <f>IF(B20="","",N(I20)+N(J20))</f>
        <v/>
      </c>
      <c r="L20" s="9">
        <f>IF(OR($B20="",$A20=""),"",SUMIFS('Payments'!$F$4:$F$303,'Payments'!$B$4:$B$303,$A20&amp;" *",'Payments'!$K$4:$K$303,"Yes"))</f>
        <v/>
      </c>
      <c r="M20" s="33" t="n"/>
      <c r="N20" s="9">
        <f>IF(B20="","",IF(ISNUMBER(M20),M20,IF(N(K20)&gt;0,K20,N(H20))))</f>
        <v/>
      </c>
      <c r="O20" s="10">
        <f>IF(OR(B20="",N(H20)=0),"",H20-N20)</f>
        <v/>
      </c>
      <c r="P20" s="7">
        <f>IF(OR(B20="",N(H20)=0),"",IF(N20&gt;H20*(1+Settings!$B$13),"Over budget",""))</f>
        <v/>
      </c>
      <c r="Q20" s="7">
        <f>IF(B20="","",TRIM(IF(OR(A20="",LEFT(B20,LEN(A20)+1)&lt;&gt;A20&amp;" "),"Start the name with its No. and a space, e.g. 21 Pool. ","")&amp;IF(AND(A20&lt;&gt;"",COUNTIF(A$4:A$33,A20)&gt;1),"Duplicate No. ","")))</f>
        <v/>
      </c>
      <c r="R20" s="7">
        <f>IF(B20="","",IFERROR(INDEX('Google Drive Map'!$B$4:$B$33,MATCH("04/"&amp;LEFT(B20,2),'Google Drive Map'!$A$4:$A$33,0)),"04 Trades &amp; Tenders/"&amp;B20))</f>
        <v/>
      </c>
      <c r="S20" s="7">
        <f>IF(R20="","",IF(IFERROR(INDEX('Google Drive Map'!$G$4:$G$33,MATCH(R20,'Google Drive Map'!$B$4:$B$33,0))&amp;"","")="","",HYPERLINK(INDEX('Google Drive Map'!$G$4:$G$33,MATCH(R20,'Google Drive Map'!$B$4:$B$33,0)),"Open")))</f>
        <v/>
      </c>
      <c r="T20" s="23" t="n"/>
    </row>
    <row r="21">
      <c r="A21" s="35" t="inlineStr">
        <is>
          <t>18</t>
        </is>
      </c>
      <c r="B21" s="22" t="inlineStr">
        <is>
          <t>18 Painter</t>
        </is>
      </c>
      <c r="C21" s="23" t="inlineStr">
        <is>
          <t>Painter</t>
        </is>
      </c>
      <c r="D21" s="23" t="inlineStr">
        <is>
          <t>Lump sum</t>
        </is>
      </c>
      <c r="E21" s="23" t="inlineStr">
        <is>
          <t>Registered if over $10k*</t>
        </is>
      </c>
      <c r="F21" s="23" t="inlineStr">
        <is>
          <t>Paint schedule &amp; colour codes</t>
        </is>
      </c>
      <c r="G21" s="22" t="inlineStr">
        <is>
          <t>G6</t>
        </is>
      </c>
      <c r="H21" s="33" t="n"/>
      <c r="I21" s="9">
        <f>IF(OR($B21="",$A21=""),"",SUMIFS('Trades'!$T$4:$T$103,'Trades'!$A$4:$A$103,$A21&amp;" *",'Trades'!$S$4:$S$103,"Yes"))</f>
        <v/>
      </c>
      <c r="J21" s="9">
        <f>IF(OR($B21="",$A21=""),"",SUMIFS('Variations'!$G$4:$G$153,'Variations'!$C$4:$C$153,$A21&amp;" *",'Variations'!$I$4:$I$153,"Approved"))</f>
        <v/>
      </c>
      <c r="K21" s="9">
        <f>IF(B21="","",N(I21)+N(J21))</f>
        <v/>
      </c>
      <c r="L21" s="9">
        <f>IF(OR($B21="",$A21=""),"",SUMIFS('Payments'!$F$4:$F$303,'Payments'!$B$4:$B$303,$A21&amp;" *",'Payments'!$K$4:$K$303,"Yes"))</f>
        <v/>
      </c>
      <c r="M21" s="33" t="n"/>
      <c r="N21" s="9">
        <f>IF(B21="","",IF(ISNUMBER(M21),M21,IF(N(K21)&gt;0,K21,N(H21))))</f>
        <v/>
      </c>
      <c r="O21" s="10">
        <f>IF(OR(B21="",N(H21)=0),"",H21-N21)</f>
        <v/>
      </c>
      <c r="P21" s="7">
        <f>IF(OR(B21="",N(H21)=0),"",IF(N21&gt;H21*(1+Settings!$B$13),"Over budget",""))</f>
        <v/>
      </c>
      <c r="Q21" s="7">
        <f>IF(B21="","",TRIM(IF(OR(A21="",LEFT(B21,LEN(A21)+1)&lt;&gt;A21&amp;" "),"Start the name with its No. and a space, e.g. 21 Pool. ","")&amp;IF(AND(A21&lt;&gt;"",COUNTIF(A$4:A$33,A21)&gt;1),"Duplicate No. ","")))</f>
        <v/>
      </c>
      <c r="R21" s="7">
        <f>IF(B21="","",IFERROR(INDEX('Google Drive Map'!$B$4:$B$33,MATCH("04/"&amp;LEFT(B21,2),'Google Drive Map'!$A$4:$A$33,0)),"04 Trades &amp; Tenders/"&amp;B21))</f>
        <v/>
      </c>
      <c r="S21" s="7">
        <f>IF(R21="","",IF(IFERROR(INDEX('Google Drive Map'!$G$4:$G$33,MATCH(R21,'Google Drive Map'!$B$4:$B$33,0))&amp;"","")="","",HYPERLINK(INDEX('Google Drive Map'!$G$4:$G$33,MATCH(R21,'Google Drive Map'!$B$4:$B$33,0)),"Open")))</f>
        <v/>
      </c>
      <c r="T21" s="23" t="n"/>
    </row>
    <row r="22">
      <c r="A22" s="35" t="inlineStr">
        <is>
          <t>19</t>
        </is>
      </c>
      <c r="B22" s="22" t="inlineStr">
        <is>
          <t>19 Heating &amp; cooling</t>
        </is>
      </c>
      <c r="C22" s="23" t="inlineStr">
        <is>
          <t>HVAC / heating &amp; cooling</t>
        </is>
      </c>
      <c r="D22" s="23" t="inlineStr">
        <is>
          <t>Supply &amp; install</t>
        </is>
      </c>
      <c r="E22" s="23" t="inlineStr">
        <is>
          <t>ARC refrigerant licence, electrician</t>
        </is>
      </c>
      <c r="F22" s="23" t="inlineStr">
        <is>
          <t>Commissioning sheet, warranty</t>
        </is>
      </c>
      <c r="G22" s="22" t="inlineStr">
        <is>
          <t>G6</t>
        </is>
      </c>
      <c r="H22" s="33" t="n"/>
      <c r="I22" s="9">
        <f>IF(OR($B22="",$A22=""),"",SUMIFS('Trades'!$T$4:$T$103,'Trades'!$A$4:$A$103,$A22&amp;" *",'Trades'!$S$4:$S$103,"Yes"))</f>
        <v/>
      </c>
      <c r="J22" s="9">
        <f>IF(OR($B22="",$A22=""),"",SUMIFS('Variations'!$G$4:$G$153,'Variations'!$C$4:$C$153,$A22&amp;" *",'Variations'!$I$4:$I$153,"Approved"))</f>
        <v/>
      </c>
      <c r="K22" s="9">
        <f>IF(B22="","",N(I22)+N(J22))</f>
        <v/>
      </c>
      <c r="L22" s="9">
        <f>IF(OR($B22="",$A22=""),"",SUMIFS('Payments'!$F$4:$F$303,'Payments'!$B$4:$B$303,$A22&amp;" *",'Payments'!$K$4:$K$303,"Yes"))</f>
        <v/>
      </c>
      <c r="M22" s="33" t="n"/>
      <c r="N22" s="9">
        <f>IF(B22="","",IF(ISNUMBER(M22),M22,IF(N(K22)&gt;0,K22,N(H22))))</f>
        <v/>
      </c>
      <c r="O22" s="10">
        <f>IF(OR(B22="",N(H22)=0),"",H22-N22)</f>
        <v/>
      </c>
      <c r="P22" s="7">
        <f>IF(OR(B22="",N(H22)=0),"",IF(N22&gt;H22*(1+Settings!$B$13),"Over budget",""))</f>
        <v/>
      </c>
      <c r="Q22" s="7">
        <f>IF(B22="","",TRIM(IF(OR(A22="",LEFT(B22,LEN(A22)+1)&lt;&gt;A22&amp;" "),"Start the name with its No. and a space, e.g. 21 Pool. ","")&amp;IF(AND(A22&lt;&gt;"",COUNTIF(A$4:A$33,A22)&gt;1),"Duplicate No. ","")))</f>
        <v/>
      </c>
      <c r="R22" s="7">
        <f>IF(B22="","",IFERROR(INDEX('Google Drive Map'!$B$4:$B$33,MATCH("04/"&amp;LEFT(B22,2),'Google Drive Map'!$A$4:$A$33,0)),"04 Trades &amp; Tenders/"&amp;B22))</f>
        <v/>
      </c>
      <c r="S22" s="7">
        <f>IF(R22="","",IF(IFERROR(INDEX('Google Drive Map'!$G$4:$G$33,MATCH(R22,'Google Drive Map'!$B$4:$B$33,0))&amp;"","")="","",HYPERLINK(INDEX('Google Drive Map'!$G$4:$G$33,MATCH(R22,'Google Drive Map'!$B$4:$B$33,0)),"Open")))</f>
        <v/>
      </c>
      <c r="T22" s="23" t="n"/>
    </row>
    <row r="23">
      <c r="A23" s="35" t="inlineStr">
        <is>
          <t>20</t>
        </is>
      </c>
      <c r="B23" s="22" t="inlineStr">
        <is>
          <t>20 Floor coverings &amp; landscaping</t>
        </is>
      </c>
      <c r="C23" s="23" t="inlineStr">
        <is>
          <t>Floor coverings, driveway, landscaping</t>
        </is>
      </c>
      <c r="D23" s="23" t="inlineStr">
        <is>
          <t>Supply &amp; install</t>
        </is>
      </c>
      <c r="E23" s="23" t="inlineStr">
        <is>
          <t>Varies</t>
        </is>
      </c>
      <c r="F23" s="23" t="inlineStr">
        <is>
          <t>Warranties</t>
        </is>
      </c>
      <c r="G23" s="22" t="inlineStr">
        <is>
          <t>G7</t>
        </is>
      </c>
      <c r="H23" s="33" t="n"/>
      <c r="I23" s="9">
        <f>IF(OR($B23="",$A23=""),"",SUMIFS('Trades'!$T$4:$T$103,'Trades'!$A$4:$A$103,$A23&amp;" *",'Trades'!$S$4:$S$103,"Yes"))</f>
        <v/>
      </c>
      <c r="J23" s="9">
        <f>IF(OR($B23="",$A23=""),"",SUMIFS('Variations'!$G$4:$G$153,'Variations'!$C$4:$C$153,$A23&amp;" *",'Variations'!$I$4:$I$153,"Approved"))</f>
        <v/>
      </c>
      <c r="K23" s="9">
        <f>IF(B23="","",N(I23)+N(J23))</f>
        <v/>
      </c>
      <c r="L23" s="9">
        <f>IF(OR($B23="",$A23=""),"",SUMIFS('Payments'!$F$4:$F$303,'Payments'!$B$4:$B$303,$A23&amp;" *",'Payments'!$K$4:$K$303,"Yes"))</f>
        <v/>
      </c>
      <c r="M23" s="33" t="n"/>
      <c r="N23" s="9">
        <f>IF(B23="","",IF(ISNUMBER(M23),M23,IF(N(K23)&gt;0,K23,N(H23))))</f>
        <v/>
      </c>
      <c r="O23" s="10">
        <f>IF(OR(B23="",N(H23)=0),"",H23-N23)</f>
        <v/>
      </c>
      <c r="P23" s="7">
        <f>IF(OR(B23="",N(H23)=0),"",IF(N23&gt;H23*(1+Settings!$B$13),"Over budget",""))</f>
        <v/>
      </c>
      <c r="Q23" s="7">
        <f>IF(B23="","",TRIM(IF(OR(A23="",LEFT(B23,LEN(A23)+1)&lt;&gt;A23&amp;" "),"Start the name with its No. and a space, e.g. 21 Pool. ","")&amp;IF(AND(A23&lt;&gt;"",COUNTIF(A$4:A$33,A23)&gt;1),"Duplicate No. ","")))</f>
        <v/>
      </c>
      <c r="R23" s="7">
        <f>IF(B23="","",IFERROR(INDEX('Google Drive Map'!$B$4:$B$33,MATCH("04/"&amp;LEFT(B23,2),'Google Drive Map'!$A$4:$A$33,0)),"04 Trades &amp; Tenders/"&amp;B23))</f>
        <v/>
      </c>
      <c r="S23" s="7">
        <f>IF(R23="","",IF(IFERROR(INDEX('Google Drive Map'!$G$4:$G$33,MATCH(R23,'Google Drive Map'!$B$4:$B$33,0))&amp;"","")="","",HYPERLINK(INDEX('Google Drive Map'!$G$4:$G$33,MATCH(R23,'Google Drive Map'!$B$4:$B$33,0)),"Open")))</f>
        <v/>
      </c>
      <c r="T23" s="23" t="n"/>
    </row>
    <row r="24">
      <c r="A24" s="35" t="n"/>
      <c r="B24" s="22" t="n"/>
      <c r="C24" s="23" t="n"/>
      <c r="D24" s="23" t="n"/>
      <c r="E24" s="23" t="n"/>
      <c r="F24" s="23" t="n"/>
      <c r="G24" s="22" t="n"/>
      <c r="H24" s="33" t="n"/>
      <c r="I24" s="9">
        <f>IF(OR($B24="",$A24=""),"",SUMIFS('Trades'!$T$4:$T$103,'Trades'!$A$4:$A$103,$A24&amp;" *",'Trades'!$S$4:$S$103,"Yes"))</f>
        <v/>
      </c>
      <c r="J24" s="9">
        <f>IF(OR($B24="",$A24=""),"",SUMIFS('Variations'!$G$4:$G$153,'Variations'!$C$4:$C$153,$A24&amp;" *",'Variations'!$I$4:$I$153,"Approved"))</f>
        <v/>
      </c>
      <c r="K24" s="9">
        <f>IF(B24="","",N(I24)+N(J24))</f>
        <v/>
      </c>
      <c r="L24" s="9">
        <f>IF(OR($B24="",$A24=""),"",SUMIFS('Payments'!$F$4:$F$303,'Payments'!$B$4:$B$303,$A24&amp;" *",'Payments'!$K$4:$K$303,"Yes"))</f>
        <v/>
      </c>
      <c r="M24" s="33" t="n"/>
      <c r="N24" s="9">
        <f>IF(B24="","",IF(ISNUMBER(M24),M24,IF(N(K24)&gt;0,K24,N(H24))))</f>
        <v/>
      </c>
      <c r="O24" s="10">
        <f>IF(OR(B24="",N(H24)=0),"",H24-N24)</f>
        <v/>
      </c>
      <c r="P24" s="7">
        <f>IF(OR(B24="",N(H24)=0),"",IF(N24&gt;H24*(1+Settings!$B$13),"Over budget",""))</f>
        <v/>
      </c>
      <c r="Q24" s="7">
        <f>IF(B24="","",TRIM(IF(OR(A24="",LEFT(B24,LEN(A24)+1)&lt;&gt;A24&amp;" "),"Start the name with its No. and a space, e.g. 21 Pool. ","")&amp;IF(AND(A24&lt;&gt;"",COUNTIF(A$4:A$33,A24)&gt;1),"Duplicate No. ","")))</f>
        <v/>
      </c>
      <c r="R24" s="7">
        <f>IF(B24="","",IFERROR(INDEX('Google Drive Map'!$B$4:$B$33,MATCH("04/"&amp;LEFT(B24,2),'Google Drive Map'!$A$4:$A$33,0)),"04 Trades &amp; Tenders/"&amp;B24))</f>
        <v/>
      </c>
      <c r="S24" s="7">
        <f>IF(R24="","",IF(IFERROR(INDEX('Google Drive Map'!$G$4:$G$33,MATCH(R24,'Google Drive Map'!$B$4:$B$33,0))&amp;"","")="","",HYPERLINK(INDEX('Google Drive Map'!$G$4:$G$33,MATCH(R24,'Google Drive Map'!$B$4:$B$33,0)),"Open")))</f>
        <v/>
      </c>
      <c r="T24" s="23" t="n"/>
    </row>
    <row r="25">
      <c r="A25" s="35" t="n"/>
      <c r="B25" s="22" t="n"/>
      <c r="C25" s="23" t="n"/>
      <c r="D25" s="23" t="n"/>
      <c r="E25" s="23" t="n"/>
      <c r="F25" s="23" t="n"/>
      <c r="G25" s="22" t="n"/>
      <c r="H25" s="33" t="n"/>
      <c r="I25" s="9">
        <f>IF(OR($B25="",$A25=""),"",SUMIFS('Trades'!$T$4:$T$103,'Trades'!$A$4:$A$103,$A25&amp;" *",'Trades'!$S$4:$S$103,"Yes"))</f>
        <v/>
      </c>
      <c r="J25" s="9">
        <f>IF(OR($B25="",$A25=""),"",SUMIFS('Variations'!$G$4:$G$153,'Variations'!$C$4:$C$153,$A25&amp;" *",'Variations'!$I$4:$I$153,"Approved"))</f>
        <v/>
      </c>
      <c r="K25" s="9">
        <f>IF(B25="","",N(I25)+N(J25))</f>
        <v/>
      </c>
      <c r="L25" s="9">
        <f>IF(OR($B25="",$A25=""),"",SUMIFS('Payments'!$F$4:$F$303,'Payments'!$B$4:$B$303,$A25&amp;" *",'Payments'!$K$4:$K$303,"Yes"))</f>
        <v/>
      </c>
      <c r="M25" s="33" t="n"/>
      <c r="N25" s="9">
        <f>IF(B25="","",IF(ISNUMBER(M25),M25,IF(N(K25)&gt;0,K25,N(H25))))</f>
        <v/>
      </c>
      <c r="O25" s="10">
        <f>IF(OR(B25="",N(H25)=0),"",H25-N25)</f>
        <v/>
      </c>
      <c r="P25" s="7">
        <f>IF(OR(B25="",N(H25)=0),"",IF(N25&gt;H25*(1+Settings!$B$13),"Over budget",""))</f>
        <v/>
      </c>
      <c r="Q25" s="7">
        <f>IF(B25="","",TRIM(IF(OR(A25="",LEFT(B25,LEN(A25)+1)&lt;&gt;A25&amp;" "),"Start the name with its No. and a space, e.g. 21 Pool. ","")&amp;IF(AND(A25&lt;&gt;"",COUNTIF(A$4:A$33,A25)&gt;1),"Duplicate No. ","")))</f>
        <v/>
      </c>
      <c r="R25" s="7">
        <f>IF(B25="","",IFERROR(INDEX('Google Drive Map'!$B$4:$B$33,MATCH("04/"&amp;LEFT(B25,2),'Google Drive Map'!$A$4:$A$33,0)),"04 Trades &amp; Tenders/"&amp;B25))</f>
        <v/>
      </c>
      <c r="S25" s="7">
        <f>IF(R25="","",IF(IFERROR(INDEX('Google Drive Map'!$G$4:$G$33,MATCH(R25,'Google Drive Map'!$B$4:$B$33,0))&amp;"","")="","",HYPERLINK(INDEX('Google Drive Map'!$G$4:$G$33,MATCH(R25,'Google Drive Map'!$B$4:$B$33,0)),"Open")))</f>
        <v/>
      </c>
      <c r="T25" s="23" t="n"/>
    </row>
    <row r="26">
      <c r="A26" s="35" t="n"/>
      <c r="B26" s="22" t="n"/>
      <c r="C26" s="23" t="n"/>
      <c r="D26" s="23" t="n"/>
      <c r="E26" s="23" t="n"/>
      <c r="F26" s="23" t="n"/>
      <c r="G26" s="22" t="n"/>
      <c r="H26" s="33" t="n"/>
      <c r="I26" s="9">
        <f>IF(OR($B26="",$A26=""),"",SUMIFS('Trades'!$T$4:$T$103,'Trades'!$A$4:$A$103,$A26&amp;" *",'Trades'!$S$4:$S$103,"Yes"))</f>
        <v/>
      </c>
      <c r="J26" s="9">
        <f>IF(OR($B26="",$A26=""),"",SUMIFS('Variations'!$G$4:$G$153,'Variations'!$C$4:$C$153,$A26&amp;" *",'Variations'!$I$4:$I$153,"Approved"))</f>
        <v/>
      </c>
      <c r="K26" s="9">
        <f>IF(B26="","",N(I26)+N(J26))</f>
        <v/>
      </c>
      <c r="L26" s="9">
        <f>IF(OR($B26="",$A26=""),"",SUMIFS('Payments'!$F$4:$F$303,'Payments'!$B$4:$B$303,$A26&amp;" *",'Payments'!$K$4:$K$303,"Yes"))</f>
        <v/>
      </c>
      <c r="M26" s="33" t="n"/>
      <c r="N26" s="9">
        <f>IF(B26="","",IF(ISNUMBER(M26),M26,IF(N(K26)&gt;0,K26,N(H26))))</f>
        <v/>
      </c>
      <c r="O26" s="10">
        <f>IF(OR(B26="",N(H26)=0),"",H26-N26)</f>
        <v/>
      </c>
      <c r="P26" s="7">
        <f>IF(OR(B26="",N(H26)=0),"",IF(N26&gt;H26*(1+Settings!$B$13),"Over budget",""))</f>
        <v/>
      </c>
      <c r="Q26" s="7">
        <f>IF(B26="","",TRIM(IF(OR(A26="",LEFT(B26,LEN(A26)+1)&lt;&gt;A26&amp;" "),"Start the name with its No. and a space, e.g. 21 Pool. ","")&amp;IF(AND(A26&lt;&gt;"",COUNTIF(A$4:A$33,A26)&gt;1),"Duplicate No. ","")))</f>
        <v/>
      </c>
      <c r="R26" s="7">
        <f>IF(B26="","",IFERROR(INDEX('Google Drive Map'!$B$4:$B$33,MATCH("04/"&amp;LEFT(B26,2),'Google Drive Map'!$A$4:$A$33,0)),"04 Trades &amp; Tenders/"&amp;B26))</f>
        <v/>
      </c>
      <c r="S26" s="7">
        <f>IF(R26="","",IF(IFERROR(INDEX('Google Drive Map'!$G$4:$G$33,MATCH(R26,'Google Drive Map'!$B$4:$B$33,0))&amp;"","")="","",HYPERLINK(INDEX('Google Drive Map'!$G$4:$G$33,MATCH(R26,'Google Drive Map'!$B$4:$B$33,0)),"Open")))</f>
        <v/>
      </c>
      <c r="T26" s="23" t="n"/>
    </row>
    <row r="27">
      <c r="A27" s="35" t="n"/>
      <c r="B27" s="22" t="n"/>
      <c r="C27" s="23" t="n"/>
      <c r="D27" s="23" t="n"/>
      <c r="E27" s="23" t="n"/>
      <c r="F27" s="23" t="n"/>
      <c r="G27" s="22" t="n"/>
      <c r="H27" s="33" t="n"/>
      <c r="I27" s="9">
        <f>IF(OR($B27="",$A27=""),"",SUMIFS('Trades'!$T$4:$T$103,'Trades'!$A$4:$A$103,$A27&amp;" *",'Trades'!$S$4:$S$103,"Yes"))</f>
        <v/>
      </c>
      <c r="J27" s="9">
        <f>IF(OR($B27="",$A27=""),"",SUMIFS('Variations'!$G$4:$G$153,'Variations'!$C$4:$C$153,$A27&amp;" *",'Variations'!$I$4:$I$153,"Approved"))</f>
        <v/>
      </c>
      <c r="K27" s="9">
        <f>IF(B27="","",N(I27)+N(J27))</f>
        <v/>
      </c>
      <c r="L27" s="9">
        <f>IF(OR($B27="",$A27=""),"",SUMIFS('Payments'!$F$4:$F$303,'Payments'!$B$4:$B$303,$A27&amp;" *",'Payments'!$K$4:$K$303,"Yes"))</f>
        <v/>
      </c>
      <c r="M27" s="33" t="n"/>
      <c r="N27" s="9">
        <f>IF(B27="","",IF(ISNUMBER(M27),M27,IF(N(K27)&gt;0,K27,N(H27))))</f>
        <v/>
      </c>
      <c r="O27" s="10">
        <f>IF(OR(B27="",N(H27)=0),"",H27-N27)</f>
        <v/>
      </c>
      <c r="P27" s="7">
        <f>IF(OR(B27="",N(H27)=0),"",IF(N27&gt;H27*(1+Settings!$B$13),"Over budget",""))</f>
        <v/>
      </c>
      <c r="Q27" s="7">
        <f>IF(B27="","",TRIM(IF(OR(A27="",LEFT(B27,LEN(A27)+1)&lt;&gt;A27&amp;" "),"Start the name with its No. and a space, e.g. 21 Pool. ","")&amp;IF(AND(A27&lt;&gt;"",COUNTIF(A$4:A$33,A27)&gt;1),"Duplicate No. ","")))</f>
        <v/>
      </c>
      <c r="R27" s="7">
        <f>IF(B27="","",IFERROR(INDEX('Google Drive Map'!$B$4:$B$33,MATCH("04/"&amp;LEFT(B27,2),'Google Drive Map'!$A$4:$A$33,0)),"04 Trades &amp; Tenders/"&amp;B27))</f>
        <v/>
      </c>
      <c r="S27" s="7">
        <f>IF(R27="","",IF(IFERROR(INDEX('Google Drive Map'!$G$4:$G$33,MATCH(R27,'Google Drive Map'!$B$4:$B$33,0))&amp;"","")="","",HYPERLINK(INDEX('Google Drive Map'!$G$4:$G$33,MATCH(R27,'Google Drive Map'!$B$4:$B$33,0)),"Open")))</f>
        <v/>
      </c>
      <c r="T27" s="23" t="n"/>
    </row>
    <row r="28">
      <c r="A28" s="35" t="n"/>
      <c r="B28" s="22" t="n"/>
      <c r="C28" s="23" t="n"/>
      <c r="D28" s="23" t="n"/>
      <c r="E28" s="23" t="n"/>
      <c r="F28" s="23" t="n"/>
      <c r="G28" s="22" t="n"/>
      <c r="H28" s="33" t="n"/>
      <c r="I28" s="9">
        <f>IF(OR($B28="",$A28=""),"",SUMIFS('Trades'!$T$4:$T$103,'Trades'!$A$4:$A$103,$A28&amp;" *",'Trades'!$S$4:$S$103,"Yes"))</f>
        <v/>
      </c>
      <c r="J28" s="9">
        <f>IF(OR($B28="",$A28=""),"",SUMIFS('Variations'!$G$4:$G$153,'Variations'!$C$4:$C$153,$A28&amp;" *",'Variations'!$I$4:$I$153,"Approved"))</f>
        <v/>
      </c>
      <c r="K28" s="9">
        <f>IF(B28="","",N(I28)+N(J28))</f>
        <v/>
      </c>
      <c r="L28" s="9">
        <f>IF(OR($B28="",$A28=""),"",SUMIFS('Payments'!$F$4:$F$303,'Payments'!$B$4:$B$303,$A28&amp;" *",'Payments'!$K$4:$K$303,"Yes"))</f>
        <v/>
      </c>
      <c r="M28" s="33" t="n"/>
      <c r="N28" s="9">
        <f>IF(B28="","",IF(ISNUMBER(M28),M28,IF(N(K28)&gt;0,K28,N(H28))))</f>
        <v/>
      </c>
      <c r="O28" s="10">
        <f>IF(OR(B28="",N(H28)=0),"",H28-N28)</f>
        <v/>
      </c>
      <c r="P28" s="7">
        <f>IF(OR(B28="",N(H28)=0),"",IF(N28&gt;H28*(1+Settings!$B$13),"Over budget",""))</f>
        <v/>
      </c>
      <c r="Q28" s="7">
        <f>IF(B28="","",TRIM(IF(OR(A28="",LEFT(B28,LEN(A28)+1)&lt;&gt;A28&amp;" "),"Start the name with its No. and a space, e.g. 21 Pool. ","")&amp;IF(AND(A28&lt;&gt;"",COUNTIF(A$4:A$33,A28)&gt;1),"Duplicate No. ","")))</f>
        <v/>
      </c>
      <c r="R28" s="7">
        <f>IF(B28="","",IFERROR(INDEX('Google Drive Map'!$B$4:$B$33,MATCH("04/"&amp;LEFT(B28,2),'Google Drive Map'!$A$4:$A$33,0)),"04 Trades &amp; Tenders/"&amp;B28))</f>
        <v/>
      </c>
      <c r="S28" s="7">
        <f>IF(R28="","",IF(IFERROR(INDEX('Google Drive Map'!$G$4:$G$33,MATCH(R28,'Google Drive Map'!$B$4:$B$33,0))&amp;"","")="","",HYPERLINK(INDEX('Google Drive Map'!$G$4:$G$33,MATCH(R28,'Google Drive Map'!$B$4:$B$33,0)),"Open")))</f>
        <v/>
      </c>
      <c r="T28" s="23" t="n"/>
    </row>
    <row r="29">
      <c r="A29" s="35" t="n"/>
      <c r="B29" s="22" t="n"/>
      <c r="C29" s="23" t="n"/>
      <c r="D29" s="23" t="n"/>
      <c r="E29" s="23" t="n"/>
      <c r="F29" s="23" t="n"/>
      <c r="G29" s="22" t="n"/>
      <c r="H29" s="33" t="n"/>
      <c r="I29" s="9">
        <f>IF(OR($B29="",$A29=""),"",SUMIFS('Trades'!$T$4:$T$103,'Trades'!$A$4:$A$103,$A29&amp;" *",'Trades'!$S$4:$S$103,"Yes"))</f>
        <v/>
      </c>
      <c r="J29" s="9">
        <f>IF(OR($B29="",$A29=""),"",SUMIFS('Variations'!$G$4:$G$153,'Variations'!$C$4:$C$153,$A29&amp;" *",'Variations'!$I$4:$I$153,"Approved"))</f>
        <v/>
      </c>
      <c r="K29" s="9">
        <f>IF(B29="","",N(I29)+N(J29))</f>
        <v/>
      </c>
      <c r="L29" s="9">
        <f>IF(OR($B29="",$A29=""),"",SUMIFS('Payments'!$F$4:$F$303,'Payments'!$B$4:$B$303,$A29&amp;" *",'Payments'!$K$4:$K$303,"Yes"))</f>
        <v/>
      </c>
      <c r="M29" s="33" t="n"/>
      <c r="N29" s="9">
        <f>IF(B29="","",IF(ISNUMBER(M29),M29,IF(N(K29)&gt;0,K29,N(H29))))</f>
        <v/>
      </c>
      <c r="O29" s="10">
        <f>IF(OR(B29="",N(H29)=0),"",H29-N29)</f>
        <v/>
      </c>
      <c r="P29" s="7">
        <f>IF(OR(B29="",N(H29)=0),"",IF(N29&gt;H29*(1+Settings!$B$13),"Over budget",""))</f>
        <v/>
      </c>
      <c r="Q29" s="7">
        <f>IF(B29="","",TRIM(IF(OR(A29="",LEFT(B29,LEN(A29)+1)&lt;&gt;A29&amp;" "),"Start the name with its No. and a space, e.g. 21 Pool. ","")&amp;IF(AND(A29&lt;&gt;"",COUNTIF(A$4:A$33,A29)&gt;1),"Duplicate No. ","")))</f>
        <v/>
      </c>
      <c r="R29" s="7">
        <f>IF(B29="","",IFERROR(INDEX('Google Drive Map'!$B$4:$B$33,MATCH("04/"&amp;LEFT(B29,2),'Google Drive Map'!$A$4:$A$33,0)),"04 Trades &amp; Tenders/"&amp;B29))</f>
        <v/>
      </c>
      <c r="S29" s="7">
        <f>IF(R29="","",IF(IFERROR(INDEX('Google Drive Map'!$G$4:$G$33,MATCH(R29,'Google Drive Map'!$B$4:$B$33,0))&amp;"","")="","",HYPERLINK(INDEX('Google Drive Map'!$G$4:$G$33,MATCH(R29,'Google Drive Map'!$B$4:$B$33,0)),"Open")))</f>
        <v/>
      </c>
      <c r="T29" s="23" t="n"/>
    </row>
    <row r="30">
      <c r="A30" s="35" t="n"/>
      <c r="B30" s="22" t="n"/>
      <c r="C30" s="23" t="n"/>
      <c r="D30" s="23" t="n"/>
      <c r="E30" s="23" t="n"/>
      <c r="F30" s="23" t="n"/>
      <c r="G30" s="22" t="n"/>
      <c r="H30" s="33" t="n"/>
      <c r="I30" s="9">
        <f>IF(OR($B30="",$A30=""),"",SUMIFS('Trades'!$T$4:$T$103,'Trades'!$A$4:$A$103,$A30&amp;" *",'Trades'!$S$4:$S$103,"Yes"))</f>
        <v/>
      </c>
      <c r="J30" s="9">
        <f>IF(OR($B30="",$A30=""),"",SUMIFS('Variations'!$G$4:$G$153,'Variations'!$C$4:$C$153,$A30&amp;" *",'Variations'!$I$4:$I$153,"Approved"))</f>
        <v/>
      </c>
      <c r="K30" s="9">
        <f>IF(B30="","",N(I30)+N(J30))</f>
        <v/>
      </c>
      <c r="L30" s="9">
        <f>IF(OR($B30="",$A30=""),"",SUMIFS('Payments'!$F$4:$F$303,'Payments'!$B$4:$B$303,$A30&amp;" *",'Payments'!$K$4:$K$303,"Yes"))</f>
        <v/>
      </c>
      <c r="M30" s="33" t="n"/>
      <c r="N30" s="9">
        <f>IF(B30="","",IF(ISNUMBER(M30),M30,IF(N(K30)&gt;0,K30,N(H30))))</f>
        <v/>
      </c>
      <c r="O30" s="10">
        <f>IF(OR(B30="",N(H30)=0),"",H30-N30)</f>
        <v/>
      </c>
      <c r="P30" s="7">
        <f>IF(OR(B30="",N(H30)=0),"",IF(N30&gt;H30*(1+Settings!$B$13),"Over budget",""))</f>
        <v/>
      </c>
      <c r="Q30" s="7">
        <f>IF(B30="","",TRIM(IF(OR(A30="",LEFT(B30,LEN(A30)+1)&lt;&gt;A30&amp;" "),"Start the name with its No. and a space, e.g. 21 Pool. ","")&amp;IF(AND(A30&lt;&gt;"",COUNTIF(A$4:A$33,A30)&gt;1),"Duplicate No. ","")))</f>
        <v/>
      </c>
      <c r="R30" s="7">
        <f>IF(B30="","",IFERROR(INDEX('Google Drive Map'!$B$4:$B$33,MATCH("04/"&amp;LEFT(B30,2),'Google Drive Map'!$A$4:$A$33,0)),"04 Trades &amp; Tenders/"&amp;B30))</f>
        <v/>
      </c>
      <c r="S30" s="7">
        <f>IF(R30="","",IF(IFERROR(INDEX('Google Drive Map'!$G$4:$G$33,MATCH(R30,'Google Drive Map'!$B$4:$B$33,0))&amp;"","")="","",HYPERLINK(INDEX('Google Drive Map'!$G$4:$G$33,MATCH(R30,'Google Drive Map'!$B$4:$B$33,0)),"Open")))</f>
        <v/>
      </c>
      <c r="T30" s="23" t="n"/>
    </row>
    <row r="31">
      <c r="A31" s="35" t="n"/>
      <c r="B31" s="22" t="n"/>
      <c r="C31" s="23" t="n"/>
      <c r="D31" s="23" t="n"/>
      <c r="E31" s="23" t="n"/>
      <c r="F31" s="23" t="n"/>
      <c r="G31" s="22" t="n"/>
      <c r="H31" s="33" t="n"/>
      <c r="I31" s="9">
        <f>IF(OR($B31="",$A31=""),"",SUMIFS('Trades'!$T$4:$T$103,'Trades'!$A$4:$A$103,$A31&amp;" *",'Trades'!$S$4:$S$103,"Yes"))</f>
        <v/>
      </c>
      <c r="J31" s="9">
        <f>IF(OR($B31="",$A31=""),"",SUMIFS('Variations'!$G$4:$G$153,'Variations'!$C$4:$C$153,$A31&amp;" *",'Variations'!$I$4:$I$153,"Approved"))</f>
        <v/>
      </c>
      <c r="K31" s="9">
        <f>IF(B31="","",N(I31)+N(J31))</f>
        <v/>
      </c>
      <c r="L31" s="9">
        <f>IF(OR($B31="",$A31=""),"",SUMIFS('Payments'!$F$4:$F$303,'Payments'!$B$4:$B$303,$A31&amp;" *",'Payments'!$K$4:$K$303,"Yes"))</f>
        <v/>
      </c>
      <c r="M31" s="33" t="n"/>
      <c r="N31" s="9">
        <f>IF(B31="","",IF(ISNUMBER(M31),M31,IF(N(K31)&gt;0,K31,N(H31))))</f>
        <v/>
      </c>
      <c r="O31" s="10">
        <f>IF(OR(B31="",N(H31)=0),"",H31-N31)</f>
        <v/>
      </c>
      <c r="P31" s="7">
        <f>IF(OR(B31="",N(H31)=0),"",IF(N31&gt;H31*(1+Settings!$B$13),"Over budget",""))</f>
        <v/>
      </c>
      <c r="Q31" s="7">
        <f>IF(B31="","",TRIM(IF(OR(A31="",LEFT(B31,LEN(A31)+1)&lt;&gt;A31&amp;" "),"Start the name with its No. and a space, e.g. 21 Pool. ","")&amp;IF(AND(A31&lt;&gt;"",COUNTIF(A$4:A$33,A31)&gt;1),"Duplicate No. ","")))</f>
        <v/>
      </c>
      <c r="R31" s="7">
        <f>IF(B31="","",IFERROR(INDEX('Google Drive Map'!$B$4:$B$33,MATCH("04/"&amp;LEFT(B31,2),'Google Drive Map'!$A$4:$A$33,0)),"04 Trades &amp; Tenders/"&amp;B31))</f>
        <v/>
      </c>
      <c r="S31" s="7">
        <f>IF(R31="","",IF(IFERROR(INDEX('Google Drive Map'!$G$4:$G$33,MATCH(R31,'Google Drive Map'!$B$4:$B$33,0))&amp;"","")="","",HYPERLINK(INDEX('Google Drive Map'!$G$4:$G$33,MATCH(R31,'Google Drive Map'!$B$4:$B$33,0)),"Open")))</f>
        <v/>
      </c>
      <c r="T31" s="23" t="n"/>
    </row>
    <row r="32">
      <c r="A32" s="35" t="n"/>
      <c r="B32" s="22" t="n"/>
      <c r="C32" s="23" t="n"/>
      <c r="D32" s="23" t="n"/>
      <c r="E32" s="23" t="n"/>
      <c r="F32" s="23" t="n"/>
      <c r="G32" s="22" t="n"/>
      <c r="H32" s="33" t="n"/>
      <c r="I32" s="9">
        <f>IF(OR($B32="",$A32=""),"",SUMIFS('Trades'!$T$4:$T$103,'Trades'!$A$4:$A$103,$A32&amp;" *",'Trades'!$S$4:$S$103,"Yes"))</f>
        <v/>
      </c>
      <c r="J32" s="9">
        <f>IF(OR($B32="",$A32=""),"",SUMIFS('Variations'!$G$4:$G$153,'Variations'!$C$4:$C$153,$A32&amp;" *",'Variations'!$I$4:$I$153,"Approved"))</f>
        <v/>
      </c>
      <c r="K32" s="9">
        <f>IF(B32="","",N(I32)+N(J32))</f>
        <v/>
      </c>
      <c r="L32" s="9">
        <f>IF(OR($B32="",$A32=""),"",SUMIFS('Payments'!$F$4:$F$303,'Payments'!$B$4:$B$303,$A32&amp;" *",'Payments'!$K$4:$K$303,"Yes"))</f>
        <v/>
      </c>
      <c r="M32" s="33" t="n"/>
      <c r="N32" s="9">
        <f>IF(B32="","",IF(ISNUMBER(M32),M32,IF(N(K32)&gt;0,K32,N(H32))))</f>
        <v/>
      </c>
      <c r="O32" s="10">
        <f>IF(OR(B32="",N(H32)=0),"",H32-N32)</f>
        <v/>
      </c>
      <c r="P32" s="7">
        <f>IF(OR(B32="",N(H32)=0),"",IF(N32&gt;H32*(1+Settings!$B$13),"Over budget",""))</f>
        <v/>
      </c>
      <c r="Q32" s="7">
        <f>IF(B32="","",TRIM(IF(OR(A32="",LEFT(B32,LEN(A32)+1)&lt;&gt;A32&amp;" "),"Start the name with its No. and a space, e.g. 21 Pool. ","")&amp;IF(AND(A32&lt;&gt;"",COUNTIF(A$4:A$33,A32)&gt;1),"Duplicate No. ","")))</f>
        <v/>
      </c>
      <c r="R32" s="7">
        <f>IF(B32="","",IFERROR(INDEX('Google Drive Map'!$B$4:$B$33,MATCH("04/"&amp;LEFT(B32,2),'Google Drive Map'!$A$4:$A$33,0)),"04 Trades &amp; Tenders/"&amp;B32))</f>
        <v/>
      </c>
      <c r="S32" s="7">
        <f>IF(R32="","",IF(IFERROR(INDEX('Google Drive Map'!$G$4:$G$33,MATCH(R32,'Google Drive Map'!$B$4:$B$33,0))&amp;"","")="","",HYPERLINK(INDEX('Google Drive Map'!$G$4:$G$33,MATCH(R32,'Google Drive Map'!$B$4:$B$33,0)),"Open")))</f>
        <v/>
      </c>
      <c r="T32" s="23" t="n"/>
    </row>
    <row r="33">
      <c r="A33" s="35" t="n"/>
      <c r="B33" s="22" t="n"/>
      <c r="C33" s="23" t="n"/>
      <c r="D33" s="23" t="n"/>
      <c r="E33" s="23" t="n"/>
      <c r="F33" s="23" t="n"/>
      <c r="G33" s="22" t="n"/>
      <c r="H33" s="33" t="n"/>
      <c r="I33" s="9">
        <f>IF(OR($B33="",$A33=""),"",SUMIFS('Trades'!$T$4:$T$103,'Trades'!$A$4:$A$103,$A33&amp;" *",'Trades'!$S$4:$S$103,"Yes"))</f>
        <v/>
      </c>
      <c r="J33" s="9">
        <f>IF(OR($B33="",$A33=""),"",SUMIFS('Variations'!$G$4:$G$153,'Variations'!$C$4:$C$153,$A33&amp;" *",'Variations'!$I$4:$I$153,"Approved"))</f>
        <v/>
      </c>
      <c r="K33" s="9">
        <f>IF(B33="","",N(I33)+N(J33))</f>
        <v/>
      </c>
      <c r="L33" s="9">
        <f>IF(OR($B33="",$A33=""),"",SUMIFS('Payments'!$F$4:$F$303,'Payments'!$B$4:$B$303,$A33&amp;" *",'Payments'!$K$4:$K$303,"Yes"))</f>
        <v/>
      </c>
      <c r="M33" s="33" t="n"/>
      <c r="N33" s="9">
        <f>IF(B33="","",IF(ISNUMBER(M33),M33,IF(N(K33)&gt;0,K33,N(H33))))</f>
        <v/>
      </c>
      <c r="O33" s="10">
        <f>IF(OR(B33="",N(H33)=0),"",H33-N33)</f>
        <v/>
      </c>
      <c r="P33" s="7">
        <f>IF(OR(B33="",N(H33)=0),"",IF(N33&gt;H33*(1+Settings!$B$13),"Over budget",""))</f>
        <v/>
      </c>
      <c r="Q33" s="7">
        <f>IF(B33="","",TRIM(IF(OR(A33="",LEFT(B33,LEN(A33)+1)&lt;&gt;A33&amp;" "),"Start the name with its No. and a space, e.g. 21 Pool. ","")&amp;IF(AND(A33&lt;&gt;"",COUNTIF(A$4:A$33,A33)&gt;1),"Duplicate No. ","")))</f>
        <v/>
      </c>
      <c r="R33" s="7">
        <f>IF(B33="","",IFERROR(INDEX('Google Drive Map'!$B$4:$B$33,MATCH("04/"&amp;LEFT(B33,2),'Google Drive Map'!$A$4:$A$33,0)),"04 Trades &amp; Tenders/"&amp;B33))</f>
        <v/>
      </c>
      <c r="S33" s="7">
        <f>IF(R33="","",IF(IFERROR(INDEX('Google Drive Map'!$G$4:$G$33,MATCH(R33,'Google Drive Map'!$B$4:$B$33,0))&amp;"","")="","",HYPERLINK(INDEX('Google Drive Map'!$G$4:$G$33,MATCH(R33,'Google Drive Map'!$B$4:$B$33,0)),"Open")))</f>
        <v/>
      </c>
      <c r="T33" s="23" t="n"/>
    </row>
  </sheetData>
  <sheetProtection selectLockedCells="0" selectUnlockedCells="0" sheet="1" objects="0" insertRows="0" insertHyperlinks="0" autoFilter="0" scenarios="0" formatColumns="0" deleteColumns="1" insertColumns="1" pivotTables="1" deleteRows="0" formatCells="0" formatRows="0" sort="0"/>
  <autoFilter ref="A3:T33"/>
  <conditionalFormatting sqref="P4:P33">
    <cfRule type="cellIs" priority="1" operator="equal" dxfId="2">
      <formula>"Over budget"</formula>
    </cfRule>
  </conditionalFormatting>
  <conditionalFormatting sqref="Q4:Q33">
    <cfRule type="expression" priority="2" dxfId="2">
      <formula>LEN(Q4)&gt;0</formula>
    </cfRule>
  </conditionalFormatting>
  <dataValidations count="1">
    <dataValidation sqref="G4:G33" showDropDown="0" showInputMessage="0" showErrorMessage="0" allowBlank="1" error="Pick a value from the list." type="list" errorStyle="warning">
      <formula1>=Lists!$A$2:$A$9</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A103"/>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22" customWidth="1" min="1" max="1"/>
    <col width="24" customWidth="1" min="2" max="2"/>
    <col width="16" customWidth="1" min="3" max="3"/>
    <col width="13" customWidth="1" min="4" max="4"/>
    <col width="22" customWidth="1" min="5" max="5"/>
    <col width="14" customWidth="1" min="6" max="6"/>
    <col width="10" customWidth="1" min="7" max="7"/>
    <col width="20" customWidth="1" min="8" max="8"/>
    <col width="13" customWidth="1" min="9" max="9"/>
    <col width="12" customWidth="1" min="10" max="10"/>
    <col width="18" customWidth="1" min="11" max="11"/>
    <col width="12" customWidth="1" min="12" max="12"/>
    <col width="10" customWidth="1" min="13" max="13"/>
    <col width="13" customWidth="1" min="14" max="14"/>
    <col width="10" customWidth="1" min="15" max="15"/>
    <col width="10" customWidth="1" min="16" max="16"/>
    <col width="12" customWidth="1" min="17" max="17"/>
    <col width="18" customWidth="1" min="18" max="18"/>
    <col width="10" customWidth="1" min="19" max="19"/>
    <col width="14" customWidth="1" min="20" max="20"/>
    <col width="11" customWidth="1" min="21" max="21"/>
    <col width="16" customWidth="1" min="22" max="22"/>
    <col width="20" customWidth="1" min="23" max="23"/>
    <col width="30" customWidth="1" min="24" max="24"/>
    <col width="32" customWidth="1" min="25" max="25"/>
    <col width="8" customWidth="1" min="26" max="26"/>
    <col width="28" customWidth="1" min="27" max="27"/>
  </cols>
  <sheetData>
    <row r="1" ht="24" customHeight="1">
      <c r="A1" s="1" t="inlineStr">
        <is>
          <t>Trade register</t>
        </is>
      </c>
    </row>
    <row r="2">
      <c r="A2" s="2" t="inlineStr">
        <is>
          <t>Every trade you invite or engage. Licence and insurance dates turn amber before they expire (days set on Settings) and red once expired. Type dates as dates, e.g. 30/06/2027.</t>
        </is>
      </c>
    </row>
    <row r="3" ht="32" customHeight="1">
      <c r="A3" s="20" t="inlineStr">
        <is>
          <t>Package</t>
        </is>
      </c>
      <c r="B3" s="20" t="inlineStr">
        <is>
          <t>Business name</t>
        </is>
      </c>
      <c r="C3" s="20" t="inlineStr">
        <is>
          <t>Contact</t>
        </is>
      </c>
      <c r="D3" s="20" t="inlineStr">
        <is>
          <t>Phone</t>
        </is>
      </c>
      <c r="E3" s="20" t="inlineStr">
        <is>
          <t>Email</t>
        </is>
      </c>
      <c r="F3" s="20" t="inlineStr">
        <is>
          <t>ABN</t>
        </is>
      </c>
      <c r="G3" s="20" t="inlineStr">
        <is>
          <t>GST registered?</t>
        </is>
      </c>
      <c r="H3" s="20" t="inlineStr">
        <is>
          <t>Licence / registration</t>
        </is>
      </c>
      <c r="I3" s="20" t="inlineStr">
        <is>
          <t>Licence no.</t>
        </is>
      </c>
      <c r="J3" s="20" t="inlineStr">
        <is>
          <t>Licence expiry</t>
        </is>
      </c>
      <c r="K3" s="20" t="inlineStr">
        <is>
          <t>Public liability insurer</t>
        </is>
      </c>
      <c r="L3" s="20" t="inlineStr">
        <is>
          <t>PL expiry</t>
        </is>
      </c>
      <c r="M3" s="20" t="inlineStr">
        <is>
          <t>WorkCover</t>
        </is>
      </c>
      <c r="N3" s="20" t="inlineStr">
        <is>
          <t>Home warranty cover (&gt; $20k)</t>
        </is>
      </c>
      <c r="O3" s="20" t="inlineStr">
        <is>
          <t>SWMS received</t>
        </is>
      </c>
      <c r="P3" s="20" t="inlineStr">
        <is>
          <t>White cards checked</t>
        </is>
      </c>
      <c r="Q3" s="20" t="inlineStr">
        <is>
          <t>Status</t>
        </is>
      </c>
      <c r="R3" s="20" t="inlineStr">
        <is>
          <t>Contract type</t>
        </is>
      </c>
      <c r="S3" s="20" t="inlineStr">
        <is>
          <t>Contract signed?</t>
        </is>
      </c>
      <c r="T3" s="20" t="inlineStr">
        <is>
          <t>Contract value inc GST ($)</t>
        </is>
      </c>
      <c r="U3" s="20" t="inlineStr">
        <is>
          <t>Deposit ($)</t>
        </is>
      </c>
      <c r="V3" s="21" t="inlineStr">
        <is>
          <t>Deposit check</t>
        </is>
      </c>
      <c r="W3" s="21" t="inlineStr">
        <is>
          <t>Paperwork</t>
        </is>
      </c>
      <c r="X3" s="21" t="inlineStr">
        <is>
          <t>Contract checks</t>
        </is>
      </c>
      <c r="Y3" s="21" t="inlineStr">
        <is>
          <t>Drive folder</t>
        </is>
      </c>
      <c r="Z3" s="21" t="inlineStr">
        <is>
          <t>Folder</t>
        </is>
      </c>
      <c r="AA3" s="20" t="inlineStr">
        <is>
          <t>Notes</t>
        </is>
      </c>
    </row>
    <row r="4">
      <c r="A4" s="27" t="inlineStr">
        <is>
          <t>08 Roofing</t>
        </is>
      </c>
      <c r="B4" s="27" t="inlineStr">
        <is>
          <t>Ridgeline Metal Roofs</t>
        </is>
      </c>
      <c r="C4" s="27" t="n"/>
      <c r="D4" s="34" t="n"/>
      <c r="E4" s="27" t="n"/>
      <c r="F4" s="34" t="n"/>
      <c r="G4" s="27" t="inlineStr">
        <is>
          <t>Yes</t>
        </is>
      </c>
      <c r="H4" s="27" t="inlineStr">
        <is>
          <t>Roof plumbing licence</t>
        </is>
      </c>
      <c r="I4" s="34" t="n"/>
      <c r="J4" s="32" t="n">
        <v>46568</v>
      </c>
      <c r="K4" s="27" t="n"/>
      <c r="L4" s="32" t="n">
        <v>46477</v>
      </c>
      <c r="M4" s="27" t="inlineStr">
        <is>
          <t>Yes</t>
        </is>
      </c>
      <c r="N4" s="27" t="inlineStr">
        <is>
          <t>Yes</t>
        </is>
      </c>
      <c r="O4" s="27" t="inlineStr">
        <is>
          <t>Yes</t>
        </is>
      </c>
      <c r="P4" s="27" t="inlineStr">
        <is>
          <t>Yes</t>
        </is>
      </c>
      <c r="Q4" s="27" t="inlineStr">
        <is>
          <t>Engaged</t>
        </is>
      </c>
      <c r="R4" s="27" t="inlineStr">
        <is>
          <t>Supply &amp; install</t>
        </is>
      </c>
      <c r="S4" s="27" t="inlineStr">
        <is>
          <t>Yes</t>
        </is>
      </c>
      <c r="T4" s="31" t="n">
        <v>36900</v>
      </c>
      <c r="U4" s="31" t="n">
        <v>1845</v>
      </c>
      <c r="V4" s="7">
        <f>IF(OR(N(T4)=0,N(U4)=0),"",IF(U4&gt;T4*IF(T4&lt;Settings!$B$5,Settings!$B$4,Settings!$B$6),"Over statutory cap","OK"))</f>
        <v/>
      </c>
      <c r="W4" s="7">
        <f>IF(B4="","",IF(OR(AND(J4&lt;&gt;"",NOT(ISNUMBER(J4))),AND(L4&lt;&gt;"",NOT(ISNUMBER(L4)))),"Check date: typed as text",IF(OR(AND(ISNUMBER(J4),J4&lt;TODAY()),AND(ISNUMBER(L4),L4&lt;TODAY())),"Expired",IF(OR(AND(ISNUMBER(J4),J4-TODAY()&lt;=Settings!$B$11),AND(ISNUMBER(L4),L4-TODAY()&lt;=Settings!$B$11)),"Expires within "&amp;Settings!$B$11&amp;" days",IF(AND(OR(Q4="Engaged",S4="Yes"),OR(J4="",L4="")),"Missing expiry date","OK")))))</f>
        <v/>
      </c>
      <c r="X4" s="36">
        <f>IF(B4="","",TRIM(IF(COUNTIF(B$4:B$103,B4)&gt;1,"Duplicate business name. ","")&amp;IF(AND(N(T4)&gt;Settings!$B$7,H4=""),"Over "&amp;TEXT(Settings!$B$7,"$#,##0")&amp;": record the builder registration (or exemption) and use a written major domestic building contract. ","")&amp;IF(AND(N(T4)&gt;Settings!$B$8,N4&lt;&gt;"Yes"),"Home warranty cover needed over "&amp;TEXT(Settings!$B$8,"$#,##0")&amp;". ","")))</f>
        <v/>
      </c>
      <c r="Y4" s="7">
        <f>IF(A4="","",IFERROR(INDEX('Google Drive Map'!$B$4:$B$33,MATCH("04/"&amp;LEFT(A4,2),'Google Drive Map'!$A$4:$A$33,0)),"04 Trades &amp; Tenders/"&amp;A4))</f>
        <v/>
      </c>
      <c r="Z4" s="7">
        <f>IF(Y4="","",IF(IFERROR(INDEX('Google Drive Map'!$G$4:$G$33,MATCH(Y4,'Google Drive Map'!$B$4:$B$33,0))&amp;"","")="","",HYPERLINK(INDEX('Google Drive Map'!$G$4:$G$33,MATCH(Y4,'Google Drive Map'!$B$4:$B$33,0)),"Open")))</f>
        <v/>
      </c>
      <c r="AA4" s="29" t="inlineStr">
        <is>
          <t>EXAMPLE: delete this row</t>
        </is>
      </c>
    </row>
    <row r="5">
      <c r="A5" s="22" t="n"/>
      <c r="B5" s="22" t="n"/>
      <c r="C5" s="22" t="n"/>
      <c r="D5" s="35" t="n"/>
      <c r="E5" s="22" t="n"/>
      <c r="F5" s="35" t="n"/>
      <c r="G5" s="22" t="n"/>
      <c r="H5" s="22" t="n"/>
      <c r="I5" s="35" t="n"/>
      <c r="J5" s="24" t="n"/>
      <c r="K5" s="22" t="n"/>
      <c r="L5" s="24" t="n"/>
      <c r="M5" s="22" t="n"/>
      <c r="N5" s="22" t="n"/>
      <c r="O5" s="22" t="n"/>
      <c r="P5" s="22" t="n"/>
      <c r="Q5" s="22" t="n"/>
      <c r="R5" s="22" t="n"/>
      <c r="S5" s="22" t="n"/>
      <c r="T5" s="33" t="n"/>
      <c r="U5" s="33" t="n"/>
      <c r="V5" s="7">
        <f>IF(OR(N(T5)=0,N(U5)=0),"",IF(U5&gt;T5*IF(T5&lt;Settings!$B$5,Settings!$B$4,Settings!$B$6),"Over statutory cap","OK"))</f>
        <v/>
      </c>
      <c r="W5" s="7">
        <f>IF(B5="","",IF(OR(AND(J5&lt;&gt;"",NOT(ISNUMBER(J5))),AND(L5&lt;&gt;"",NOT(ISNUMBER(L5)))),"Check date: typed as text",IF(OR(AND(ISNUMBER(J5),J5&lt;TODAY()),AND(ISNUMBER(L5),L5&lt;TODAY())),"Expired",IF(OR(AND(ISNUMBER(J5),J5-TODAY()&lt;=Settings!$B$11),AND(ISNUMBER(L5),L5-TODAY()&lt;=Settings!$B$11)),"Expires within "&amp;Settings!$B$11&amp;" days",IF(AND(OR(Q5="Engaged",S5="Yes"),OR(J5="",L5="")),"Missing expiry date","OK")))))</f>
        <v/>
      </c>
      <c r="X5" s="36">
        <f>IF(B5="","",TRIM(IF(COUNTIF(B$4:B$103,B5)&gt;1,"Duplicate business name. ","")&amp;IF(AND(N(T5)&gt;Settings!$B$7,H5=""),"Over "&amp;TEXT(Settings!$B$7,"$#,##0")&amp;": record the builder registration (or exemption) and use a written major domestic building contract. ","")&amp;IF(AND(N(T5)&gt;Settings!$B$8,N5&lt;&gt;"Yes"),"Home warranty cover needed over "&amp;TEXT(Settings!$B$8,"$#,##0")&amp;". ","")))</f>
        <v/>
      </c>
      <c r="Y5" s="7">
        <f>IF(A5="","",IFERROR(INDEX('Google Drive Map'!$B$4:$B$33,MATCH("04/"&amp;LEFT(A5,2),'Google Drive Map'!$A$4:$A$33,0)),"04 Trades &amp; Tenders/"&amp;A5))</f>
        <v/>
      </c>
      <c r="Z5" s="7">
        <f>IF(Y5="","",IF(IFERROR(INDEX('Google Drive Map'!$G$4:$G$33,MATCH(Y5,'Google Drive Map'!$B$4:$B$33,0))&amp;"","")="","",HYPERLINK(INDEX('Google Drive Map'!$G$4:$G$33,MATCH(Y5,'Google Drive Map'!$B$4:$B$33,0)),"Open")))</f>
        <v/>
      </c>
      <c r="AA5" s="23" t="n"/>
    </row>
    <row r="6">
      <c r="A6" s="22" t="n"/>
      <c r="B6" s="22" t="n"/>
      <c r="C6" s="22" t="n"/>
      <c r="D6" s="35" t="n"/>
      <c r="E6" s="22" t="n"/>
      <c r="F6" s="35" t="n"/>
      <c r="G6" s="22" t="n"/>
      <c r="H6" s="22" t="n"/>
      <c r="I6" s="35" t="n"/>
      <c r="J6" s="24" t="n"/>
      <c r="K6" s="22" t="n"/>
      <c r="L6" s="24" t="n"/>
      <c r="M6" s="22" t="n"/>
      <c r="N6" s="22" t="n"/>
      <c r="O6" s="22" t="n"/>
      <c r="P6" s="22" t="n"/>
      <c r="Q6" s="22" t="n"/>
      <c r="R6" s="22" t="n"/>
      <c r="S6" s="22" t="n"/>
      <c r="T6" s="33" t="n"/>
      <c r="U6" s="33" t="n"/>
      <c r="V6" s="7">
        <f>IF(OR(N(T6)=0,N(U6)=0),"",IF(U6&gt;T6*IF(T6&lt;Settings!$B$5,Settings!$B$4,Settings!$B$6),"Over statutory cap","OK"))</f>
        <v/>
      </c>
      <c r="W6" s="7">
        <f>IF(B6="","",IF(OR(AND(J6&lt;&gt;"",NOT(ISNUMBER(J6))),AND(L6&lt;&gt;"",NOT(ISNUMBER(L6)))),"Check date: typed as text",IF(OR(AND(ISNUMBER(J6),J6&lt;TODAY()),AND(ISNUMBER(L6),L6&lt;TODAY())),"Expired",IF(OR(AND(ISNUMBER(J6),J6-TODAY()&lt;=Settings!$B$11),AND(ISNUMBER(L6),L6-TODAY()&lt;=Settings!$B$11)),"Expires within "&amp;Settings!$B$11&amp;" days",IF(AND(OR(Q6="Engaged",S6="Yes"),OR(J6="",L6="")),"Missing expiry date","OK")))))</f>
        <v/>
      </c>
      <c r="X6" s="36">
        <f>IF(B6="","",TRIM(IF(COUNTIF(B$4:B$103,B6)&gt;1,"Duplicate business name. ","")&amp;IF(AND(N(T6)&gt;Settings!$B$7,H6=""),"Over "&amp;TEXT(Settings!$B$7,"$#,##0")&amp;": record the builder registration (or exemption) and use a written major domestic building contract. ","")&amp;IF(AND(N(T6)&gt;Settings!$B$8,N6&lt;&gt;"Yes"),"Home warranty cover needed over "&amp;TEXT(Settings!$B$8,"$#,##0")&amp;". ","")))</f>
        <v/>
      </c>
      <c r="Y6" s="7">
        <f>IF(A6="","",IFERROR(INDEX('Google Drive Map'!$B$4:$B$33,MATCH("04/"&amp;LEFT(A6,2),'Google Drive Map'!$A$4:$A$33,0)),"04 Trades &amp; Tenders/"&amp;A6))</f>
        <v/>
      </c>
      <c r="Z6" s="7">
        <f>IF(Y6="","",IF(IFERROR(INDEX('Google Drive Map'!$G$4:$G$33,MATCH(Y6,'Google Drive Map'!$B$4:$B$33,0))&amp;"","")="","",HYPERLINK(INDEX('Google Drive Map'!$G$4:$G$33,MATCH(Y6,'Google Drive Map'!$B$4:$B$33,0)),"Open")))</f>
        <v/>
      </c>
      <c r="AA6" s="23" t="n"/>
    </row>
    <row r="7">
      <c r="A7" s="22" t="n"/>
      <c r="B7" s="22" t="n"/>
      <c r="C7" s="22" t="n"/>
      <c r="D7" s="35" t="n"/>
      <c r="E7" s="22" t="n"/>
      <c r="F7" s="35" t="n"/>
      <c r="G7" s="22" t="n"/>
      <c r="H7" s="22" t="n"/>
      <c r="I7" s="35" t="n"/>
      <c r="J7" s="24" t="n"/>
      <c r="K7" s="22" t="n"/>
      <c r="L7" s="24" t="n"/>
      <c r="M7" s="22" t="n"/>
      <c r="N7" s="22" t="n"/>
      <c r="O7" s="22" t="n"/>
      <c r="P7" s="22" t="n"/>
      <c r="Q7" s="22" t="n"/>
      <c r="R7" s="22" t="n"/>
      <c r="S7" s="22" t="n"/>
      <c r="T7" s="33" t="n"/>
      <c r="U7" s="33" t="n"/>
      <c r="V7" s="7">
        <f>IF(OR(N(T7)=0,N(U7)=0),"",IF(U7&gt;T7*IF(T7&lt;Settings!$B$5,Settings!$B$4,Settings!$B$6),"Over statutory cap","OK"))</f>
        <v/>
      </c>
      <c r="W7" s="7">
        <f>IF(B7="","",IF(OR(AND(J7&lt;&gt;"",NOT(ISNUMBER(J7))),AND(L7&lt;&gt;"",NOT(ISNUMBER(L7)))),"Check date: typed as text",IF(OR(AND(ISNUMBER(J7),J7&lt;TODAY()),AND(ISNUMBER(L7),L7&lt;TODAY())),"Expired",IF(OR(AND(ISNUMBER(J7),J7-TODAY()&lt;=Settings!$B$11),AND(ISNUMBER(L7),L7-TODAY()&lt;=Settings!$B$11)),"Expires within "&amp;Settings!$B$11&amp;" days",IF(AND(OR(Q7="Engaged",S7="Yes"),OR(J7="",L7="")),"Missing expiry date","OK")))))</f>
        <v/>
      </c>
      <c r="X7" s="36">
        <f>IF(B7="","",TRIM(IF(COUNTIF(B$4:B$103,B7)&gt;1,"Duplicate business name. ","")&amp;IF(AND(N(T7)&gt;Settings!$B$7,H7=""),"Over "&amp;TEXT(Settings!$B$7,"$#,##0")&amp;": record the builder registration (or exemption) and use a written major domestic building contract. ","")&amp;IF(AND(N(T7)&gt;Settings!$B$8,N7&lt;&gt;"Yes"),"Home warranty cover needed over "&amp;TEXT(Settings!$B$8,"$#,##0")&amp;". ","")))</f>
        <v/>
      </c>
      <c r="Y7" s="7">
        <f>IF(A7="","",IFERROR(INDEX('Google Drive Map'!$B$4:$B$33,MATCH("04/"&amp;LEFT(A7,2),'Google Drive Map'!$A$4:$A$33,0)),"04 Trades &amp; Tenders/"&amp;A7))</f>
        <v/>
      </c>
      <c r="Z7" s="7">
        <f>IF(Y7="","",IF(IFERROR(INDEX('Google Drive Map'!$G$4:$G$33,MATCH(Y7,'Google Drive Map'!$B$4:$B$33,0))&amp;"","")="","",HYPERLINK(INDEX('Google Drive Map'!$G$4:$G$33,MATCH(Y7,'Google Drive Map'!$B$4:$B$33,0)),"Open")))</f>
        <v/>
      </c>
      <c r="AA7" s="23" t="n"/>
    </row>
    <row r="8">
      <c r="A8" s="22" t="n"/>
      <c r="B8" s="22" t="n"/>
      <c r="C8" s="22" t="n"/>
      <c r="D8" s="35" t="n"/>
      <c r="E8" s="22" t="n"/>
      <c r="F8" s="35" t="n"/>
      <c r="G8" s="22" t="n"/>
      <c r="H8" s="22" t="n"/>
      <c r="I8" s="35" t="n"/>
      <c r="J8" s="24" t="n"/>
      <c r="K8" s="22" t="n"/>
      <c r="L8" s="24" t="n"/>
      <c r="M8" s="22" t="n"/>
      <c r="N8" s="22" t="n"/>
      <c r="O8" s="22" t="n"/>
      <c r="P8" s="22" t="n"/>
      <c r="Q8" s="22" t="n"/>
      <c r="R8" s="22" t="n"/>
      <c r="S8" s="22" t="n"/>
      <c r="T8" s="33" t="n"/>
      <c r="U8" s="33" t="n"/>
      <c r="V8" s="7">
        <f>IF(OR(N(T8)=0,N(U8)=0),"",IF(U8&gt;T8*IF(T8&lt;Settings!$B$5,Settings!$B$4,Settings!$B$6),"Over statutory cap","OK"))</f>
        <v/>
      </c>
      <c r="W8" s="7">
        <f>IF(B8="","",IF(OR(AND(J8&lt;&gt;"",NOT(ISNUMBER(J8))),AND(L8&lt;&gt;"",NOT(ISNUMBER(L8)))),"Check date: typed as text",IF(OR(AND(ISNUMBER(J8),J8&lt;TODAY()),AND(ISNUMBER(L8),L8&lt;TODAY())),"Expired",IF(OR(AND(ISNUMBER(J8),J8-TODAY()&lt;=Settings!$B$11),AND(ISNUMBER(L8),L8-TODAY()&lt;=Settings!$B$11)),"Expires within "&amp;Settings!$B$11&amp;" days",IF(AND(OR(Q8="Engaged",S8="Yes"),OR(J8="",L8="")),"Missing expiry date","OK")))))</f>
        <v/>
      </c>
      <c r="X8" s="36">
        <f>IF(B8="","",TRIM(IF(COUNTIF(B$4:B$103,B8)&gt;1,"Duplicate business name. ","")&amp;IF(AND(N(T8)&gt;Settings!$B$7,H8=""),"Over "&amp;TEXT(Settings!$B$7,"$#,##0")&amp;": record the builder registration (or exemption) and use a written major domestic building contract. ","")&amp;IF(AND(N(T8)&gt;Settings!$B$8,N8&lt;&gt;"Yes"),"Home warranty cover needed over "&amp;TEXT(Settings!$B$8,"$#,##0")&amp;". ","")))</f>
        <v/>
      </c>
      <c r="Y8" s="7">
        <f>IF(A8="","",IFERROR(INDEX('Google Drive Map'!$B$4:$B$33,MATCH("04/"&amp;LEFT(A8,2),'Google Drive Map'!$A$4:$A$33,0)),"04 Trades &amp; Tenders/"&amp;A8))</f>
        <v/>
      </c>
      <c r="Z8" s="7">
        <f>IF(Y8="","",IF(IFERROR(INDEX('Google Drive Map'!$G$4:$G$33,MATCH(Y8,'Google Drive Map'!$B$4:$B$33,0))&amp;"","")="","",HYPERLINK(INDEX('Google Drive Map'!$G$4:$G$33,MATCH(Y8,'Google Drive Map'!$B$4:$B$33,0)),"Open")))</f>
        <v/>
      </c>
      <c r="AA8" s="23" t="n"/>
    </row>
    <row r="9">
      <c r="A9" s="22" t="n"/>
      <c r="B9" s="22" t="n"/>
      <c r="C9" s="22" t="n"/>
      <c r="D9" s="35" t="n"/>
      <c r="E9" s="22" t="n"/>
      <c r="F9" s="35" t="n"/>
      <c r="G9" s="22" t="n"/>
      <c r="H9" s="22" t="n"/>
      <c r="I9" s="35" t="n"/>
      <c r="J9" s="24" t="n"/>
      <c r="K9" s="22" t="n"/>
      <c r="L9" s="24" t="n"/>
      <c r="M9" s="22" t="n"/>
      <c r="N9" s="22" t="n"/>
      <c r="O9" s="22" t="n"/>
      <c r="P9" s="22" t="n"/>
      <c r="Q9" s="22" t="n"/>
      <c r="R9" s="22" t="n"/>
      <c r="S9" s="22" t="n"/>
      <c r="T9" s="33" t="n"/>
      <c r="U9" s="33" t="n"/>
      <c r="V9" s="7">
        <f>IF(OR(N(T9)=0,N(U9)=0),"",IF(U9&gt;T9*IF(T9&lt;Settings!$B$5,Settings!$B$4,Settings!$B$6),"Over statutory cap","OK"))</f>
        <v/>
      </c>
      <c r="W9" s="7">
        <f>IF(B9="","",IF(OR(AND(J9&lt;&gt;"",NOT(ISNUMBER(J9))),AND(L9&lt;&gt;"",NOT(ISNUMBER(L9)))),"Check date: typed as text",IF(OR(AND(ISNUMBER(J9),J9&lt;TODAY()),AND(ISNUMBER(L9),L9&lt;TODAY())),"Expired",IF(OR(AND(ISNUMBER(J9),J9-TODAY()&lt;=Settings!$B$11),AND(ISNUMBER(L9),L9-TODAY()&lt;=Settings!$B$11)),"Expires within "&amp;Settings!$B$11&amp;" days",IF(AND(OR(Q9="Engaged",S9="Yes"),OR(J9="",L9="")),"Missing expiry date","OK")))))</f>
        <v/>
      </c>
      <c r="X9" s="36">
        <f>IF(B9="","",TRIM(IF(COUNTIF(B$4:B$103,B9)&gt;1,"Duplicate business name. ","")&amp;IF(AND(N(T9)&gt;Settings!$B$7,H9=""),"Over "&amp;TEXT(Settings!$B$7,"$#,##0")&amp;": record the builder registration (or exemption) and use a written major domestic building contract. ","")&amp;IF(AND(N(T9)&gt;Settings!$B$8,N9&lt;&gt;"Yes"),"Home warranty cover needed over "&amp;TEXT(Settings!$B$8,"$#,##0")&amp;". ","")))</f>
        <v/>
      </c>
      <c r="Y9" s="7">
        <f>IF(A9="","",IFERROR(INDEX('Google Drive Map'!$B$4:$B$33,MATCH("04/"&amp;LEFT(A9,2),'Google Drive Map'!$A$4:$A$33,0)),"04 Trades &amp; Tenders/"&amp;A9))</f>
        <v/>
      </c>
      <c r="Z9" s="7">
        <f>IF(Y9="","",IF(IFERROR(INDEX('Google Drive Map'!$G$4:$G$33,MATCH(Y9,'Google Drive Map'!$B$4:$B$33,0))&amp;"","")="","",HYPERLINK(INDEX('Google Drive Map'!$G$4:$G$33,MATCH(Y9,'Google Drive Map'!$B$4:$B$33,0)),"Open")))</f>
        <v/>
      </c>
      <c r="AA9" s="23" t="n"/>
    </row>
    <row r="10">
      <c r="A10" s="22" t="n"/>
      <c r="B10" s="22" t="n"/>
      <c r="C10" s="22" t="n"/>
      <c r="D10" s="35" t="n"/>
      <c r="E10" s="22" t="n"/>
      <c r="F10" s="35" t="n"/>
      <c r="G10" s="22" t="n"/>
      <c r="H10" s="22" t="n"/>
      <c r="I10" s="35" t="n"/>
      <c r="J10" s="24" t="n"/>
      <c r="K10" s="22" t="n"/>
      <c r="L10" s="24" t="n"/>
      <c r="M10" s="22" t="n"/>
      <c r="N10" s="22" t="n"/>
      <c r="O10" s="22" t="n"/>
      <c r="P10" s="22" t="n"/>
      <c r="Q10" s="22" t="n"/>
      <c r="R10" s="22" t="n"/>
      <c r="S10" s="22" t="n"/>
      <c r="T10" s="33" t="n"/>
      <c r="U10" s="33" t="n"/>
      <c r="V10" s="7">
        <f>IF(OR(N(T10)=0,N(U10)=0),"",IF(U10&gt;T10*IF(T10&lt;Settings!$B$5,Settings!$B$4,Settings!$B$6),"Over statutory cap","OK"))</f>
        <v/>
      </c>
      <c r="W10" s="7">
        <f>IF(B10="","",IF(OR(AND(J10&lt;&gt;"",NOT(ISNUMBER(J10))),AND(L10&lt;&gt;"",NOT(ISNUMBER(L10)))),"Check date: typed as text",IF(OR(AND(ISNUMBER(J10),J10&lt;TODAY()),AND(ISNUMBER(L10),L10&lt;TODAY())),"Expired",IF(OR(AND(ISNUMBER(J10),J10-TODAY()&lt;=Settings!$B$11),AND(ISNUMBER(L10),L10-TODAY()&lt;=Settings!$B$11)),"Expires within "&amp;Settings!$B$11&amp;" days",IF(AND(OR(Q10="Engaged",S10="Yes"),OR(J10="",L10="")),"Missing expiry date","OK")))))</f>
        <v/>
      </c>
      <c r="X10" s="36">
        <f>IF(B10="","",TRIM(IF(COUNTIF(B$4:B$103,B10)&gt;1,"Duplicate business name. ","")&amp;IF(AND(N(T10)&gt;Settings!$B$7,H10=""),"Over "&amp;TEXT(Settings!$B$7,"$#,##0")&amp;": record the builder registration (or exemption) and use a written major domestic building contract. ","")&amp;IF(AND(N(T10)&gt;Settings!$B$8,N10&lt;&gt;"Yes"),"Home warranty cover needed over "&amp;TEXT(Settings!$B$8,"$#,##0")&amp;". ","")))</f>
        <v/>
      </c>
      <c r="Y10" s="7">
        <f>IF(A10="","",IFERROR(INDEX('Google Drive Map'!$B$4:$B$33,MATCH("04/"&amp;LEFT(A10,2),'Google Drive Map'!$A$4:$A$33,0)),"04 Trades &amp; Tenders/"&amp;A10))</f>
        <v/>
      </c>
      <c r="Z10" s="7">
        <f>IF(Y10="","",IF(IFERROR(INDEX('Google Drive Map'!$G$4:$G$33,MATCH(Y10,'Google Drive Map'!$B$4:$B$33,0))&amp;"","")="","",HYPERLINK(INDEX('Google Drive Map'!$G$4:$G$33,MATCH(Y10,'Google Drive Map'!$B$4:$B$33,0)),"Open")))</f>
        <v/>
      </c>
      <c r="AA10" s="23" t="n"/>
    </row>
    <row r="11">
      <c r="A11" s="22" t="n"/>
      <c r="B11" s="22" t="n"/>
      <c r="C11" s="22" t="n"/>
      <c r="D11" s="35" t="n"/>
      <c r="E11" s="22" t="n"/>
      <c r="F11" s="35" t="n"/>
      <c r="G11" s="22" t="n"/>
      <c r="H11" s="22" t="n"/>
      <c r="I11" s="35" t="n"/>
      <c r="J11" s="24" t="n"/>
      <c r="K11" s="22" t="n"/>
      <c r="L11" s="24" t="n"/>
      <c r="M11" s="22" t="n"/>
      <c r="N11" s="22" t="n"/>
      <c r="O11" s="22" t="n"/>
      <c r="P11" s="22" t="n"/>
      <c r="Q11" s="22" t="n"/>
      <c r="R11" s="22" t="n"/>
      <c r="S11" s="22" t="n"/>
      <c r="T11" s="33" t="n"/>
      <c r="U11" s="33" t="n"/>
      <c r="V11" s="7">
        <f>IF(OR(N(T11)=0,N(U11)=0),"",IF(U11&gt;T11*IF(T11&lt;Settings!$B$5,Settings!$B$4,Settings!$B$6),"Over statutory cap","OK"))</f>
        <v/>
      </c>
      <c r="W11" s="7">
        <f>IF(B11="","",IF(OR(AND(J11&lt;&gt;"",NOT(ISNUMBER(J11))),AND(L11&lt;&gt;"",NOT(ISNUMBER(L11)))),"Check date: typed as text",IF(OR(AND(ISNUMBER(J11),J11&lt;TODAY()),AND(ISNUMBER(L11),L11&lt;TODAY())),"Expired",IF(OR(AND(ISNUMBER(J11),J11-TODAY()&lt;=Settings!$B$11),AND(ISNUMBER(L11),L11-TODAY()&lt;=Settings!$B$11)),"Expires within "&amp;Settings!$B$11&amp;" days",IF(AND(OR(Q11="Engaged",S11="Yes"),OR(J11="",L11="")),"Missing expiry date","OK")))))</f>
        <v/>
      </c>
      <c r="X11" s="36">
        <f>IF(B11="","",TRIM(IF(COUNTIF(B$4:B$103,B11)&gt;1,"Duplicate business name. ","")&amp;IF(AND(N(T11)&gt;Settings!$B$7,H11=""),"Over "&amp;TEXT(Settings!$B$7,"$#,##0")&amp;": record the builder registration (or exemption) and use a written major domestic building contract. ","")&amp;IF(AND(N(T11)&gt;Settings!$B$8,N11&lt;&gt;"Yes"),"Home warranty cover needed over "&amp;TEXT(Settings!$B$8,"$#,##0")&amp;". ","")))</f>
        <v/>
      </c>
      <c r="Y11" s="7">
        <f>IF(A11="","",IFERROR(INDEX('Google Drive Map'!$B$4:$B$33,MATCH("04/"&amp;LEFT(A11,2),'Google Drive Map'!$A$4:$A$33,0)),"04 Trades &amp; Tenders/"&amp;A11))</f>
        <v/>
      </c>
      <c r="Z11" s="7">
        <f>IF(Y11="","",IF(IFERROR(INDEX('Google Drive Map'!$G$4:$G$33,MATCH(Y11,'Google Drive Map'!$B$4:$B$33,0))&amp;"","")="","",HYPERLINK(INDEX('Google Drive Map'!$G$4:$G$33,MATCH(Y11,'Google Drive Map'!$B$4:$B$33,0)),"Open")))</f>
        <v/>
      </c>
      <c r="AA11" s="23" t="n"/>
    </row>
    <row r="12">
      <c r="A12" s="22" t="n"/>
      <c r="B12" s="22" t="n"/>
      <c r="C12" s="22" t="n"/>
      <c r="D12" s="35" t="n"/>
      <c r="E12" s="22" t="n"/>
      <c r="F12" s="35" t="n"/>
      <c r="G12" s="22" t="n"/>
      <c r="H12" s="22" t="n"/>
      <c r="I12" s="35" t="n"/>
      <c r="J12" s="24" t="n"/>
      <c r="K12" s="22" t="n"/>
      <c r="L12" s="24" t="n"/>
      <c r="M12" s="22" t="n"/>
      <c r="N12" s="22" t="n"/>
      <c r="O12" s="22" t="n"/>
      <c r="P12" s="22" t="n"/>
      <c r="Q12" s="22" t="n"/>
      <c r="R12" s="22" t="n"/>
      <c r="S12" s="22" t="n"/>
      <c r="T12" s="33" t="n"/>
      <c r="U12" s="33" t="n"/>
      <c r="V12" s="7">
        <f>IF(OR(N(T12)=0,N(U12)=0),"",IF(U12&gt;T12*IF(T12&lt;Settings!$B$5,Settings!$B$4,Settings!$B$6),"Over statutory cap","OK"))</f>
        <v/>
      </c>
      <c r="W12" s="7">
        <f>IF(B12="","",IF(OR(AND(J12&lt;&gt;"",NOT(ISNUMBER(J12))),AND(L12&lt;&gt;"",NOT(ISNUMBER(L12)))),"Check date: typed as text",IF(OR(AND(ISNUMBER(J12),J12&lt;TODAY()),AND(ISNUMBER(L12),L12&lt;TODAY())),"Expired",IF(OR(AND(ISNUMBER(J12),J12-TODAY()&lt;=Settings!$B$11),AND(ISNUMBER(L12),L12-TODAY()&lt;=Settings!$B$11)),"Expires within "&amp;Settings!$B$11&amp;" days",IF(AND(OR(Q12="Engaged",S12="Yes"),OR(J12="",L12="")),"Missing expiry date","OK")))))</f>
        <v/>
      </c>
      <c r="X12" s="36">
        <f>IF(B12="","",TRIM(IF(COUNTIF(B$4:B$103,B12)&gt;1,"Duplicate business name. ","")&amp;IF(AND(N(T12)&gt;Settings!$B$7,H12=""),"Over "&amp;TEXT(Settings!$B$7,"$#,##0")&amp;": record the builder registration (or exemption) and use a written major domestic building contract. ","")&amp;IF(AND(N(T12)&gt;Settings!$B$8,N12&lt;&gt;"Yes"),"Home warranty cover needed over "&amp;TEXT(Settings!$B$8,"$#,##0")&amp;". ","")))</f>
        <v/>
      </c>
      <c r="Y12" s="7">
        <f>IF(A12="","",IFERROR(INDEX('Google Drive Map'!$B$4:$B$33,MATCH("04/"&amp;LEFT(A12,2),'Google Drive Map'!$A$4:$A$33,0)),"04 Trades &amp; Tenders/"&amp;A12))</f>
        <v/>
      </c>
      <c r="Z12" s="7">
        <f>IF(Y12="","",IF(IFERROR(INDEX('Google Drive Map'!$G$4:$G$33,MATCH(Y12,'Google Drive Map'!$B$4:$B$33,0))&amp;"","")="","",HYPERLINK(INDEX('Google Drive Map'!$G$4:$G$33,MATCH(Y12,'Google Drive Map'!$B$4:$B$33,0)),"Open")))</f>
        <v/>
      </c>
      <c r="AA12" s="23" t="n"/>
    </row>
    <row r="13">
      <c r="A13" s="22" t="n"/>
      <c r="B13" s="22" t="n"/>
      <c r="C13" s="22" t="n"/>
      <c r="D13" s="35" t="n"/>
      <c r="E13" s="22" t="n"/>
      <c r="F13" s="35" t="n"/>
      <c r="G13" s="22" t="n"/>
      <c r="H13" s="22" t="n"/>
      <c r="I13" s="35" t="n"/>
      <c r="J13" s="24" t="n"/>
      <c r="K13" s="22" t="n"/>
      <c r="L13" s="24" t="n"/>
      <c r="M13" s="22" t="n"/>
      <c r="N13" s="22" t="n"/>
      <c r="O13" s="22" t="n"/>
      <c r="P13" s="22" t="n"/>
      <c r="Q13" s="22" t="n"/>
      <c r="R13" s="22" t="n"/>
      <c r="S13" s="22" t="n"/>
      <c r="T13" s="33" t="n"/>
      <c r="U13" s="33" t="n"/>
      <c r="V13" s="7">
        <f>IF(OR(N(T13)=0,N(U13)=0),"",IF(U13&gt;T13*IF(T13&lt;Settings!$B$5,Settings!$B$4,Settings!$B$6),"Over statutory cap","OK"))</f>
        <v/>
      </c>
      <c r="W13" s="7">
        <f>IF(B13="","",IF(OR(AND(J13&lt;&gt;"",NOT(ISNUMBER(J13))),AND(L13&lt;&gt;"",NOT(ISNUMBER(L13)))),"Check date: typed as text",IF(OR(AND(ISNUMBER(J13),J13&lt;TODAY()),AND(ISNUMBER(L13),L13&lt;TODAY())),"Expired",IF(OR(AND(ISNUMBER(J13),J13-TODAY()&lt;=Settings!$B$11),AND(ISNUMBER(L13),L13-TODAY()&lt;=Settings!$B$11)),"Expires within "&amp;Settings!$B$11&amp;" days",IF(AND(OR(Q13="Engaged",S13="Yes"),OR(J13="",L13="")),"Missing expiry date","OK")))))</f>
        <v/>
      </c>
      <c r="X13" s="36">
        <f>IF(B13="","",TRIM(IF(COUNTIF(B$4:B$103,B13)&gt;1,"Duplicate business name. ","")&amp;IF(AND(N(T13)&gt;Settings!$B$7,H13=""),"Over "&amp;TEXT(Settings!$B$7,"$#,##0")&amp;": record the builder registration (or exemption) and use a written major domestic building contract. ","")&amp;IF(AND(N(T13)&gt;Settings!$B$8,N13&lt;&gt;"Yes"),"Home warranty cover needed over "&amp;TEXT(Settings!$B$8,"$#,##0")&amp;". ","")))</f>
        <v/>
      </c>
      <c r="Y13" s="7">
        <f>IF(A13="","",IFERROR(INDEX('Google Drive Map'!$B$4:$B$33,MATCH("04/"&amp;LEFT(A13,2),'Google Drive Map'!$A$4:$A$33,0)),"04 Trades &amp; Tenders/"&amp;A13))</f>
        <v/>
      </c>
      <c r="Z13" s="7">
        <f>IF(Y13="","",IF(IFERROR(INDEX('Google Drive Map'!$G$4:$G$33,MATCH(Y13,'Google Drive Map'!$B$4:$B$33,0))&amp;"","")="","",HYPERLINK(INDEX('Google Drive Map'!$G$4:$G$33,MATCH(Y13,'Google Drive Map'!$B$4:$B$33,0)),"Open")))</f>
        <v/>
      </c>
      <c r="AA13" s="23" t="n"/>
    </row>
    <row r="14">
      <c r="A14" s="22" t="n"/>
      <c r="B14" s="22" t="n"/>
      <c r="C14" s="22" t="n"/>
      <c r="D14" s="35" t="n"/>
      <c r="E14" s="22" t="n"/>
      <c r="F14" s="35" t="n"/>
      <c r="G14" s="22" t="n"/>
      <c r="H14" s="22" t="n"/>
      <c r="I14" s="35" t="n"/>
      <c r="J14" s="24" t="n"/>
      <c r="K14" s="22" t="n"/>
      <c r="L14" s="24" t="n"/>
      <c r="M14" s="22" t="n"/>
      <c r="N14" s="22" t="n"/>
      <c r="O14" s="22" t="n"/>
      <c r="P14" s="22" t="n"/>
      <c r="Q14" s="22" t="n"/>
      <c r="R14" s="22" t="n"/>
      <c r="S14" s="22" t="n"/>
      <c r="T14" s="33" t="n"/>
      <c r="U14" s="33" t="n"/>
      <c r="V14" s="7">
        <f>IF(OR(N(T14)=0,N(U14)=0),"",IF(U14&gt;T14*IF(T14&lt;Settings!$B$5,Settings!$B$4,Settings!$B$6),"Over statutory cap","OK"))</f>
        <v/>
      </c>
      <c r="W14" s="7">
        <f>IF(B14="","",IF(OR(AND(J14&lt;&gt;"",NOT(ISNUMBER(J14))),AND(L14&lt;&gt;"",NOT(ISNUMBER(L14)))),"Check date: typed as text",IF(OR(AND(ISNUMBER(J14),J14&lt;TODAY()),AND(ISNUMBER(L14),L14&lt;TODAY())),"Expired",IF(OR(AND(ISNUMBER(J14),J14-TODAY()&lt;=Settings!$B$11),AND(ISNUMBER(L14),L14-TODAY()&lt;=Settings!$B$11)),"Expires within "&amp;Settings!$B$11&amp;" days",IF(AND(OR(Q14="Engaged",S14="Yes"),OR(J14="",L14="")),"Missing expiry date","OK")))))</f>
        <v/>
      </c>
      <c r="X14" s="36">
        <f>IF(B14="","",TRIM(IF(COUNTIF(B$4:B$103,B14)&gt;1,"Duplicate business name. ","")&amp;IF(AND(N(T14)&gt;Settings!$B$7,H14=""),"Over "&amp;TEXT(Settings!$B$7,"$#,##0")&amp;": record the builder registration (or exemption) and use a written major domestic building contract. ","")&amp;IF(AND(N(T14)&gt;Settings!$B$8,N14&lt;&gt;"Yes"),"Home warranty cover needed over "&amp;TEXT(Settings!$B$8,"$#,##0")&amp;". ","")))</f>
        <v/>
      </c>
      <c r="Y14" s="7">
        <f>IF(A14="","",IFERROR(INDEX('Google Drive Map'!$B$4:$B$33,MATCH("04/"&amp;LEFT(A14,2),'Google Drive Map'!$A$4:$A$33,0)),"04 Trades &amp; Tenders/"&amp;A14))</f>
        <v/>
      </c>
      <c r="Z14" s="7">
        <f>IF(Y14="","",IF(IFERROR(INDEX('Google Drive Map'!$G$4:$G$33,MATCH(Y14,'Google Drive Map'!$B$4:$B$33,0))&amp;"","")="","",HYPERLINK(INDEX('Google Drive Map'!$G$4:$G$33,MATCH(Y14,'Google Drive Map'!$B$4:$B$33,0)),"Open")))</f>
        <v/>
      </c>
      <c r="AA14" s="23" t="n"/>
    </row>
    <row r="15">
      <c r="A15" s="22" t="n"/>
      <c r="B15" s="22" t="n"/>
      <c r="C15" s="22" t="n"/>
      <c r="D15" s="35" t="n"/>
      <c r="E15" s="22" t="n"/>
      <c r="F15" s="35" t="n"/>
      <c r="G15" s="22" t="n"/>
      <c r="H15" s="22" t="n"/>
      <c r="I15" s="35" t="n"/>
      <c r="J15" s="24" t="n"/>
      <c r="K15" s="22" t="n"/>
      <c r="L15" s="24" t="n"/>
      <c r="M15" s="22" t="n"/>
      <c r="N15" s="22" t="n"/>
      <c r="O15" s="22" t="n"/>
      <c r="P15" s="22" t="n"/>
      <c r="Q15" s="22" t="n"/>
      <c r="R15" s="22" t="n"/>
      <c r="S15" s="22" t="n"/>
      <c r="T15" s="33" t="n"/>
      <c r="U15" s="33" t="n"/>
      <c r="V15" s="7">
        <f>IF(OR(N(T15)=0,N(U15)=0),"",IF(U15&gt;T15*IF(T15&lt;Settings!$B$5,Settings!$B$4,Settings!$B$6),"Over statutory cap","OK"))</f>
        <v/>
      </c>
      <c r="W15" s="7">
        <f>IF(B15="","",IF(OR(AND(J15&lt;&gt;"",NOT(ISNUMBER(J15))),AND(L15&lt;&gt;"",NOT(ISNUMBER(L15)))),"Check date: typed as text",IF(OR(AND(ISNUMBER(J15),J15&lt;TODAY()),AND(ISNUMBER(L15),L15&lt;TODAY())),"Expired",IF(OR(AND(ISNUMBER(J15),J15-TODAY()&lt;=Settings!$B$11),AND(ISNUMBER(L15),L15-TODAY()&lt;=Settings!$B$11)),"Expires within "&amp;Settings!$B$11&amp;" days",IF(AND(OR(Q15="Engaged",S15="Yes"),OR(J15="",L15="")),"Missing expiry date","OK")))))</f>
        <v/>
      </c>
      <c r="X15" s="36">
        <f>IF(B15="","",TRIM(IF(COUNTIF(B$4:B$103,B15)&gt;1,"Duplicate business name. ","")&amp;IF(AND(N(T15)&gt;Settings!$B$7,H15=""),"Over "&amp;TEXT(Settings!$B$7,"$#,##0")&amp;": record the builder registration (or exemption) and use a written major domestic building contract. ","")&amp;IF(AND(N(T15)&gt;Settings!$B$8,N15&lt;&gt;"Yes"),"Home warranty cover needed over "&amp;TEXT(Settings!$B$8,"$#,##0")&amp;". ","")))</f>
        <v/>
      </c>
      <c r="Y15" s="7">
        <f>IF(A15="","",IFERROR(INDEX('Google Drive Map'!$B$4:$B$33,MATCH("04/"&amp;LEFT(A15,2),'Google Drive Map'!$A$4:$A$33,0)),"04 Trades &amp; Tenders/"&amp;A15))</f>
        <v/>
      </c>
      <c r="Z15" s="7">
        <f>IF(Y15="","",IF(IFERROR(INDEX('Google Drive Map'!$G$4:$G$33,MATCH(Y15,'Google Drive Map'!$B$4:$B$33,0))&amp;"","")="","",HYPERLINK(INDEX('Google Drive Map'!$G$4:$G$33,MATCH(Y15,'Google Drive Map'!$B$4:$B$33,0)),"Open")))</f>
        <v/>
      </c>
      <c r="AA15" s="23" t="n"/>
    </row>
    <row r="16">
      <c r="A16" s="22" t="n"/>
      <c r="B16" s="22" t="n"/>
      <c r="C16" s="22" t="n"/>
      <c r="D16" s="35" t="n"/>
      <c r="E16" s="22" t="n"/>
      <c r="F16" s="35" t="n"/>
      <c r="G16" s="22" t="n"/>
      <c r="H16" s="22" t="n"/>
      <c r="I16" s="35" t="n"/>
      <c r="J16" s="24" t="n"/>
      <c r="K16" s="22" t="n"/>
      <c r="L16" s="24" t="n"/>
      <c r="M16" s="22" t="n"/>
      <c r="N16" s="22" t="n"/>
      <c r="O16" s="22" t="n"/>
      <c r="P16" s="22" t="n"/>
      <c r="Q16" s="22" t="n"/>
      <c r="R16" s="22" t="n"/>
      <c r="S16" s="22" t="n"/>
      <c r="T16" s="33" t="n"/>
      <c r="U16" s="33" t="n"/>
      <c r="V16" s="7">
        <f>IF(OR(N(T16)=0,N(U16)=0),"",IF(U16&gt;T16*IF(T16&lt;Settings!$B$5,Settings!$B$4,Settings!$B$6),"Over statutory cap","OK"))</f>
        <v/>
      </c>
      <c r="W16" s="7">
        <f>IF(B16="","",IF(OR(AND(J16&lt;&gt;"",NOT(ISNUMBER(J16))),AND(L16&lt;&gt;"",NOT(ISNUMBER(L16)))),"Check date: typed as text",IF(OR(AND(ISNUMBER(J16),J16&lt;TODAY()),AND(ISNUMBER(L16),L16&lt;TODAY())),"Expired",IF(OR(AND(ISNUMBER(J16),J16-TODAY()&lt;=Settings!$B$11),AND(ISNUMBER(L16),L16-TODAY()&lt;=Settings!$B$11)),"Expires within "&amp;Settings!$B$11&amp;" days",IF(AND(OR(Q16="Engaged",S16="Yes"),OR(J16="",L16="")),"Missing expiry date","OK")))))</f>
        <v/>
      </c>
      <c r="X16" s="36">
        <f>IF(B16="","",TRIM(IF(COUNTIF(B$4:B$103,B16)&gt;1,"Duplicate business name. ","")&amp;IF(AND(N(T16)&gt;Settings!$B$7,H16=""),"Over "&amp;TEXT(Settings!$B$7,"$#,##0")&amp;": record the builder registration (or exemption) and use a written major domestic building contract. ","")&amp;IF(AND(N(T16)&gt;Settings!$B$8,N16&lt;&gt;"Yes"),"Home warranty cover needed over "&amp;TEXT(Settings!$B$8,"$#,##0")&amp;". ","")))</f>
        <v/>
      </c>
      <c r="Y16" s="7">
        <f>IF(A16="","",IFERROR(INDEX('Google Drive Map'!$B$4:$B$33,MATCH("04/"&amp;LEFT(A16,2),'Google Drive Map'!$A$4:$A$33,0)),"04 Trades &amp; Tenders/"&amp;A16))</f>
        <v/>
      </c>
      <c r="Z16" s="7">
        <f>IF(Y16="","",IF(IFERROR(INDEX('Google Drive Map'!$G$4:$G$33,MATCH(Y16,'Google Drive Map'!$B$4:$B$33,0))&amp;"","")="","",HYPERLINK(INDEX('Google Drive Map'!$G$4:$G$33,MATCH(Y16,'Google Drive Map'!$B$4:$B$33,0)),"Open")))</f>
        <v/>
      </c>
      <c r="AA16" s="23" t="n"/>
    </row>
    <row r="17">
      <c r="A17" s="22" t="n"/>
      <c r="B17" s="22" t="n"/>
      <c r="C17" s="22" t="n"/>
      <c r="D17" s="35" t="n"/>
      <c r="E17" s="22" t="n"/>
      <c r="F17" s="35" t="n"/>
      <c r="G17" s="22" t="n"/>
      <c r="H17" s="22" t="n"/>
      <c r="I17" s="35" t="n"/>
      <c r="J17" s="24" t="n"/>
      <c r="K17" s="22" t="n"/>
      <c r="L17" s="24" t="n"/>
      <c r="M17" s="22" t="n"/>
      <c r="N17" s="22" t="n"/>
      <c r="O17" s="22" t="n"/>
      <c r="P17" s="22" t="n"/>
      <c r="Q17" s="22" t="n"/>
      <c r="R17" s="22" t="n"/>
      <c r="S17" s="22" t="n"/>
      <c r="T17" s="33" t="n"/>
      <c r="U17" s="33" t="n"/>
      <c r="V17" s="7">
        <f>IF(OR(N(T17)=0,N(U17)=0),"",IF(U17&gt;T17*IF(T17&lt;Settings!$B$5,Settings!$B$4,Settings!$B$6),"Over statutory cap","OK"))</f>
        <v/>
      </c>
      <c r="W17" s="7">
        <f>IF(B17="","",IF(OR(AND(J17&lt;&gt;"",NOT(ISNUMBER(J17))),AND(L17&lt;&gt;"",NOT(ISNUMBER(L17)))),"Check date: typed as text",IF(OR(AND(ISNUMBER(J17),J17&lt;TODAY()),AND(ISNUMBER(L17),L17&lt;TODAY())),"Expired",IF(OR(AND(ISNUMBER(J17),J17-TODAY()&lt;=Settings!$B$11),AND(ISNUMBER(L17),L17-TODAY()&lt;=Settings!$B$11)),"Expires within "&amp;Settings!$B$11&amp;" days",IF(AND(OR(Q17="Engaged",S17="Yes"),OR(J17="",L17="")),"Missing expiry date","OK")))))</f>
        <v/>
      </c>
      <c r="X17" s="36">
        <f>IF(B17="","",TRIM(IF(COUNTIF(B$4:B$103,B17)&gt;1,"Duplicate business name. ","")&amp;IF(AND(N(T17)&gt;Settings!$B$7,H17=""),"Over "&amp;TEXT(Settings!$B$7,"$#,##0")&amp;": record the builder registration (or exemption) and use a written major domestic building contract. ","")&amp;IF(AND(N(T17)&gt;Settings!$B$8,N17&lt;&gt;"Yes"),"Home warranty cover needed over "&amp;TEXT(Settings!$B$8,"$#,##0")&amp;". ","")))</f>
        <v/>
      </c>
      <c r="Y17" s="7">
        <f>IF(A17="","",IFERROR(INDEX('Google Drive Map'!$B$4:$B$33,MATCH("04/"&amp;LEFT(A17,2),'Google Drive Map'!$A$4:$A$33,0)),"04 Trades &amp; Tenders/"&amp;A17))</f>
        <v/>
      </c>
      <c r="Z17" s="7">
        <f>IF(Y17="","",IF(IFERROR(INDEX('Google Drive Map'!$G$4:$G$33,MATCH(Y17,'Google Drive Map'!$B$4:$B$33,0))&amp;"","")="","",HYPERLINK(INDEX('Google Drive Map'!$G$4:$G$33,MATCH(Y17,'Google Drive Map'!$B$4:$B$33,0)),"Open")))</f>
        <v/>
      </c>
      <c r="AA17" s="23" t="n"/>
    </row>
    <row r="18">
      <c r="A18" s="22" t="n"/>
      <c r="B18" s="22" t="n"/>
      <c r="C18" s="22" t="n"/>
      <c r="D18" s="35" t="n"/>
      <c r="E18" s="22" t="n"/>
      <c r="F18" s="35" t="n"/>
      <c r="G18" s="22" t="n"/>
      <c r="H18" s="22" t="n"/>
      <c r="I18" s="35" t="n"/>
      <c r="J18" s="24" t="n"/>
      <c r="K18" s="22" t="n"/>
      <c r="L18" s="24" t="n"/>
      <c r="M18" s="22" t="n"/>
      <c r="N18" s="22" t="n"/>
      <c r="O18" s="22" t="n"/>
      <c r="P18" s="22" t="n"/>
      <c r="Q18" s="22" t="n"/>
      <c r="R18" s="22" t="n"/>
      <c r="S18" s="22" t="n"/>
      <c r="T18" s="33" t="n"/>
      <c r="U18" s="33" t="n"/>
      <c r="V18" s="7">
        <f>IF(OR(N(T18)=0,N(U18)=0),"",IF(U18&gt;T18*IF(T18&lt;Settings!$B$5,Settings!$B$4,Settings!$B$6),"Over statutory cap","OK"))</f>
        <v/>
      </c>
      <c r="W18" s="7">
        <f>IF(B18="","",IF(OR(AND(J18&lt;&gt;"",NOT(ISNUMBER(J18))),AND(L18&lt;&gt;"",NOT(ISNUMBER(L18)))),"Check date: typed as text",IF(OR(AND(ISNUMBER(J18),J18&lt;TODAY()),AND(ISNUMBER(L18),L18&lt;TODAY())),"Expired",IF(OR(AND(ISNUMBER(J18),J18-TODAY()&lt;=Settings!$B$11),AND(ISNUMBER(L18),L18-TODAY()&lt;=Settings!$B$11)),"Expires within "&amp;Settings!$B$11&amp;" days",IF(AND(OR(Q18="Engaged",S18="Yes"),OR(J18="",L18="")),"Missing expiry date","OK")))))</f>
        <v/>
      </c>
      <c r="X18" s="36">
        <f>IF(B18="","",TRIM(IF(COUNTIF(B$4:B$103,B18)&gt;1,"Duplicate business name. ","")&amp;IF(AND(N(T18)&gt;Settings!$B$7,H18=""),"Over "&amp;TEXT(Settings!$B$7,"$#,##0")&amp;": record the builder registration (or exemption) and use a written major domestic building contract. ","")&amp;IF(AND(N(T18)&gt;Settings!$B$8,N18&lt;&gt;"Yes"),"Home warranty cover needed over "&amp;TEXT(Settings!$B$8,"$#,##0")&amp;". ","")))</f>
        <v/>
      </c>
      <c r="Y18" s="7">
        <f>IF(A18="","",IFERROR(INDEX('Google Drive Map'!$B$4:$B$33,MATCH("04/"&amp;LEFT(A18,2),'Google Drive Map'!$A$4:$A$33,0)),"04 Trades &amp; Tenders/"&amp;A18))</f>
        <v/>
      </c>
      <c r="Z18" s="7">
        <f>IF(Y18="","",IF(IFERROR(INDEX('Google Drive Map'!$G$4:$G$33,MATCH(Y18,'Google Drive Map'!$B$4:$B$33,0))&amp;"","")="","",HYPERLINK(INDEX('Google Drive Map'!$G$4:$G$33,MATCH(Y18,'Google Drive Map'!$B$4:$B$33,0)),"Open")))</f>
        <v/>
      </c>
      <c r="AA18" s="23" t="n"/>
    </row>
    <row r="19">
      <c r="A19" s="22" t="n"/>
      <c r="B19" s="22" t="n"/>
      <c r="C19" s="22" t="n"/>
      <c r="D19" s="35" t="n"/>
      <c r="E19" s="22" t="n"/>
      <c r="F19" s="35" t="n"/>
      <c r="G19" s="22" t="n"/>
      <c r="H19" s="22" t="n"/>
      <c r="I19" s="35" t="n"/>
      <c r="J19" s="24" t="n"/>
      <c r="K19" s="22" t="n"/>
      <c r="L19" s="24" t="n"/>
      <c r="M19" s="22" t="n"/>
      <c r="N19" s="22" t="n"/>
      <c r="O19" s="22" t="n"/>
      <c r="P19" s="22" t="n"/>
      <c r="Q19" s="22" t="n"/>
      <c r="R19" s="22" t="n"/>
      <c r="S19" s="22" t="n"/>
      <c r="T19" s="33" t="n"/>
      <c r="U19" s="33" t="n"/>
      <c r="V19" s="7">
        <f>IF(OR(N(T19)=0,N(U19)=0),"",IF(U19&gt;T19*IF(T19&lt;Settings!$B$5,Settings!$B$4,Settings!$B$6),"Over statutory cap","OK"))</f>
        <v/>
      </c>
      <c r="W19" s="7">
        <f>IF(B19="","",IF(OR(AND(J19&lt;&gt;"",NOT(ISNUMBER(J19))),AND(L19&lt;&gt;"",NOT(ISNUMBER(L19)))),"Check date: typed as text",IF(OR(AND(ISNUMBER(J19),J19&lt;TODAY()),AND(ISNUMBER(L19),L19&lt;TODAY())),"Expired",IF(OR(AND(ISNUMBER(J19),J19-TODAY()&lt;=Settings!$B$11),AND(ISNUMBER(L19),L19-TODAY()&lt;=Settings!$B$11)),"Expires within "&amp;Settings!$B$11&amp;" days",IF(AND(OR(Q19="Engaged",S19="Yes"),OR(J19="",L19="")),"Missing expiry date","OK")))))</f>
        <v/>
      </c>
      <c r="X19" s="36">
        <f>IF(B19="","",TRIM(IF(COUNTIF(B$4:B$103,B19)&gt;1,"Duplicate business name. ","")&amp;IF(AND(N(T19)&gt;Settings!$B$7,H19=""),"Over "&amp;TEXT(Settings!$B$7,"$#,##0")&amp;": record the builder registration (or exemption) and use a written major domestic building contract. ","")&amp;IF(AND(N(T19)&gt;Settings!$B$8,N19&lt;&gt;"Yes"),"Home warranty cover needed over "&amp;TEXT(Settings!$B$8,"$#,##0")&amp;". ","")))</f>
        <v/>
      </c>
      <c r="Y19" s="7">
        <f>IF(A19="","",IFERROR(INDEX('Google Drive Map'!$B$4:$B$33,MATCH("04/"&amp;LEFT(A19,2),'Google Drive Map'!$A$4:$A$33,0)),"04 Trades &amp; Tenders/"&amp;A19))</f>
        <v/>
      </c>
      <c r="Z19" s="7">
        <f>IF(Y19="","",IF(IFERROR(INDEX('Google Drive Map'!$G$4:$G$33,MATCH(Y19,'Google Drive Map'!$B$4:$B$33,0))&amp;"","")="","",HYPERLINK(INDEX('Google Drive Map'!$G$4:$G$33,MATCH(Y19,'Google Drive Map'!$B$4:$B$33,0)),"Open")))</f>
        <v/>
      </c>
      <c r="AA19" s="23" t="n"/>
    </row>
    <row r="20">
      <c r="A20" s="22" t="n"/>
      <c r="B20" s="22" t="n"/>
      <c r="C20" s="22" t="n"/>
      <c r="D20" s="35" t="n"/>
      <c r="E20" s="22" t="n"/>
      <c r="F20" s="35" t="n"/>
      <c r="G20" s="22" t="n"/>
      <c r="H20" s="22" t="n"/>
      <c r="I20" s="35" t="n"/>
      <c r="J20" s="24" t="n"/>
      <c r="K20" s="22" t="n"/>
      <c r="L20" s="24" t="n"/>
      <c r="M20" s="22" t="n"/>
      <c r="N20" s="22" t="n"/>
      <c r="O20" s="22" t="n"/>
      <c r="P20" s="22" t="n"/>
      <c r="Q20" s="22" t="n"/>
      <c r="R20" s="22" t="n"/>
      <c r="S20" s="22" t="n"/>
      <c r="T20" s="33" t="n"/>
      <c r="U20" s="33" t="n"/>
      <c r="V20" s="7">
        <f>IF(OR(N(T20)=0,N(U20)=0),"",IF(U20&gt;T20*IF(T20&lt;Settings!$B$5,Settings!$B$4,Settings!$B$6),"Over statutory cap","OK"))</f>
        <v/>
      </c>
      <c r="W20" s="7">
        <f>IF(B20="","",IF(OR(AND(J20&lt;&gt;"",NOT(ISNUMBER(J20))),AND(L20&lt;&gt;"",NOT(ISNUMBER(L20)))),"Check date: typed as text",IF(OR(AND(ISNUMBER(J20),J20&lt;TODAY()),AND(ISNUMBER(L20),L20&lt;TODAY())),"Expired",IF(OR(AND(ISNUMBER(J20),J20-TODAY()&lt;=Settings!$B$11),AND(ISNUMBER(L20),L20-TODAY()&lt;=Settings!$B$11)),"Expires within "&amp;Settings!$B$11&amp;" days",IF(AND(OR(Q20="Engaged",S20="Yes"),OR(J20="",L20="")),"Missing expiry date","OK")))))</f>
        <v/>
      </c>
      <c r="X20" s="36">
        <f>IF(B20="","",TRIM(IF(COUNTIF(B$4:B$103,B20)&gt;1,"Duplicate business name. ","")&amp;IF(AND(N(T20)&gt;Settings!$B$7,H20=""),"Over "&amp;TEXT(Settings!$B$7,"$#,##0")&amp;": record the builder registration (or exemption) and use a written major domestic building contract. ","")&amp;IF(AND(N(T20)&gt;Settings!$B$8,N20&lt;&gt;"Yes"),"Home warranty cover needed over "&amp;TEXT(Settings!$B$8,"$#,##0")&amp;". ","")))</f>
        <v/>
      </c>
      <c r="Y20" s="7">
        <f>IF(A20="","",IFERROR(INDEX('Google Drive Map'!$B$4:$B$33,MATCH("04/"&amp;LEFT(A20,2),'Google Drive Map'!$A$4:$A$33,0)),"04 Trades &amp; Tenders/"&amp;A20))</f>
        <v/>
      </c>
      <c r="Z20" s="7">
        <f>IF(Y20="","",IF(IFERROR(INDEX('Google Drive Map'!$G$4:$G$33,MATCH(Y20,'Google Drive Map'!$B$4:$B$33,0))&amp;"","")="","",HYPERLINK(INDEX('Google Drive Map'!$G$4:$G$33,MATCH(Y20,'Google Drive Map'!$B$4:$B$33,0)),"Open")))</f>
        <v/>
      </c>
      <c r="AA20" s="23" t="n"/>
    </row>
    <row r="21">
      <c r="A21" s="22" t="n"/>
      <c r="B21" s="22" t="n"/>
      <c r="C21" s="22" t="n"/>
      <c r="D21" s="35" t="n"/>
      <c r="E21" s="22" t="n"/>
      <c r="F21" s="35" t="n"/>
      <c r="G21" s="22" t="n"/>
      <c r="H21" s="22" t="n"/>
      <c r="I21" s="35" t="n"/>
      <c r="J21" s="24" t="n"/>
      <c r="K21" s="22" t="n"/>
      <c r="L21" s="24" t="n"/>
      <c r="M21" s="22" t="n"/>
      <c r="N21" s="22" t="n"/>
      <c r="O21" s="22" t="n"/>
      <c r="P21" s="22" t="n"/>
      <c r="Q21" s="22" t="n"/>
      <c r="R21" s="22" t="n"/>
      <c r="S21" s="22" t="n"/>
      <c r="T21" s="33" t="n"/>
      <c r="U21" s="33" t="n"/>
      <c r="V21" s="7">
        <f>IF(OR(N(T21)=0,N(U21)=0),"",IF(U21&gt;T21*IF(T21&lt;Settings!$B$5,Settings!$B$4,Settings!$B$6),"Over statutory cap","OK"))</f>
        <v/>
      </c>
      <c r="W21" s="7">
        <f>IF(B21="","",IF(OR(AND(J21&lt;&gt;"",NOT(ISNUMBER(J21))),AND(L21&lt;&gt;"",NOT(ISNUMBER(L21)))),"Check date: typed as text",IF(OR(AND(ISNUMBER(J21),J21&lt;TODAY()),AND(ISNUMBER(L21),L21&lt;TODAY())),"Expired",IF(OR(AND(ISNUMBER(J21),J21-TODAY()&lt;=Settings!$B$11),AND(ISNUMBER(L21),L21-TODAY()&lt;=Settings!$B$11)),"Expires within "&amp;Settings!$B$11&amp;" days",IF(AND(OR(Q21="Engaged",S21="Yes"),OR(J21="",L21="")),"Missing expiry date","OK")))))</f>
        <v/>
      </c>
      <c r="X21" s="36">
        <f>IF(B21="","",TRIM(IF(COUNTIF(B$4:B$103,B21)&gt;1,"Duplicate business name. ","")&amp;IF(AND(N(T21)&gt;Settings!$B$7,H21=""),"Over "&amp;TEXT(Settings!$B$7,"$#,##0")&amp;": record the builder registration (or exemption) and use a written major domestic building contract. ","")&amp;IF(AND(N(T21)&gt;Settings!$B$8,N21&lt;&gt;"Yes"),"Home warranty cover needed over "&amp;TEXT(Settings!$B$8,"$#,##0")&amp;". ","")))</f>
        <v/>
      </c>
      <c r="Y21" s="7">
        <f>IF(A21="","",IFERROR(INDEX('Google Drive Map'!$B$4:$B$33,MATCH("04/"&amp;LEFT(A21,2),'Google Drive Map'!$A$4:$A$33,0)),"04 Trades &amp; Tenders/"&amp;A21))</f>
        <v/>
      </c>
      <c r="Z21" s="7">
        <f>IF(Y21="","",IF(IFERROR(INDEX('Google Drive Map'!$G$4:$G$33,MATCH(Y21,'Google Drive Map'!$B$4:$B$33,0))&amp;"","")="","",HYPERLINK(INDEX('Google Drive Map'!$G$4:$G$33,MATCH(Y21,'Google Drive Map'!$B$4:$B$33,0)),"Open")))</f>
        <v/>
      </c>
      <c r="AA21" s="23" t="n"/>
    </row>
    <row r="22">
      <c r="A22" s="22" t="n"/>
      <c r="B22" s="22" t="n"/>
      <c r="C22" s="22" t="n"/>
      <c r="D22" s="35" t="n"/>
      <c r="E22" s="22" t="n"/>
      <c r="F22" s="35" t="n"/>
      <c r="G22" s="22" t="n"/>
      <c r="H22" s="22" t="n"/>
      <c r="I22" s="35" t="n"/>
      <c r="J22" s="24" t="n"/>
      <c r="K22" s="22" t="n"/>
      <c r="L22" s="24" t="n"/>
      <c r="M22" s="22" t="n"/>
      <c r="N22" s="22" t="n"/>
      <c r="O22" s="22" t="n"/>
      <c r="P22" s="22" t="n"/>
      <c r="Q22" s="22" t="n"/>
      <c r="R22" s="22" t="n"/>
      <c r="S22" s="22" t="n"/>
      <c r="T22" s="33" t="n"/>
      <c r="U22" s="33" t="n"/>
      <c r="V22" s="7">
        <f>IF(OR(N(T22)=0,N(U22)=0),"",IF(U22&gt;T22*IF(T22&lt;Settings!$B$5,Settings!$B$4,Settings!$B$6),"Over statutory cap","OK"))</f>
        <v/>
      </c>
      <c r="W22" s="7">
        <f>IF(B22="","",IF(OR(AND(J22&lt;&gt;"",NOT(ISNUMBER(J22))),AND(L22&lt;&gt;"",NOT(ISNUMBER(L22)))),"Check date: typed as text",IF(OR(AND(ISNUMBER(J22),J22&lt;TODAY()),AND(ISNUMBER(L22),L22&lt;TODAY())),"Expired",IF(OR(AND(ISNUMBER(J22),J22-TODAY()&lt;=Settings!$B$11),AND(ISNUMBER(L22),L22-TODAY()&lt;=Settings!$B$11)),"Expires within "&amp;Settings!$B$11&amp;" days",IF(AND(OR(Q22="Engaged",S22="Yes"),OR(J22="",L22="")),"Missing expiry date","OK")))))</f>
        <v/>
      </c>
      <c r="X22" s="36">
        <f>IF(B22="","",TRIM(IF(COUNTIF(B$4:B$103,B22)&gt;1,"Duplicate business name. ","")&amp;IF(AND(N(T22)&gt;Settings!$B$7,H22=""),"Over "&amp;TEXT(Settings!$B$7,"$#,##0")&amp;": record the builder registration (or exemption) and use a written major domestic building contract. ","")&amp;IF(AND(N(T22)&gt;Settings!$B$8,N22&lt;&gt;"Yes"),"Home warranty cover needed over "&amp;TEXT(Settings!$B$8,"$#,##0")&amp;". ","")))</f>
        <v/>
      </c>
      <c r="Y22" s="7">
        <f>IF(A22="","",IFERROR(INDEX('Google Drive Map'!$B$4:$B$33,MATCH("04/"&amp;LEFT(A22,2),'Google Drive Map'!$A$4:$A$33,0)),"04 Trades &amp; Tenders/"&amp;A22))</f>
        <v/>
      </c>
      <c r="Z22" s="7">
        <f>IF(Y22="","",IF(IFERROR(INDEX('Google Drive Map'!$G$4:$G$33,MATCH(Y22,'Google Drive Map'!$B$4:$B$33,0))&amp;"","")="","",HYPERLINK(INDEX('Google Drive Map'!$G$4:$G$33,MATCH(Y22,'Google Drive Map'!$B$4:$B$33,0)),"Open")))</f>
        <v/>
      </c>
      <c r="AA22" s="23" t="n"/>
    </row>
    <row r="23">
      <c r="A23" s="22" t="n"/>
      <c r="B23" s="22" t="n"/>
      <c r="C23" s="22" t="n"/>
      <c r="D23" s="35" t="n"/>
      <c r="E23" s="22" t="n"/>
      <c r="F23" s="35" t="n"/>
      <c r="G23" s="22" t="n"/>
      <c r="H23" s="22" t="n"/>
      <c r="I23" s="35" t="n"/>
      <c r="J23" s="24" t="n"/>
      <c r="K23" s="22" t="n"/>
      <c r="L23" s="24" t="n"/>
      <c r="M23" s="22" t="n"/>
      <c r="N23" s="22" t="n"/>
      <c r="O23" s="22" t="n"/>
      <c r="P23" s="22" t="n"/>
      <c r="Q23" s="22" t="n"/>
      <c r="R23" s="22" t="n"/>
      <c r="S23" s="22" t="n"/>
      <c r="T23" s="33" t="n"/>
      <c r="U23" s="33" t="n"/>
      <c r="V23" s="7">
        <f>IF(OR(N(T23)=0,N(U23)=0),"",IF(U23&gt;T23*IF(T23&lt;Settings!$B$5,Settings!$B$4,Settings!$B$6),"Over statutory cap","OK"))</f>
        <v/>
      </c>
      <c r="W23" s="7">
        <f>IF(B23="","",IF(OR(AND(J23&lt;&gt;"",NOT(ISNUMBER(J23))),AND(L23&lt;&gt;"",NOT(ISNUMBER(L23)))),"Check date: typed as text",IF(OR(AND(ISNUMBER(J23),J23&lt;TODAY()),AND(ISNUMBER(L23),L23&lt;TODAY())),"Expired",IF(OR(AND(ISNUMBER(J23),J23-TODAY()&lt;=Settings!$B$11),AND(ISNUMBER(L23),L23-TODAY()&lt;=Settings!$B$11)),"Expires within "&amp;Settings!$B$11&amp;" days",IF(AND(OR(Q23="Engaged",S23="Yes"),OR(J23="",L23="")),"Missing expiry date","OK")))))</f>
        <v/>
      </c>
      <c r="X23" s="36">
        <f>IF(B23="","",TRIM(IF(COUNTIF(B$4:B$103,B23)&gt;1,"Duplicate business name. ","")&amp;IF(AND(N(T23)&gt;Settings!$B$7,H23=""),"Over "&amp;TEXT(Settings!$B$7,"$#,##0")&amp;": record the builder registration (or exemption) and use a written major domestic building contract. ","")&amp;IF(AND(N(T23)&gt;Settings!$B$8,N23&lt;&gt;"Yes"),"Home warranty cover needed over "&amp;TEXT(Settings!$B$8,"$#,##0")&amp;". ","")))</f>
        <v/>
      </c>
      <c r="Y23" s="7">
        <f>IF(A23="","",IFERROR(INDEX('Google Drive Map'!$B$4:$B$33,MATCH("04/"&amp;LEFT(A23,2),'Google Drive Map'!$A$4:$A$33,0)),"04 Trades &amp; Tenders/"&amp;A23))</f>
        <v/>
      </c>
      <c r="Z23" s="7">
        <f>IF(Y23="","",IF(IFERROR(INDEX('Google Drive Map'!$G$4:$G$33,MATCH(Y23,'Google Drive Map'!$B$4:$B$33,0))&amp;"","")="","",HYPERLINK(INDEX('Google Drive Map'!$G$4:$G$33,MATCH(Y23,'Google Drive Map'!$B$4:$B$33,0)),"Open")))</f>
        <v/>
      </c>
      <c r="AA23" s="23" t="n"/>
    </row>
    <row r="24">
      <c r="A24" s="22" t="n"/>
      <c r="B24" s="22" t="n"/>
      <c r="C24" s="22" t="n"/>
      <c r="D24" s="35" t="n"/>
      <c r="E24" s="22" t="n"/>
      <c r="F24" s="35" t="n"/>
      <c r="G24" s="22" t="n"/>
      <c r="H24" s="22" t="n"/>
      <c r="I24" s="35" t="n"/>
      <c r="J24" s="24" t="n"/>
      <c r="K24" s="22" t="n"/>
      <c r="L24" s="24" t="n"/>
      <c r="M24" s="22" t="n"/>
      <c r="N24" s="22" t="n"/>
      <c r="O24" s="22" t="n"/>
      <c r="P24" s="22" t="n"/>
      <c r="Q24" s="22" t="n"/>
      <c r="R24" s="22" t="n"/>
      <c r="S24" s="22" t="n"/>
      <c r="T24" s="33" t="n"/>
      <c r="U24" s="33" t="n"/>
      <c r="V24" s="7">
        <f>IF(OR(N(T24)=0,N(U24)=0),"",IF(U24&gt;T24*IF(T24&lt;Settings!$B$5,Settings!$B$4,Settings!$B$6),"Over statutory cap","OK"))</f>
        <v/>
      </c>
      <c r="W24" s="7">
        <f>IF(B24="","",IF(OR(AND(J24&lt;&gt;"",NOT(ISNUMBER(J24))),AND(L24&lt;&gt;"",NOT(ISNUMBER(L24)))),"Check date: typed as text",IF(OR(AND(ISNUMBER(J24),J24&lt;TODAY()),AND(ISNUMBER(L24),L24&lt;TODAY())),"Expired",IF(OR(AND(ISNUMBER(J24),J24-TODAY()&lt;=Settings!$B$11),AND(ISNUMBER(L24),L24-TODAY()&lt;=Settings!$B$11)),"Expires within "&amp;Settings!$B$11&amp;" days",IF(AND(OR(Q24="Engaged",S24="Yes"),OR(J24="",L24="")),"Missing expiry date","OK")))))</f>
        <v/>
      </c>
      <c r="X24" s="36">
        <f>IF(B24="","",TRIM(IF(COUNTIF(B$4:B$103,B24)&gt;1,"Duplicate business name. ","")&amp;IF(AND(N(T24)&gt;Settings!$B$7,H24=""),"Over "&amp;TEXT(Settings!$B$7,"$#,##0")&amp;": record the builder registration (or exemption) and use a written major domestic building contract. ","")&amp;IF(AND(N(T24)&gt;Settings!$B$8,N24&lt;&gt;"Yes"),"Home warranty cover needed over "&amp;TEXT(Settings!$B$8,"$#,##0")&amp;". ","")))</f>
        <v/>
      </c>
      <c r="Y24" s="7">
        <f>IF(A24="","",IFERROR(INDEX('Google Drive Map'!$B$4:$B$33,MATCH("04/"&amp;LEFT(A24,2),'Google Drive Map'!$A$4:$A$33,0)),"04 Trades &amp; Tenders/"&amp;A24))</f>
        <v/>
      </c>
      <c r="Z24" s="7">
        <f>IF(Y24="","",IF(IFERROR(INDEX('Google Drive Map'!$G$4:$G$33,MATCH(Y24,'Google Drive Map'!$B$4:$B$33,0))&amp;"","")="","",HYPERLINK(INDEX('Google Drive Map'!$G$4:$G$33,MATCH(Y24,'Google Drive Map'!$B$4:$B$33,0)),"Open")))</f>
        <v/>
      </c>
      <c r="AA24" s="23" t="n"/>
    </row>
    <row r="25">
      <c r="A25" s="22" t="n"/>
      <c r="B25" s="22" t="n"/>
      <c r="C25" s="22" t="n"/>
      <c r="D25" s="35" t="n"/>
      <c r="E25" s="22" t="n"/>
      <c r="F25" s="35" t="n"/>
      <c r="G25" s="22" t="n"/>
      <c r="H25" s="22" t="n"/>
      <c r="I25" s="35" t="n"/>
      <c r="J25" s="24" t="n"/>
      <c r="K25" s="22" t="n"/>
      <c r="L25" s="24" t="n"/>
      <c r="M25" s="22" t="n"/>
      <c r="N25" s="22" t="n"/>
      <c r="O25" s="22" t="n"/>
      <c r="P25" s="22" t="n"/>
      <c r="Q25" s="22" t="n"/>
      <c r="R25" s="22" t="n"/>
      <c r="S25" s="22" t="n"/>
      <c r="T25" s="33" t="n"/>
      <c r="U25" s="33" t="n"/>
      <c r="V25" s="7">
        <f>IF(OR(N(T25)=0,N(U25)=0),"",IF(U25&gt;T25*IF(T25&lt;Settings!$B$5,Settings!$B$4,Settings!$B$6),"Over statutory cap","OK"))</f>
        <v/>
      </c>
      <c r="W25" s="7">
        <f>IF(B25="","",IF(OR(AND(J25&lt;&gt;"",NOT(ISNUMBER(J25))),AND(L25&lt;&gt;"",NOT(ISNUMBER(L25)))),"Check date: typed as text",IF(OR(AND(ISNUMBER(J25),J25&lt;TODAY()),AND(ISNUMBER(L25),L25&lt;TODAY())),"Expired",IF(OR(AND(ISNUMBER(J25),J25-TODAY()&lt;=Settings!$B$11),AND(ISNUMBER(L25),L25-TODAY()&lt;=Settings!$B$11)),"Expires within "&amp;Settings!$B$11&amp;" days",IF(AND(OR(Q25="Engaged",S25="Yes"),OR(J25="",L25="")),"Missing expiry date","OK")))))</f>
        <v/>
      </c>
      <c r="X25" s="36">
        <f>IF(B25="","",TRIM(IF(COUNTIF(B$4:B$103,B25)&gt;1,"Duplicate business name. ","")&amp;IF(AND(N(T25)&gt;Settings!$B$7,H25=""),"Over "&amp;TEXT(Settings!$B$7,"$#,##0")&amp;": record the builder registration (or exemption) and use a written major domestic building contract. ","")&amp;IF(AND(N(T25)&gt;Settings!$B$8,N25&lt;&gt;"Yes"),"Home warranty cover needed over "&amp;TEXT(Settings!$B$8,"$#,##0")&amp;". ","")))</f>
        <v/>
      </c>
      <c r="Y25" s="7">
        <f>IF(A25="","",IFERROR(INDEX('Google Drive Map'!$B$4:$B$33,MATCH("04/"&amp;LEFT(A25,2),'Google Drive Map'!$A$4:$A$33,0)),"04 Trades &amp; Tenders/"&amp;A25))</f>
        <v/>
      </c>
      <c r="Z25" s="7">
        <f>IF(Y25="","",IF(IFERROR(INDEX('Google Drive Map'!$G$4:$G$33,MATCH(Y25,'Google Drive Map'!$B$4:$B$33,0))&amp;"","")="","",HYPERLINK(INDEX('Google Drive Map'!$G$4:$G$33,MATCH(Y25,'Google Drive Map'!$B$4:$B$33,0)),"Open")))</f>
        <v/>
      </c>
      <c r="AA25" s="23" t="n"/>
    </row>
    <row r="26">
      <c r="A26" s="22" t="n"/>
      <c r="B26" s="22" t="n"/>
      <c r="C26" s="22" t="n"/>
      <c r="D26" s="35" t="n"/>
      <c r="E26" s="22" t="n"/>
      <c r="F26" s="35" t="n"/>
      <c r="G26" s="22" t="n"/>
      <c r="H26" s="22" t="n"/>
      <c r="I26" s="35" t="n"/>
      <c r="J26" s="24" t="n"/>
      <c r="K26" s="22" t="n"/>
      <c r="L26" s="24" t="n"/>
      <c r="M26" s="22" t="n"/>
      <c r="N26" s="22" t="n"/>
      <c r="O26" s="22" t="n"/>
      <c r="P26" s="22" t="n"/>
      <c r="Q26" s="22" t="n"/>
      <c r="R26" s="22" t="n"/>
      <c r="S26" s="22" t="n"/>
      <c r="T26" s="33" t="n"/>
      <c r="U26" s="33" t="n"/>
      <c r="V26" s="7">
        <f>IF(OR(N(T26)=0,N(U26)=0),"",IF(U26&gt;T26*IF(T26&lt;Settings!$B$5,Settings!$B$4,Settings!$B$6),"Over statutory cap","OK"))</f>
        <v/>
      </c>
      <c r="W26" s="7">
        <f>IF(B26="","",IF(OR(AND(J26&lt;&gt;"",NOT(ISNUMBER(J26))),AND(L26&lt;&gt;"",NOT(ISNUMBER(L26)))),"Check date: typed as text",IF(OR(AND(ISNUMBER(J26),J26&lt;TODAY()),AND(ISNUMBER(L26),L26&lt;TODAY())),"Expired",IF(OR(AND(ISNUMBER(J26),J26-TODAY()&lt;=Settings!$B$11),AND(ISNUMBER(L26),L26-TODAY()&lt;=Settings!$B$11)),"Expires within "&amp;Settings!$B$11&amp;" days",IF(AND(OR(Q26="Engaged",S26="Yes"),OR(J26="",L26="")),"Missing expiry date","OK")))))</f>
        <v/>
      </c>
      <c r="X26" s="36">
        <f>IF(B26="","",TRIM(IF(COUNTIF(B$4:B$103,B26)&gt;1,"Duplicate business name. ","")&amp;IF(AND(N(T26)&gt;Settings!$B$7,H26=""),"Over "&amp;TEXT(Settings!$B$7,"$#,##0")&amp;": record the builder registration (or exemption) and use a written major domestic building contract. ","")&amp;IF(AND(N(T26)&gt;Settings!$B$8,N26&lt;&gt;"Yes"),"Home warranty cover needed over "&amp;TEXT(Settings!$B$8,"$#,##0")&amp;". ","")))</f>
        <v/>
      </c>
      <c r="Y26" s="7">
        <f>IF(A26="","",IFERROR(INDEX('Google Drive Map'!$B$4:$B$33,MATCH("04/"&amp;LEFT(A26,2),'Google Drive Map'!$A$4:$A$33,0)),"04 Trades &amp; Tenders/"&amp;A26))</f>
        <v/>
      </c>
      <c r="Z26" s="7">
        <f>IF(Y26="","",IF(IFERROR(INDEX('Google Drive Map'!$G$4:$G$33,MATCH(Y26,'Google Drive Map'!$B$4:$B$33,0))&amp;"","")="","",HYPERLINK(INDEX('Google Drive Map'!$G$4:$G$33,MATCH(Y26,'Google Drive Map'!$B$4:$B$33,0)),"Open")))</f>
        <v/>
      </c>
      <c r="AA26" s="23" t="n"/>
    </row>
    <row r="27">
      <c r="A27" s="22" t="n"/>
      <c r="B27" s="22" t="n"/>
      <c r="C27" s="22" t="n"/>
      <c r="D27" s="35" t="n"/>
      <c r="E27" s="22" t="n"/>
      <c r="F27" s="35" t="n"/>
      <c r="G27" s="22" t="n"/>
      <c r="H27" s="22" t="n"/>
      <c r="I27" s="35" t="n"/>
      <c r="J27" s="24" t="n"/>
      <c r="K27" s="22" t="n"/>
      <c r="L27" s="24" t="n"/>
      <c r="M27" s="22" t="n"/>
      <c r="N27" s="22" t="n"/>
      <c r="O27" s="22" t="n"/>
      <c r="P27" s="22" t="n"/>
      <c r="Q27" s="22" t="n"/>
      <c r="R27" s="22" t="n"/>
      <c r="S27" s="22" t="n"/>
      <c r="T27" s="33" t="n"/>
      <c r="U27" s="33" t="n"/>
      <c r="V27" s="7">
        <f>IF(OR(N(T27)=0,N(U27)=0),"",IF(U27&gt;T27*IF(T27&lt;Settings!$B$5,Settings!$B$4,Settings!$B$6),"Over statutory cap","OK"))</f>
        <v/>
      </c>
      <c r="W27" s="7">
        <f>IF(B27="","",IF(OR(AND(J27&lt;&gt;"",NOT(ISNUMBER(J27))),AND(L27&lt;&gt;"",NOT(ISNUMBER(L27)))),"Check date: typed as text",IF(OR(AND(ISNUMBER(J27),J27&lt;TODAY()),AND(ISNUMBER(L27),L27&lt;TODAY())),"Expired",IF(OR(AND(ISNUMBER(J27),J27-TODAY()&lt;=Settings!$B$11),AND(ISNUMBER(L27),L27-TODAY()&lt;=Settings!$B$11)),"Expires within "&amp;Settings!$B$11&amp;" days",IF(AND(OR(Q27="Engaged",S27="Yes"),OR(J27="",L27="")),"Missing expiry date","OK")))))</f>
        <v/>
      </c>
      <c r="X27" s="36">
        <f>IF(B27="","",TRIM(IF(COUNTIF(B$4:B$103,B27)&gt;1,"Duplicate business name. ","")&amp;IF(AND(N(T27)&gt;Settings!$B$7,H27=""),"Over "&amp;TEXT(Settings!$B$7,"$#,##0")&amp;": record the builder registration (or exemption) and use a written major domestic building contract. ","")&amp;IF(AND(N(T27)&gt;Settings!$B$8,N27&lt;&gt;"Yes"),"Home warranty cover needed over "&amp;TEXT(Settings!$B$8,"$#,##0")&amp;". ","")))</f>
        <v/>
      </c>
      <c r="Y27" s="7">
        <f>IF(A27="","",IFERROR(INDEX('Google Drive Map'!$B$4:$B$33,MATCH("04/"&amp;LEFT(A27,2),'Google Drive Map'!$A$4:$A$33,0)),"04 Trades &amp; Tenders/"&amp;A27))</f>
        <v/>
      </c>
      <c r="Z27" s="7">
        <f>IF(Y27="","",IF(IFERROR(INDEX('Google Drive Map'!$G$4:$G$33,MATCH(Y27,'Google Drive Map'!$B$4:$B$33,0))&amp;"","")="","",HYPERLINK(INDEX('Google Drive Map'!$G$4:$G$33,MATCH(Y27,'Google Drive Map'!$B$4:$B$33,0)),"Open")))</f>
        <v/>
      </c>
      <c r="AA27" s="23" t="n"/>
    </row>
    <row r="28">
      <c r="A28" s="22" t="n"/>
      <c r="B28" s="22" t="n"/>
      <c r="C28" s="22" t="n"/>
      <c r="D28" s="35" t="n"/>
      <c r="E28" s="22" t="n"/>
      <c r="F28" s="35" t="n"/>
      <c r="G28" s="22" t="n"/>
      <c r="H28" s="22" t="n"/>
      <c r="I28" s="35" t="n"/>
      <c r="J28" s="24" t="n"/>
      <c r="K28" s="22" t="n"/>
      <c r="L28" s="24" t="n"/>
      <c r="M28" s="22" t="n"/>
      <c r="N28" s="22" t="n"/>
      <c r="O28" s="22" t="n"/>
      <c r="P28" s="22" t="n"/>
      <c r="Q28" s="22" t="n"/>
      <c r="R28" s="22" t="n"/>
      <c r="S28" s="22" t="n"/>
      <c r="T28" s="33" t="n"/>
      <c r="U28" s="33" t="n"/>
      <c r="V28" s="7">
        <f>IF(OR(N(T28)=0,N(U28)=0),"",IF(U28&gt;T28*IF(T28&lt;Settings!$B$5,Settings!$B$4,Settings!$B$6),"Over statutory cap","OK"))</f>
        <v/>
      </c>
      <c r="W28" s="7">
        <f>IF(B28="","",IF(OR(AND(J28&lt;&gt;"",NOT(ISNUMBER(J28))),AND(L28&lt;&gt;"",NOT(ISNUMBER(L28)))),"Check date: typed as text",IF(OR(AND(ISNUMBER(J28),J28&lt;TODAY()),AND(ISNUMBER(L28),L28&lt;TODAY())),"Expired",IF(OR(AND(ISNUMBER(J28),J28-TODAY()&lt;=Settings!$B$11),AND(ISNUMBER(L28),L28-TODAY()&lt;=Settings!$B$11)),"Expires within "&amp;Settings!$B$11&amp;" days",IF(AND(OR(Q28="Engaged",S28="Yes"),OR(J28="",L28="")),"Missing expiry date","OK")))))</f>
        <v/>
      </c>
      <c r="X28" s="36">
        <f>IF(B28="","",TRIM(IF(COUNTIF(B$4:B$103,B28)&gt;1,"Duplicate business name. ","")&amp;IF(AND(N(T28)&gt;Settings!$B$7,H28=""),"Over "&amp;TEXT(Settings!$B$7,"$#,##0")&amp;": record the builder registration (or exemption) and use a written major domestic building contract. ","")&amp;IF(AND(N(T28)&gt;Settings!$B$8,N28&lt;&gt;"Yes"),"Home warranty cover needed over "&amp;TEXT(Settings!$B$8,"$#,##0")&amp;". ","")))</f>
        <v/>
      </c>
      <c r="Y28" s="7">
        <f>IF(A28="","",IFERROR(INDEX('Google Drive Map'!$B$4:$B$33,MATCH("04/"&amp;LEFT(A28,2),'Google Drive Map'!$A$4:$A$33,0)),"04 Trades &amp; Tenders/"&amp;A28))</f>
        <v/>
      </c>
      <c r="Z28" s="7">
        <f>IF(Y28="","",IF(IFERROR(INDEX('Google Drive Map'!$G$4:$G$33,MATCH(Y28,'Google Drive Map'!$B$4:$B$33,0))&amp;"","")="","",HYPERLINK(INDEX('Google Drive Map'!$G$4:$G$33,MATCH(Y28,'Google Drive Map'!$B$4:$B$33,0)),"Open")))</f>
        <v/>
      </c>
      <c r="AA28" s="23" t="n"/>
    </row>
    <row r="29">
      <c r="A29" s="22" t="n"/>
      <c r="B29" s="22" t="n"/>
      <c r="C29" s="22" t="n"/>
      <c r="D29" s="35" t="n"/>
      <c r="E29" s="22" t="n"/>
      <c r="F29" s="35" t="n"/>
      <c r="G29" s="22" t="n"/>
      <c r="H29" s="22" t="n"/>
      <c r="I29" s="35" t="n"/>
      <c r="J29" s="24" t="n"/>
      <c r="K29" s="22" t="n"/>
      <c r="L29" s="24" t="n"/>
      <c r="M29" s="22" t="n"/>
      <c r="N29" s="22" t="n"/>
      <c r="O29" s="22" t="n"/>
      <c r="P29" s="22" t="n"/>
      <c r="Q29" s="22" t="n"/>
      <c r="R29" s="22" t="n"/>
      <c r="S29" s="22" t="n"/>
      <c r="T29" s="33" t="n"/>
      <c r="U29" s="33" t="n"/>
      <c r="V29" s="7">
        <f>IF(OR(N(T29)=0,N(U29)=0),"",IF(U29&gt;T29*IF(T29&lt;Settings!$B$5,Settings!$B$4,Settings!$B$6),"Over statutory cap","OK"))</f>
        <v/>
      </c>
      <c r="W29" s="7">
        <f>IF(B29="","",IF(OR(AND(J29&lt;&gt;"",NOT(ISNUMBER(J29))),AND(L29&lt;&gt;"",NOT(ISNUMBER(L29)))),"Check date: typed as text",IF(OR(AND(ISNUMBER(J29),J29&lt;TODAY()),AND(ISNUMBER(L29),L29&lt;TODAY())),"Expired",IF(OR(AND(ISNUMBER(J29),J29-TODAY()&lt;=Settings!$B$11),AND(ISNUMBER(L29),L29-TODAY()&lt;=Settings!$B$11)),"Expires within "&amp;Settings!$B$11&amp;" days",IF(AND(OR(Q29="Engaged",S29="Yes"),OR(J29="",L29="")),"Missing expiry date","OK")))))</f>
        <v/>
      </c>
      <c r="X29" s="36">
        <f>IF(B29="","",TRIM(IF(COUNTIF(B$4:B$103,B29)&gt;1,"Duplicate business name. ","")&amp;IF(AND(N(T29)&gt;Settings!$B$7,H29=""),"Over "&amp;TEXT(Settings!$B$7,"$#,##0")&amp;": record the builder registration (or exemption) and use a written major domestic building contract. ","")&amp;IF(AND(N(T29)&gt;Settings!$B$8,N29&lt;&gt;"Yes"),"Home warranty cover needed over "&amp;TEXT(Settings!$B$8,"$#,##0")&amp;". ","")))</f>
        <v/>
      </c>
      <c r="Y29" s="7">
        <f>IF(A29="","",IFERROR(INDEX('Google Drive Map'!$B$4:$B$33,MATCH("04/"&amp;LEFT(A29,2),'Google Drive Map'!$A$4:$A$33,0)),"04 Trades &amp; Tenders/"&amp;A29))</f>
        <v/>
      </c>
      <c r="Z29" s="7">
        <f>IF(Y29="","",IF(IFERROR(INDEX('Google Drive Map'!$G$4:$G$33,MATCH(Y29,'Google Drive Map'!$B$4:$B$33,0))&amp;"","")="","",HYPERLINK(INDEX('Google Drive Map'!$G$4:$G$33,MATCH(Y29,'Google Drive Map'!$B$4:$B$33,0)),"Open")))</f>
        <v/>
      </c>
      <c r="AA29" s="23" t="n"/>
    </row>
    <row r="30">
      <c r="A30" s="22" t="n"/>
      <c r="B30" s="22" t="n"/>
      <c r="C30" s="22" t="n"/>
      <c r="D30" s="35" t="n"/>
      <c r="E30" s="22" t="n"/>
      <c r="F30" s="35" t="n"/>
      <c r="G30" s="22" t="n"/>
      <c r="H30" s="22" t="n"/>
      <c r="I30" s="35" t="n"/>
      <c r="J30" s="24" t="n"/>
      <c r="K30" s="22" t="n"/>
      <c r="L30" s="24" t="n"/>
      <c r="M30" s="22" t="n"/>
      <c r="N30" s="22" t="n"/>
      <c r="O30" s="22" t="n"/>
      <c r="P30" s="22" t="n"/>
      <c r="Q30" s="22" t="n"/>
      <c r="R30" s="22" t="n"/>
      <c r="S30" s="22" t="n"/>
      <c r="T30" s="33" t="n"/>
      <c r="U30" s="33" t="n"/>
      <c r="V30" s="7">
        <f>IF(OR(N(T30)=0,N(U30)=0),"",IF(U30&gt;T30*IF(T30&lt;Settings!$B$5,Settings!$B$4,Settings!$B$6),"Over statutory cap","OK"))</f>
        <v/>
      </c>
      <c r="W30" s="7">
        <f>IF(B30="","",IF(OR(AND(J30&lt;&gt;"",NOT(ISNUMBER(J30))),AND(L30&lt;&gt;"",NOT(ISNUMBER(L30)))),"Check date: typed as text",IF(OR(AND(ISNUMBER(J30),J30&lt;TODAY()),AND(ISNUMBER(L30),L30&lt;TODAY())),"Expired",IF(OR(AND(ISNUMBER(J30),J30-TODAY()&lt;=Settings!$B$11),AND(ISNUMBER(L30),L30-TODAY()&lt;=Settings!$B$11)),"Expires within "&amp;Settings!$B$11&amp;" days",IF(AND(OR(Q30="Engaged",S30="Yes"),OR(J30="",L30="")),"Missing expiry date","OK")))))</f>
        <v/>
      </c>
      <c r="X30" s="36">
        <f>IF(B30="","",TRIM(IF(COUNTIF(B$4:B$103,B30)&gt;1,"Duplicate business name. ","")&amp;IF(AND(N(T30)&gt;Settings!$B$7,H30=""),"Over "&amp;TEXT(Settings!$B$7,"$#,##0")&amp;": record the builder registration (or exemption) and use a written major domestic building contract. ","")&amp;IF(AND(N(T30)&gt;Settings!$B$8,N30&lt;&gt;"Yes"),"Home warranty cover needed over "&amp;TEXT(Settings!$B$8,"$#,##0")&amp;". ","")))</f>
        <v/>
      </c>
      <c r="Y30" s="7">
        <f>IF(A30="","",IFERROR(INDEX('Google Drive Map'!$B$4:$B$33,MATCH("04/"&amp;LEFT(A30,2),'Google Drive Map'!$A$4:$A$33,0)),"04 Trades &amp; Tenders/"&amp;A30))</f>
        <v/>
      </c>
      <c r="Z30" s="7">
        <f>IF(Y30="","",IF(IFERROR(INDEX('Google Drive Map'!$G$4:$G$33,MATCH(Y30,'Google Drive Map'!$B$4:$B$33,0))&amp;"","")="","",HYPERLINK(INDEX('Google Drive Map'!$G$4:$G$33,MATCH(Y30,'Google Drive Map'!$B$4:$B$33,0)),"Open")))</f>
        <v/>
      </c>
      <c r="AA30" s="23" t="n"/>
    </row>
    <row r="31">
      <c r="A31" s="22" t="n"/>
      <c r="B31" s="22" t="n"/>
      <c r="C31" s="22" t="n"/>
      <c r="D31" s="35" t="n"/>
      <c r="E31" s="22" t="n"/>
      <c r="F31" s="35" t="n"/>
      <c r="G31" s="22" t="n"/>
      <c r="H31" s="22" t="n"/>
      <c r="I31" s="35" t="n"/>
      <c r="J31" s="24" t="n"/>
      <c r="K31" s="22" t="n"/>
      <c r="L31" s="24" t="n"/>
      <c r="M31" s="22" t="n"/>
      <c r="N31" s="22" t="n"/>
      <c r="O31" s="22" t="n"/>
      <c r="P31" s="22" t="n"/>
      <c r="Q31" s="22" t="n"/>
      <c r="R31" s="22" t="n"/>
      <c r="S31" s="22" t="n"/>
      <c r="T31" s="33" t="n"/>
      <c r="U31" s="33" t="n"/>
      <c r="V31" s="7">
        <f>IF(OR(N(T31)=0,N(U31)=0),"",IF(U31&gt;T31*IF(T31&lt;Settings!$B$5,Settings!$B$4,Settings!$B$6),"Over statutory cap","OK"))</f>
        <v/>
      </c>
      <c r="W31" s="7">
        <f>IF(B31="","",IF(OR(AND(J31&lt;&gt;"",NOT(ISNUMBER(J31))),AND(L31&lt;&gt;"",NOT(ISNUMBER(L31)))),"Check date: typed as text",IF(OR(AND(ISNUMBER(J31),J31&lt;TODAY()),AND(ISNUMBER(L31),L31&lt;TODAY())),"Expired",IF(OR(AND(ISNUMBER(J31),J31-TODAY()&lt;=Settings!$B$11),AND(ISNUMBER(L31),L31-TODAY()&lt;=Settings!$B$11)),"Expires within "&amp;Settings!$B$11&amp;" days",IF(AND(OR(Q31="Engaged",S31="Yes"),OR(J31="",L31="")),"Missing expiry date","OK")))))</f>
        <v/>
      </c>
      <c r="X31" s="36">
        <f>IF(B31="","",TRIM(IF(COUNTIF(B$4:B$103,B31)&gt;1,"Duplicate business name. ","")&amp;IF(AND(N(T31)&gt;Settings!$B$7,H31=""),"Over "&amp;TEXT(Settings!$B$7,"$#,##0")&amp;": record the builder registration (or exemption) and use a written major domestic building contract. ","")&amp;IF(AND(N(T31)&gt;Settings!$B$8,N31&lt;&gt;"Yes"),"Home warranty cover needed over "&amp;TEXT(Settings!$B$8,"$#,##0")&amp;". ","")))</f>
        <v/>
      </c>
      <c r="Y31" s="7">
        <f>IF(A31="","",IFERROR(INDEX('Google Drive Map'!$B$4:$B$33,MATCH("04/"&amp;LEFT(A31,2),'Google Drive Map'!$A$4:$A$33,0)),"04 Trades &amp; Tenders/"&amp;A31))</f>
        <v/>
      </c>
      <c r="Z31" s="7">
        <f>IF(Y31="","",IF(IFERROR(INDEX('Google Drive Map'!$G$4:$G$33,MATCH(Y31,'Google Drive Map'!$B$4:$B$33,0))&amp;"","")="","",HYPERLINK(INDEX('Google Drive Map'!$G$4:$G$33,MATCH(Y31,'Google Drive Map'!$B$4:$B$33,0)),"Open")))</f>
        <v/>
      </c>
      <c r="AA31" s="23" t="n"/>
    </row>
    <row r="32">
      <c r="A32" s="22" t="n"/>
      <c r="B32" s="22" t="n"/>
      <c r="C32" s="22" t="n"/>
      <c r="D32" s="35" t="n"/>
      <c r="E32" s="22" t="n"/>
      <c r="F32" s="35" t="n"/>
      <c r="G32" s="22" t="n"/>
      <c r="H32" s="22" t="n"/>
      <c r="I32" s="35" t="n"/>
      <c r="J32" s="24" t="n"/>
      <c r="K32" s="22" t="n"/>
      <c r="L32" s="24" t="n"/>
      <c r="M32" s="22" t="n"/>
      <c r="N32" s="22" t="n"/>
      <c r="O32" s="22" t="n"/>
      <c r="P32" s="22" t="n"/>
      <c r="Q32" s="22" t="n"/>
      <c r="R32" s="22" t="n"/>
      <c r="S32" s="22" t="n"/>
      <c r="T32" s="33" t="n"/>
      <c r="U32" s="33" t="n"/>
      <c r="V32" s="7">
        <f>IF(OR(N(T32)=0,N(U32)=0),"",IF(U32&gt;T32*IF(T32&lt;Settings!$B$5,Settings!$B$4,Settings!$B$6),"Over statutory cap","OK"))</f>
        <v/>
      </c>
      <c r="W32" s="7">
        <f>IF(B32="","",IF(OR(AND(J32&lt;&gt;"",NOT(ISNUMBER(J32))),AND(L32&lt;&gt;"",NOT(ISNUMBER(L32)))),"Check date: typed as text",IF(OR(AND(ISNUMBER(J32),J32&lt;TODAY()),AND(ISNUMBER(L32),L32&lt;TODAY())),"Expired",IF(OR(AND(ISNUMBER(J32),J32-TODAY()&lt;=Settings!$B$11),AND(ISNUMBER(L32),L32-TODAY()&lt;=Settings!$B$11)),"Expires within "&amp;Settings!$B$11&amp;" days",IF(AND(OR(Q32="Engaged",S32="Yes"),OR(J32="",L32="")),"Missing expiry date","OK")))))</f>
        <v/>
      </c>
      <c r="X32" s="36">
        <f>IF(B32="","",TRIM(IF(COUNTIF(B$4:B$103,B32)&gt;1,"Duplicate business name. ","")&amp;IF(AND(N(T32)&gt;Settings!$B$7,H32=""),"Over "&amp;TEXT(Settings!$B$7,"$#,##0")&amp;": record the builder registration (or exemption) and use a written major domestic building contract. ","")&amp;IF(AND(N(T32)&gt;Settings!$B$8,N32&lt;&gt;"Yes"),"Home warranty cover needed over "&amp;TEXT(Settings!$B$8,"$#,##0")&amp;". ","")))</f>
        <v/>
      </c>
      <c r="Y32" s="7">
        <f>IF(A32="","",IFERROR(INDEX('Google Drive Map'!$B$4:$B$33,MATCH("04/"&amp;LEFT(A32,2),'Google Drive Map'!$A$4:$A$33,0)),"04 Trades &amp; Tenders/"&amp;A32))</f>
        <v/>
      </c>
      <c r="Z32" s="7">
        <f>IF(Y32="","",IF(IFERROR(INDEX('Google Drive Map'!$G$4:$G$33,MATCH(Y32,'Google Drive Map'!$B$4:$B$33,0))&amp;"","")="","",HYPERLINK(INDEX('Google Drive Map'!$G$4:$G$33,MATCH(Y32,'Google Drive Map'!$B$4:$B$33,0)),"Open")))</f>
        <v/>
      </c>
      <c r="AA32" s="23" t="n"/>
    </row>
    <row r="33">
      <c r="A33" s="22" t="n"/>
      <c r="B33" s="22" t="n"/>
      <c r="C33" s="22" t="n"/>
      <c r="D33" s="35" t="n"/>
      <c r="E33" s="22" t="n"/>
      <c r="F33" s="35" t="n"/>
      <c r="G33" s="22" t="n"/>
      <c r="H33" s="22" t="n"/>
      <c r="I33" s="35" t="n"/>
      <c r="J33" s="24" t="n"/>
      <c r="K33" s="22" t="n"/>
      <c r="L33" s="24" t="n"/>
      <c r="M33" s="22" t="n"/>
      <c r="N33" s="22" t="n"/>
      <c r="O33" s="22" t="n"/>
      <c r="P33" s="22" t="n"/>
      <c r="Q33" s="22" t="n"/>
      <c r="R33" s="22" t="n"/>
      <c r="S33" s="22" t="n"/>
      <c r="T33" s="33" t="n"/>
      <c r="U33" s="33" t="n"/>
      <c r="V33" s="7">
        <f>IF(OR(N(T33)=0,N(U33)=0),"",IF(U33&gt;T33*IF(T33&lt;Settings!$B$5,Settings!$B$4,Settings!$B$6),"Over statutory cap","OK"))</f>
        <v/>
      </c>
      <c r="W33" s="7">
        <f>IF(B33="","",IF(OR(AND(J33&lt;&gt;"",NOT(ISNUMBER(J33))),AND(L33&lt;&gt;"",NOT(ISNUMBER(L33)))),"Check date: typed as text",IF(OR(AND(ISNUMBER(J33),J33&lt;TODAY()),AND(ISNUMBER(L33),L33&lt;TODAY())),"Expired",IF(OR(AND(ISNUMBER(J33),J33-TODAY()&lt;=Settings!$B$11),AND(ISNUMBER(L33),L33-TODAY()&lt;=Settings!$B$11)),"Expires within "&amp;Settings!$B$11&amp;" days",IF(AND(OR(Q33="Engaged",S33="Yes"),OR(J33="",L33="")),"Missing expiry date","OK")))))</f>
        <v/>
      </c>
      <c r="X33" s="36">
        <f>IF(B33="","",TRIM(IF(COUNTIF(B$4:B$103,B33)&gt;1,"Duplicate business name. ","")&amp;IF(AND(N(T33)&gt;Settings!$B$7,H33=""),"Over "&amp;TEXT(Settings!$B$7,"$#,##0")&amp;": record the builder registration (or exemption) and use a written major domestic building contract. ","")&amp;IF(AND(N(T33)&gt;Settings!$B$8,N33&lt;&gt;"Yes"),"Home warranty cover needed over "&amp;TEXT(Settings!$B$8,"$#,##0")&amp;". ","")))</f>
        <v/>
      </c>
      <c r="Y33" s="7">
        <f>IF(A33="","",IFERROR(INDEX('Google Drive Map'!$B$4:$B$33,MATCH("04/"&amp;LEFT(A33,2),'Google Drive Map'!$A$4:$A$33,0)),"04 Trades &amp; Tenders/"&amp;A33))</f>
        <v/>
      </c>
      <c r="Z33" s="7">
        <f>IF(Y33="","",IF(IFERROR(INDEX('Google Drive Map'!$G$4:$G$33,MATCH(Y33,'Google Drive Map'!$B$4:$B$33,0))&amp;"","")="","",HYPERLINK(INDEX('Google Drive Map'!$G$4:$G$33,MATCH(Y33,'Google Drive Map'!$B$4:$B$33,0)),"Open")))</f>
        <v/>
      </c>
      <c r="AA33" s="23" t="n"/>
    </row>
    <row r="34">
      <c r="A34" s="22" t="n"/>
      <c r="B34" s="22" t="n"/>
      <c r="C34" s="22" t="n"/>
      <c r="D34" s="35" t="n"/>
      <c r="E34" s="22" t="n"/>
      <c r="F34" s="35" t="n"/>
      <c r="G34" s="22" t="n"/>
      <c r="H34" s="22" t="n"/>
      <c r="I34" s="35" t="n"/>
      <c r="J34" s="24" t="n"/>
      <c r="K34" s="22" t="n"/>
      <c r="L34" s="24" t="n"/>
      <c r="M34" s="22" t="n"/>
      <c r="N34" s="22" t="n"/>
      <c r="O34" s="22" t="n"/>
      <c r="P34" s="22" t="n"/>
      <c r="Q34" s="22" t="n"/>
      <c r="R34" s="22" t="n"/>
      <c r="S34" s="22" t="n"/>
      <c r="T34" s="33" t="n"/>
      <c r="U34" s="33" t="n"/>
      <c r="V34" s="7">
        <f>IF(OR(N(T34)=0,N(U34)=0),"",IF(U34&gt;T34*IF(T34&lt;Settings!$B$5,Settings!$B$4,Settings!$B$6),"Over statutory cap","OK"))</f>
        <v/>
      </c>
      <c r="W34" s="7">
        <f>IF(B34="","",IF(OR(AND(J34&lt;&gt;"",NOT(ISNUMBER(J34))),AND(L34&lt;&gt;"",NOT(ISNUMBER(L34)))),"Check date: typed as text",IF(OR(AND(ISNUMBER(J34),J34&lt;TODAY()),AND(ISNUMBER(L34),L34&lt;TODAY())),"Expired",IF(OR(AND(ISNUMBER(J34),J34-TODAY()&lt;=Settings!$B$11),AND(ISNUMBER(L34),L34-TODAY()&lt;=Settings!$B$11)),"Expires within "&amp;Settings!$B$11&amp;" days",IF(AND(OR(Q34="Engaged",S34="Yes"),OR(J34="",L34="")),"Missing expiry date","OK")))))</f>
        <v/>
      </c>
      <c r="X34" s="36">
        <f>IF(B34="","",TRIM(IF(COUNTIF(B$4:B$103,B34)&gt;1,"Duplicate business name. ","")&amp;IF(AND(N(T34)&gt;Settings!$B$7,H34=""),"Over "&amp;TEXT(Settings!$B$7,"$#,##0")&amp;": record the builder registration (or exemption) and use a written major domestic building contract. ","")&amp;IF(AND(N(T34)&gt;Settings!$B$8,N34&lt;&gt;"Yes"),"Home warranty cover needed over "&amp;TEXT(Settings!$B$8,"$#,##0")&amp;". ","")))</f>
        <v/>
      </c>
      <c r="Y34" s="7">
        <f>IF(A34="","",IFERROR(INDEX('Google Drive Map'!$B$4:$B$33,MATCH("04/"&amp;LEFT(A34,2),'Google Drive Map'!$A$4:$A$33,0)),"04 Trades &amp; Tenders/"&amp;A34))</f>
        <v/>
      </c>
      <c r="Z34" s="7">
        <f>IF(Y34="","",IF(IFERROR(INDEX('Google Drive Map'!$G$4:$G$33,MATCH(Y34,'Google Drive Map'!$B$4:$B$33,0))&amp;"","")="","",HYPERLINK(INDEX('Google Drive Map'!$G$4:$G$33,MATCH(Y34,'Google Drive Map'!$B$4:$B$33,0)),"Open")))</f>
        <v/>
      </c>
      <c r="AA34" s="23" t="n"/>
    </row>
    <row r="35">
      <c r="A35" s="22" t="n"/>
      <c r="B35" s="22" t="n"/>
      <c r="C35" s="22" t="n"/>
      <c r="D35" s="35" t="n"/>
      <c r="E35" s="22" t="n"/>
      <c r="F35" s="35" t="n"/>
      <c r="G35" s="22" t="n"/>
      <c r="H35" s="22" t="n"/>
      <c r="I35" s="35" t="n"/>
      <c r="J35" s="24" t="n"/>
      <c r="K35" s="22" t="n"/>
      <c r="L35" s="24" t="n"/>
      <c r="M35" s="22" t="n"/>
      <c r="N35" s="22" t="n"/>
      <c r="O35" s="22" t="n"/>
      <c r="P35" s="22" t="n"/>
      <c r="Q35" s="22" t="n"/>
      <c r="R35" s="22" t="n"/>
      <c r="S35" s="22" t="n"/>
      <c r="T35" s="33" t="n"/>
      <c r="U35" s="33" t="n"/>
      <c r="V35" s="7">
        <f>IF(OR(N(T35)=0,N(U35)=0),"",IF(U35&gt;T35*IF(T35&lt;Settings!$B$5,Settings!$B$4,Settings!$B$6),"Over statutory cap","OK"))</f>
        <v/>
      </c>
      <c r="W35" s="7">
        <f>IF(B35="","",IF(OR(AND(J35&lt;&gt;"",NOT(ISNUMBER(J35))),AND(L35&lt;&gt;"",NOT(ISNUMBER(L35)))),"Check date: typed as text",IF(OR(AND(ISNUMBER(J35),J35&lt;TODAY()),AND(ISNUMBER(L35),L35&lt;TODAY())),"Expired",IF(OR(AND(ISNUMBER(J35),J35-TODAY()&lt;=Settings!$B$11),AND(ISNUMBER(L35),L35-TODAY()&lt;=Settings!$B$11)),"Expires within "&amp;Settings!$B$11&amp;" days",IF(AND(OR(Q35="Engaged",S35="Yes"),OR(J35="",L35="")),"Missing expiry date","OK")))))</f>
        <v/>
      </c>
      <c r="X35" s="36">
        <f>IF(B35="","",TRIM(IF(COUNTIF(B$4:B$103,B35)&gt;1,"Duplicate business name. ","")&amp;IF(AND(N(T35)&gt;Settings!$B$7,H35=""),"Over "&amp;TEXT(Settings!$B$7,"$#,##0")&amp;": record the builder registration (or exemption) and use a written major domestic building contract. ","")&amp;IF(AND(N(T35)&gt;Settings!$B$8,N35&lt;&gt;"Yes"),"Home warranty cover needed over "&amp;TEXT(Settings!$B$8,"$#,##0")&amp;". ","")))</f>
        <v/>
      </c>
      <c r="Y35" s="7">
        <f>IF(A35="","",IFERROR(INDEX('Google Drive Map'!$B$4:$B$33,MATCH("04/"&amp;LEFT(A35,2),'Google Drive Map'!$A$4:$A$33,0)),"04 Trades &amp; Tenders/"&amp;A35))</f>
        <v/>
      </c>
      <c r="Z35" s="7">
        <f>IF(Y35="","",IF(IFERROR(INDEX('Google Drive Map'!$G$4:$G$33,MATCH(Y35,'Google Drive Map'!$B$4:$B$33,0))&amp;"","")="","",HYPERLINK(INDEX('Google Drive Map'!$G$4:$G$33,MATCH(Y35,'Google Drive Map'!$B$4:$B$33,0)),"Open")))</f>
        <v/>
      </c>
      <c r="AA35" s="23" t="n"/>
    </row>
    <row r="36">
      <c r="A36" s="22" t="n"/>
      <c r="B36" s="22" t="n"/>
      <c r="C36" s="22" t="n"/>
      <c r="D36" s="35" t="n"/>
      <c r="E36" s="22" t="n"/>
      <c r="F36" s="35" t="n"/>
      <c r="G36" s="22" t="n"/>
      <c r="H36" s="22" t="n"/>
      <c r="I36" s="35" t="n"/>
      <c r="J36" s="24" t="n"/>
      <c r="K36" s="22" t="n"/>
      <c r="L36" s="24" t="n"/>
      <c r="M36" s="22" t="n"/>
      <c r="N36" s="22" t="n"/>
      <c r="O36" s="22" t="n"/>
      <c r="P36" s="22" t="n"/>
      <c r="Q36" s="22" t="n"/>
      <c r="R36" s="22" t="n"/>
      <c r="S36" s="22" t="n"/>
      <c r="T36" s="33" t="n"/>
      <c r="U36" s="33" t="n"/>
      <c r="V36" s="7">
        <f>IF(OR(N(T36)=0,N(U36)=0),"",IF(U36&gt;T36*IF(T36&lt;Settings!$B$5,Settings!$B$4,Settings!$B$6),"Over statutory cap","OK"))</f>
        <v/>
      </c>
      <c r="W36" s="7">
        <f>IF(B36="","",IF(OR(AND(J36&lt;&gt;"",NOT(ISNUMBER(J36))),AND(L36&lt;&gt;"",NOT(ISNUMBER(L36)))),"Check date: typed as text",IF(OR(AND(ISNUMBER(J36),J36&lt;TODAY()),AND(ISNUMBER(L36),L36&lt;TODAY())),"Expired",IF(OR(AND(ISNUMBER(J36),J36-TODAY()&lt;=Settings!$B$11),AND(ISNUMBER(L36),L36-TODAY()&lt;=Settings!$B$11)),"Expires within "&amp;Settings!$B$11&amp;" days",IF(AND(OR(Q36="Engaged",S36="Yes"),OR(J36="",L36="")),"Missing expiry date","OK")))))</f>
        <v/>
      </c>
      <c r="X36" s="36">
        <f>IF(B36="","",TRIM(IF(COUNTIF(B$4:B$103,B36)&gt;1,"Duplicate business name. ","")&amp;IF(AND(N(T36)&gt;Settings!$B$7,H36=""),"Over "&amp;TEXT(Settings!$B$7,"$#,##0")&amp;": record the builder registration (or exemption) and use a written major domestic building contract. ","")&amp;IF(AND(N(T36)&gt;Settings!$B$8,N36&lt;&gt;"Yes"),"Home warranty cover needed over "&amp;TEXT(Settings!$B$8,"$#,##0")&amp;". ","")))</f>
        <v/>
      </c>
      <c r="Y36" s="7">
        <f>IF(A36="","",IFERROR(INDEX('Google Drive Map'!$B$4:$B$33,MATCH("04/"&amp;LEFT(A36,2),'Google Drive Map'!$A$4:$A$33,0)),"04 Trades &amp; Tenders/"&amp;A36))</f>
        <v/>
      </c>
      <c r="Z36" s="7">
        <f>IF(Y36="","",IF(IFERROR(INDEX('Google Drive Map'!$G$4:$G$33,MATCH(Y36,'Google Drive Map'!$B$4:$B$33,0))&amp;"","")="","",HYPERLINK(INDEX('Google Drive Map'!$G$4:$G$33,MATCH(Y36,'Google Drive Map'!$B$4:$B$33,0)),"Open")))</f>
        <v/>
      </c>
      <c r="AA36" s="23" t="n"/>
    </row>
    <row r="37">
      <c r="A37" s="22" t="n"/>
      <c r="B37" s="22" t="n"/>
      <c r="C37" s="22" t="n"/>
      <c r="D37" s="35" t="n"/>
      <c r="E37" s="22" t="n"/>
      <c r="F37" s="35" t="n"/>
      <c r="G37" s="22" t="n"/>
      <c r="H37" s="22" t="n"/>
      <c r="I37" s="35" t="n"/>
      <c r="J37" s="24" t="n"/>
      <c r="K37" s="22" t="n"/>
      <c r="L37" s="24" t="n"/>
      <c r="M37" s="22" t="n"/>
      <c r="N37" s="22" t="n"/>
      <c r="O37" s="22" t="n"/>
      <c r="P37" s="22" t="n"/>
      <c r="Q37" s="22" t="n"/>
      <c r="R37" s="22" t="n"/>
      <c r="S37" s="22" t="n"/>
      <c r="T37" s="33" t="n"/>
      <c r="U37" s="33" t="n"/>
      <c r="V37" s="7">
        <f>IF(OR(N(T37)=0,N(U37)=0),"",IF(U37&gt;T37*IF(T37&lt;Settings!$B$5,Settings!$B$4,Settings!$B$6),"Over statutory cap","OK"))</f>
        <v/>
      </c>
      <c r="W37" s="7">
        <f>IF(B37="","",IF(OR(AND(J37&lt;&gt;"",NOT(ISNUMBER(J37))),AND(L37&lt;&gt;"",NOT(ISNUMBER(L37)))),"Check date: typed as text",IF(OR(AND(ISNUMBER(J37),J37&lt;TODAY()),AND(ISNUMBER(L37),L37&lt;TODAY())),"Expired",IF(OR(AND(ISNUMBER(J37),J37-TODAY()&lt;=Settings!$B$11),AND(ISNUMBER(L37),L37-TODAY()&lt;=Settings!$B$11)),"Expires within "&amp;Settings!$B$11&amp;" days",IF(AND(OR(Q37="Engaged",S37="Yes"),OR(J37="",L37="")),"Missing expiry date","OK")))))</f>
        <v/>
      </c>
      <c r="X37" s="36">
        <f>IF(B37="","",TRIM(IF(COUNTIF(B$4:B$103,B37)&gt;1,"Duplicate business name. ","")&amp;IF(AND(N(T37)&gt;Settings!$B$7,H37=""),"Over "&amp;TEXT(Settings!$B$7,"$#,##0")&amp;": record the builder registration (or exemption) and use a written major domestic building contract. ","")&amp;IF(AND(N(T37)&gt;Settings!$B$8,N37&lt;&gt;"Yes"),"Home warranty cover needed over "&amp;TEXT(Settings!$B$8,"$#,##0")&amp;". ","")))</f>
        <v/>
      </c>
      <c r="Y37" s="7">
        <f>IF(A37="","",IFERROR(INDEX('Google Drive Map'!$B$4:$B$33,MATCH("04/"&amp;LEFT(A37,2),'Google Drive Map'!$A$4:$A$33,0)),"04 Trades &amp; Tenders/"&amp;A37))</f>
        <v/>
      </c>
      <c r="Z37" s="7">
        <f>IF(Y37="","",IF(IFERROR(INDEX('Google Drive Map'!$G$4:$G$33,MATCH(Y37,'Google Drive Map'!$B$4:$B$33,0))&amp;"","")="","",HYPERLINK(INDEX('Google Drive Map'!$G$4:$G$33,MATCH(Y37,'Google Drive Map'!$B$4:$B$33,0)),"Open")))</f>
        <v/>
      </c>
      <c r="AA37" s="23" t="n"/>
    </row>
    <row r="38">
      <c r="A38" s="22" t="n"/>
      <c r="B38" s="22" t="n"/>
      <c r="C38" s="22" t="n"/>
      <c r="D38" s="35" t="n"/>
      <c r="E38" s="22" t="n"/>
      <c r="F38" s="35" t="n"/>
      <c r="G38" s="22" t="n"/>
      <c r="H38" s="22" t="n"/>
      <c r="I38" s="35" t="n"/>
      <c r="J38" s="24" t="n"/>
      <c r="K38" s="22" t="n"/>
      <c r="L38" s="24" t="n"/>
      <c r="M38" s="22" t="n"/>
      <c r="N38" s="22" t="n"/>
      <c r="O38" s="22" t="n"/>
      <c r="P38" s="22" t="n"/>
      <c r="Q38" s="22" t="n"/>
      <c r="R38" s="22" t="n"/>
      <c r="S38" s="22" t="n"/>
      <c r="T38" s="33" t="n"/>
      <c r="U38" s="33" t="n"/>
      <c r="V38" s="7">
        <f>IF(OR(N(T38)=0,N(U38)=0),"",IF(U38&gt;T38*IF(T38&lt;Settings!$B$5,Settings!$B$4,Settings!$B$6),"Over statutory cap","OK"))</f>
        <v/>
      </c>
      <c r="W38" s="7">
        <f>IF(B38="","",IF(OR(AND(J38&lt;&gt;"",NOT(ISNUMBER(J38))),AND(L38&lt;&gt;"",NOT(ISNUMBER(L38)))),"Check date: typed as text",IF(OR(AND(ISNUMBER(J38),J38&lt;TODAY()),AND(ISNUMBER(L38),L38&lt;TODAY())),"Expired",IF(OR(AND(ISNUMBER(J38),J38-TODAY()&lt;=Settings!$B$11),AND(ISNUMBER(L38),L38-TODAY()&lt;=Settings!$B$11)),"Expires within "&amp;Settings!$B$11&amp;" days",IF(AND(OR(Q38="Engaged",S38="Yes"),OR(J38="",L38="")),"Missing expiry date","OK")))))</f>
        <v/>
      </c>
      <c r="X38" s="36">
        <f>IF(B38="","",TRIM(IF(COUNTIF(B$4:B$103,B38)&gt;1,"Duplicate business name. ","")&amp;IF(AND(N(T38)&gt;Settings!$B$7,H38=""),"Over "&amp;TEXT(Settings!$B$7,"$#,##0")&amp;": record the builder registration (or exemption) and use a written major domestic building contract. ","")&amp;IF(AND(N(T38)&gt;Settings!$B$8,N38&lt;&gt;"Yes"),"Home warranty cover needed over "&amp;TEXT(Settings!$B$8,"$#,##0")&amp;". ","")))</f>
        <v/>
      </c>
      <c r="Y38" s="7">
        <f>IF(A38="","",IFERROR(INDEX('Google Drive Map'!$B$4:$B$33,MATCH("04/"&amp;LEFT(A38,2),'Google Drive Map'!$A$4:$A$33,0)),"04 Trades &amp; Tenders/"&amp;A38))</f>
        <v/>
      </c>
      <c r="Z38" s="7">
        <f>IF(Y38="","",IF(IFERROR(INDEX('Google Drive Map'!$G$4:$G$33,MATCH(Y38,'Google Drive Map'!$B$4:$B$33,0))&amp;"","")="","",HYPERLINK(INDEX('Google Drive Map'!$G$4:$G$33,MATCH(Y38,'Google Drive Map'!$B$4:$B$33,0)),"Open")))</f>
        <v/>
      </c>
      <c r="AA38" s="23" t="n"/>
    </row>
    <row r="39">
      <c r="A39" s="22" t="n"/>
      <c r="B39" s="22" t="n"/>
      <c r="C39" s="22" t="n"/>
      <c r="D39" s="35" t="n"/>
      <c r="E39" s="22" t="n"/>
      <c r="F39" s="35" t="n"/>
      <c r="G39" s="22" t="n"/>
      <c r="H39" s="22" t="n"/>
      <c r="I39" s="35" t="n"/>
      <c r="J39" s="24" t="n"/>
      <c r="K39" s="22" t="n"/>
      <c r="L39" s="24" t="n"/>
      <c r="M39" s="22" t="n"/>
      <c r="N39" s="22" t="n"/>
      <c r="O39" s="22" t="n"/>
      <c r="P39" s="22" t="n"/>
      <c r="Q39" s="22" t="n"/>
      <c r="R39" s="22" t="n"/>
      <c r="S39" s="22" t="n"/>
      <c r="T39" s="33" t="n"/>
      <c r="U39" s="33" t="n"/>
      <c r="V39" s="7">
        <f>IF(OR(N(T39)=0,N(U39)=0),"",IF(U39&gt;T39*IF(T39&lt;Settings!$B$5,Settings!$B$4,Settings!$B$6),"Over statutory cap","OK"))</f>
        <v/>
      </c>
      <c r="W39" s="7">
        <f>IF(B39="","",IF(OR(AND(J39&lt;&gt;"",NOT(ISNUMBER(J39))),AND(L39&lt;&gt;"",NOT(ISNUMBER(L39)))),"Check date: typed as text",IF(OR(AND(ISNUMBER(J39),J39&lt;TODAY()),AND(ISNUMBER(L39),L39&lt;TODAY())),"Expired",IF(OR(AND(ISNUMBER(J39),J39-TODAY()&lt;=Settings!$B$11),AND(ISNUMBER(L39),L39-TODAY()&lt;=Settings!$B$11)),"Expires within "&amp;Settings!$B$11&amp;" days",IF(AND(OR(Q39="Engaged",S39="Yes"),OR(J39="",L39="")),"Missing expiry date","OK")))))</f>
        <v/>
      </c>
      <c r="X39" s="36">
        <f>IF(B39="","",TRIM(IF(COUNTIF(B$4:B$103,B39)&gt;1,"Duplicate business name. ","")&amp;IF(AND(N(T39)&gt;Settings!$B$7,H39=""),"Over "&amp;TEXT(Settings!$B$7,"$#,##0")&amp;": record the builder registration (or exemption) and use a written major domestic building contract. ","")&amp;IF(AND(N(T39)&gt;Settings!$B$8,N39&lt;&gt;"Yes"),"Home warranty cover needed over "&amp;TEXT(Settings!$B$8,"$#,##0")&amp;". ","")))</f>
        <v/>
      </c>
      <c r="Y39" s="7">
        <f>IF(A39="","",IFERROR(INDEX('Google Drive Map'!$B$4:$B$33,MATCH("04/"&amp;LEFT(A39,2),'Google Drive Map'!$A$4:$A$33,0)),"04 Trades &amp; Tenders/"&amp;A39))</f>
        <v/>
      </c>
      <c r="Z39" s="7">
        <f>IF(Y39="","",IF(IFERROR(INDEX('Google Drive Map'!$G$4:$G$33,MATCH(Y39,'Google Drive Map'!$B$4:$B$33,0))&amp;"","")="","",HYPERLINK(INDEX('Google Drive Map'!$G$4:$G$33,MATCH(Y39,'Google Drive Map'!$B$4:$B$33,0)),"Open")))</f>
        <v/>
      </c>
      <c r="AA39" s="23" t="n"/>
    </row>
    <row r="40">
      <c r="A40" s="22" t="n"/>
      <c r="B40" s="22" t="n"/>
      <c r="C40" s="22" t="n"/>
      <c r="D40" s="35" t="n"/>
      <c r="E40" s="22" t="n"/>
      <c r="F40" s="35" t="n"/>
      <c r="G40" s="22" t="n"/>
      <c r="H40" s="22" t="n"/>
      <c r="I40" s="35" t="n"/>
      <c r="J40" s="24" t="n"/>
      <c r="K40" s="22" t="n"/>
      <c r="L40" s="24" t="n"/>
      <c r="M40" s="22" t="n"/>
      <c r="N40" s="22" t="n"/>
      <c r="O40" s="22" t="n"/>
      <c r="P40" s="22" t="n"/>
      <c r="Q40" s="22" t="n"/>
      <c r="R40" s="22" t="n"/>
      <c r="S40" s="22" t="n"/>
      <c r="T40" s="33" t="n"/>
      <c r="U40" s="33" t="n"/>
      <c r="V40" s="7">
        <f>IF(OR(N(T40)=0,N(U40)=0),"",IF(U40&gt;T40*IF(T40&lt;Settings!$B$5,Settings!$B$4,Settings!$B$6),"Over statutory cap","OK"))</f>
        <v/>
      </c>
      <c r="W40" s="7">
        <f>IF(B40="","",IF(OR(AND(J40&lt;&gt;"",NOT(ISNUMBER(J40))),AND(L40&lt;&gt;"",NOT(ISNUMBER(L40)))),"Check date: typed as text",IF(OR(AND(ISNUMBER(J40),J40&lt;TODAY()),AND(ISNUMBER(L40),L40&lt;TODAY())),"Expired",IF(OR(AND(ISNUMBER(J40),J40-TODAY()&lt;=Settings!$B$11),AND(ISNUMBER(L40),L40-TODAY()&lt;=Settings!$B$11)),"Expires within "&amp;Settings!$B$11&amp;" days",IF(AND(OR(Q40="Engaged",S40="Yes"),OR(J40="",L40="")),"Missing expiry date","OK")))))</f>
        <v/>
      </c>
      <c r="X40" s="36">
        <f>IF(B40="","",TRIM(IF(COUNTIF(B$4:B$103,B40)&gt;1,"Duplicate business name. ","")&amp;IF(AND(N(T40)&gt;Settings!$B$7,H40=""),"Over "&amp;TEXT(Settings!$B$7,"$#,##0")&amp;": record the builder registration (or exemption) and use a written major domestic building contract. ","")&amp;IF(AND(N(T40)&gt;Settings!$B$8,N40&lt;&gt;"Yes"),"Home warranty cover needed over "&amp;TEXT(Settings!$B$8,"$#,##0")&amp;". ","")))</f>
        <v/>
      </c>
      <c r="Y40" s="7">
        <f>IF(A40="","",IFERROR(INDEX('Google Drive Map'!$B$4:$B$33,MATCH("04/"&amp;LEFT(A40,2),'Google Drive Map'!$A$4:$A$33,0)),"04 Trades &amp; Tenders/"&amp;A40))</f>
        <v/>
      </c>
      <c r="Z40" s="7">
        <f>IF(Y40="","",IF(IFERROR(INDEX('Google Drive Map'!$G$4:$G$33,MATCH(Y40,'Google Drive Map'!$B$4:$B$33,0))&amp;"","")="","",HYPERLINK(INDEX('Google Drive Map'!$G$4:$G$33,MATCH(Y40,'Google Drive Map'!$B$4:$B$33,0)),"Open")))</f>
        <v/>
      </c>
      <c r="AA40" s="23" t="n"/>
    </row>
    <row r="41">
      <c r="A41" s="22" t="n"/>
      <c r="B41" s="22" t="n"/>
      <c r="C41" s="22" t="n"/>
      <c r="D41" s="35" t="n"/>
      <c r="E41" s="22" t="n"/>
      <c r="F41" s="35" t="n"/>
      <c r="G41" s="22" t="n"/>
      <c r="H41" s="22" t="n"/>
      <c r="I41" s="35" t="n"/>
      <c r="J41" s="24" t="n"/>
      <c r="K41" s="22" t="n"/>
      <c r="L41" s="24" t="n"/>
      <c r="M41" s="22" t="n"/>
      <c r="N41" s="22" t="n"/>
      <c r="O41" s="22" t="n"/>
      <c r="P41" s="22" t="n"/>
      <c r="Q41" s="22" t="n"/>
      <c r="R41" s="22" t="n"/>
      <c r="S41" s="22" t="n"/>
      <c r="T41" s="33" t="n"/>
      <c r="U41" s="33" t="n"/>
      <c r="V41" s="7">
        <f>IF(OR(N(T41)=0,N(U41)=0),"",IF(U41&gt;T41*IF(T41&lt;Settings!$B$5,Settings!$B$4,Settings!$B$6),"Over statutory cap","OK"))</f>
        <v/>
      </c>
      <c r="W41" s="7">
        <f>IF(B41="","",IF(OR(AND(J41&lt;&gt;"",NOT(ISNUMBER(J41))),AND(L41&lt;&gt;"",NOT(ISNUMBER(L41)))),"Check date: typed as text",IF(OR(AND(ISNUMBER(J41),J41&lt;TODAY()),AND(ISNUMBER(L41),L41&lt;TODAY())),"Expired",IF(OR(AND(ISNUMBER(J41),J41-TODAY()&lt;=Settings!$B$11),AND(ISNUMBER(L41),L41-TODAY()&lt;=Settings!$B$11)),"Expires within "&amp;Settings!$B$11&amp;" days",IF(AND(OR(Q41="Engaged",S41="Yes"),OR(J41="",L41="")),"Missing expiry date","OK")))))</f>
        <v/>
      </c>
      <c r="X41" s="36">
        <f>IF(B41="","",TRIM(IF(COUNTIF(B$4:B$103,B41)&gt;1,"Duplicate business name. ","")&amp;IF(AND(N(T41)&gt;Settings!$B$7,H41=""),"Over "&amp;TEXT(Settings!$B$7,"$#,##0")&amp;": record the builder registration (or exemption) and use a written major domestic building contract. ","")&amp;IF(AND(N(T41)&gt;Settings!$B$8,N41&lt;&gt;"Yes"),"Home warranty cover needed over "&amp;TEXT(Settings!$B$8,"$#,##0")&amp;". ","")))</f>
        <v/>
      </c>
      <c r="Y41" s="7">
        <f>IF(A41="","",IFERROR(INDEX('Google Drive Map'!$B$4:$B$33,MATCH("04/"&amp;LEFT(A41,2),'Google Drive Map'!$A$4:$A$33,0)),"04 Trades &amp; Tenders/"&amp;A41))</f>
        <v/>
      </c>
      <c r="Z41" s="7">
        <f>IF(Y41="","",IF(IFERROR(INDEX('Google Drive Map'!$G$4:$G$33,MATCH(Y41,'Google Drive Map'!$B$4:$B$33,0))&amp;"","")="","",HYPERLINK(INDEX('Google Drive Map'!$G$4:$G$33,MATCH(Y41,'Google Drive Map'!$B$4:$B$33,0)),"Open")))</f>
        <v/>
      </c>
      <c r="AA41" s="23" t="n"/>
    </row>
    <row r="42">
      <c r="A42" s="22" t="n"/>
      <c r="B42" s="22" t="n"/>
      <c r="C42" s="22" t="n"/>
      <c r="D42" s="35" t="n"/>
      <c r="E42" s="22" t="n"/>
      <c r="F42" s="35" t="n"/>
      <c r="G42" s="22" t="n"/>
      <c r="H42" s="22" t="n"/>
      <c r="I42" s="35" t="n"/>
      <c r="J42" s="24" t="n"/>
      <c r="K42" s="22" t="n"/>
      <c r="L42" s="24" t="n"/>
      <c r="M42" s="22" t="n"/>
      <c r="N42" s="22" t="n"/>
      <c r="O42" s="22" t="n"/>
      <c r="P42" s="22" t="n"/>
      <c r="Q42" s="22" t="n"/>
      <c r="R42" s="22" t="n"/>
      <c r="S42" s="22" t="n"/>
      <c r="T42" s="33" t="n"/>
      <c r="U42" s="33" t="n"/>
      <c r="V42" s="7">
        <f>IF(OR(N(T42)=0,N(U42)=0),"",IF(U42&gt;T42*IF(T42&lt;Settings!$B$5,Settings!$B$4,Settings!$B$6),"Over statutory cap","OK"))</f>
        <v/>
      </c>
      <c r="W42" s="7">
        <f>IF(B42="","",IF(OR(AND(J42&lt;&gt;"",NOT(ISNUMBER(J42))),AND(L42&lt;&gt;"",NOT(ISNUMBER(L42)))),"Check date: typed as text",IF(OR(AND(ISNUMBER(J42),J42&lt;TODAY()),AND(ISNUMBER(L42),L42&lt;TODAY())),"Expired",IF(OR(AND(ISNUMBER(J42),J42-TODAY()&lt;=Settings!$B$11),AND(ISNUMBER(L42),L42-TODAY()&lt;=Settings!$B$11)),"Expires within "&amp;Settings!$B$11&amp;" days",IF(AND(OR(Q42="Engaged",S42="Yes"),OR(J42="",L42="")),"Missing expiry date","OK")))))</f>
        <v/>
      </c>
      <c r="X42" s="36">
        <f>IF(B42="","",TRIM(IF(COUNTIF(B$4:B$103,B42)&gt;1,"Duplicate business name. ","")&amp;IF(AND(N(T42)&gt;Settings!$B$7,H42=""),"Over "&amp;TEXT(Settings!$B$7,"$#,##0")&amp;": record the builder registration (or exemption) and use a written major domestic building contract. ","")&amp;IF(AND(N(T42)&gt;Settings!$B$8,N42&lt;&gt;"Yes"),"Home warranty cover needed over "&amp;TEXT(Settings!$B$8,"$#,##0")&amp;". ","")))</f>
        <v/>
      </c>
      <c r="Y42" s="7">
        <f>IF(A42="","",IFERROR(INDEX('Google Drive Map'!$B$4:$B$33,MATCH("04/"&amp;LEFT(A42,2),'Google Drive Map'!$A$4:$A$33,0)),"04 Trades &amp; Tenders/"&amp;A42))</f>
        <v/>
      </c>
      <c r="Z42" s="7">
        <f>IF(Y42="","",IF(IFERROR(INDEX('Google Drive Map'!$G$4:$G$33,MATCH(Y42,'Google Drive Map'!$B$4:$B$33,0))&amp;"","")="","",HYPERLINK(INDEX('Google Drive Map'!$G$4:$G$33,MATCH(Y42,'Google Drive Map'!$B$4:$B$33,0)),"Open")))</f>
        <v/>
      </c>
      <c r="AA42" s="23" t="n"/>
    </row>
    <row r="43">
      <c r="A43" s="22" t="n"/>
      <c r="B43" s="22" t="n"/>
      <c r="C43" s="22" t="n"/>
      <c r="D43" s="35" t="n"/>
      <c r="E43" s="22" t="n"/>
      <c r="F43" s="35" t="n"/>
      <c r="G43" s="22" t="n"/>
      <c r="H43" s="22" t="n"/>
      <c r="I43" s="35" t="n"/>
      <c r="J43" s="24" t="n"/>
      <c r="K43" s="22" t="n"/>
      <c r="L43" s="24" t="n"/>
      <c r="M43" s="22" t="n"/>
      <c r="N43" s="22" t="n"/>
      <c r="O43" s="22" t="n"/>
      <c r="P43" s="22" t="n"/>
      <c r="Q43" s="22" t="n"/>
      <c r="R43" s="22" t="n"/>
      <c r="S43" s="22" t="n"/>
      <c r="T43" s="33" t="n"/>
      <c r="U43" s="33" t="n"/>
      <c r="V43" s="7">
        <f>IF(OR(N(T43)=0,N(U43)=0),"",IF(U43&gt;T43*IF(T43&lt;Settings!$B$5,Settings!$B$4,Settings!$B$6),"Over statutory cap","OK"))</f>
        <v/>
      </c>
      <c r="W43" s="7">
        <f>IF(B43="","",IF(OR(AND(J43&lt;&gt;"",NOT(ISNUMBER(J43))),AND(L43&lt;&gt;"",NOT(ISNUMBER(L43)))),"Check date: typed as text",IF(OR(AND(ISNUMBER(J43),J43&lt;TODAY()),AND(ISNUMBER(L43),L43&lt;TODAY())),"Expired",IF(OR(AND(ISNUMBER(J43),J43-TODAY()&lt;=Settings!$B$11),AND(ISNUMBER(L43),L43-TODAY()&lt;=Settings!$B$11)),"Expires within "&amp;Settings!$B$11&amp;" days",IF(AND(OR(Q43="Engaged",S43="Yes"),OR(J43="",L43="")),"Missing expiry date","OK")))))</f>
        <v/>
      </c>
      <c r="X43" s="36">
        <f>IF(B43="","",TRIM(IF(COUNTIF(B$4:B$103,B43)&gt;1,"Duplicate business name. ","")&amp;IF(AND(N(T43)&gt;Settings!$B$7,H43=""),"Over "&amp;TEXT(Settings!$B$7,"$#,##0")&amp;": record the builder registration (or exemption) and use a written major domestic building contract. ","")&amp;IF(AND(N(T43)&gt;Settings!$B$8,N43&lt;&gt;"Yes"),"Home warranty cover needed over "&amp;TEXT(Settings!$B$8,"$#,##0")&amp;". ","")))</f>
        <v/>
      </c>
      <c r="Y43" s="7">
        <f>IF(A43="","",IFERROR(INDEX('Google Drive Map'!$B$4:$B$33,MATCH("04/"&amp;LEFT(A43,2),'Google Drive Map'!$A$4:$A$33,0)),"04 Trades &amp; Tenders/"&amp;A43))</f>
        <v/>
      </c>
      <c r="Z43" s="7">
        <f>IF(Y43="","",IF(IFERROR(INDEX('Google Drive Map'!$G$4:$G$33,MATCH(Y43,'Google Drive Map'!$B$4:$B$33,0))&amp;"","")="","",HYPERLINK(INDEX('Google Drive Map'!$G$4:$G$33,MATCH(Y43,'Google Drive Map'!$B$4:$B$33,0)),"Open")))</f>
        <v/>
      </c>
      <c r="AA43" s="23" t="n"/>
    </row>
    <row r="44">
      <c r="A44" s="22" t="n"/>
      <c r="B44" s="22" t="n"/>
      <c r="C44" s="22" t="n"/>
      <c r="D44" s="35" t="n"/>
      <c r="E44" s="22" t="n"/>
      <c r="F44" s="35" t="n"/>
      <c r="G44" s="22" t="n"/>
      <c r="H44" s="22" t="n"/>
      <c r="I44" s="35" t="n"/>
      <c r="J44" s="24" t="n"/>
      <c r="K44" s="22" t="n"/>
      <c r="L44" s="24" t="n"/>
      <c r="M44" s="22" t="n"/>
      <c r="N44" s="22" t="n"/>
      <c r="O44" s="22" t="n"/>
      <c r="P44" s="22" t="n"/>
      <c r="Q44" s="22" t="n"/>
      <c r="R44" s="22" t="n"/>
      <c r="S44" s="22" t="n"/>
      <c r="T44" s="33" t="n"/>
      <c r="U44" s="33" t="n"/>
      <c r="V44" s="7">
        <f>IF(OR(N(T44)=0,N(U44)=0),"",IF(U44&gt;T44*IF(T44&lt;Settings!$B$5,Settings!$B$4,Settings!$B$6),"Over statutory cap","OK"))</f>
        <v/>
      </c>
      <c r="W44" s="7">
        <f>IF(B44="","",IF(OR(AND(J44&lt;&gt;"",NOT(ISNUMBER(J44))),AND(L44&lt;&gt;"",NOT(ISNUMBER(L44)))),"Check date: typed as text",IF(OR(AND(ISNUMBER(J44),J44&lt;TODAY()),AND(ISNUMBER(L44),L44&lt;TODAY())),"Expired",IF(OR(AND(ISNUMBER(J44),J44-TODAY()&lt;=Settings!$B$11),AND(ISNUMBER(L44),L44-TODAY()&lt;=Settings!$B$11)),"Expires within "&amp;Settings!$B$11&amp;" days",IF(AND(OR(Q44="Engaged",S44="Yes"),OR(J44="",L44="")),"Missing expiry date","OK")))))</f>
        <v/>
      </c>
      <c r="X44" s="36">
        <f>IF(B44="","",TRIM(IF(COUNTIF(B$4:B$103,B44)&gt;1,"Duplicate business name. ","")&amp;IF(AND(N(T44)&gt;Settings!$B$7,H44=""),"Over "&amp;TEXT(Settings!$B$7,"$#,##0")&amp;": record the builder registration (or exemption) and use a written major domestic building contract. ","")&amp;IF(AND(N(T44)&gt;Settings!$B$8,N44&lt;&gt;"Yes"),"Home warranty cover needed over "&amp;TEXT(Settings!$B$8,"$#,##0")&amp;". ","")))</f>
        <v/>
      </c>
      <c r="Y44" s="7">
        <f>IF(A44="","",IFERROR(INDEX('Google Drive Map'!$B$4:$B$33,MATCH("04/"&amp;LEFT(A44,2),'Google Drive Map'!$A$4:$A$33,0)),"04 Trades &amp; Tenders/"&amp;A44))</f>
        <v/>
      </c>
      <c r="Z44" s="7">
        <f>IF(Y44="","",IF(IFERROR(INDEX('Google Drive Map'!$G$4:$G$33,MATCH(Y44,'Google Drive Map'!$B$4:$B$33,0))&amp;"","")="","",HYPERLINK(INDEX('Google Drive Map'!$G$4:$G$33,MATCH(Y44,'Google Drive Map'!$B$4:$B$33,0)),"Open")))</f>
        <v/>
      </c>
      <c r="AA44" s="23" t="n"/>
    </row>
    <row r="45">
      <c r="A45" s="22" t="n"/>
      <c r="B45" s="22" t="n"/>
      <c r="C45" s="22" t="n"/>
      <c r="D45" s="35" t="n"/>
      <c r="E45" s="22" t="n"/>
      <c r="F45" s="35" t="n"/>
      <c r="G45" s="22" t="n"/>
      <c r="H45" s="22" t="n"/>
      <c r="I45" s="35" t="n"/>
      <c r="J45" s="24" t="n"/>
      <c r="K45" s="22" t="n"/>
      <c r="L45" s="24" t="n"/>
      <c r="M45" s="22" t="n"/>
      <c r="N45" s="22" t="n"/>
      <c r="O45" s="22" t="n"/>
      <c r="P45" s="22" t="n"/>
      <c r="Q45" s="22" t="n"/>
      <c r="R45" s="22" t="n"/>
      <c r="S45" s="22" t="n"/>
      <c r="T45" s="33" t="n"/>
      <c r="U45" s="33" t="n"/>
      <c r="V45" s="7">
        <f>IF(OR(N(T45)=0,N(U45)=0),"",IF(U45&gt;T45*IF(T45&lt;Settings!$B$5,Settings!$B$4,Settings!$B$6),"Over statutory cap","OK"))</f>
        <v/>
      </c>
      <c r="W45" s="7">
        <f>IF(B45="","",IF(OR(AND(J45&lt;&gt;"",NOT(ISNUMBER(J45))),AND(L45&lt;&gt;"",NOT(ISNUMBER(L45)))),"Check date: typed as text",IF(OR(AND(ISNUMBER(J45),J45&lt;TODAY()),AND(ISNUMBER(L45),L45&lt;TODAY())),"Expired",IF(OR(AND(ISNUMBER(J45),J45-TODAY()&lt;=Settings!$B$11),AND(ISNUMBER(L45),L45-TODAY()&lt;=Settings!$B$11)),"Expires within "&amp;Settings!$B$11&amp;" days",IF(AND(OR(Q45="Engaged",S45="Yes"),OR(J45="",L45="")),"Missing expiry date","OK")))))</f>
        <v/>
      </c>
      <c r="X45" s="36">
        <f>IF(B45="","",TRIM(IF(COUNTIF(B$4:B$103,B45)&gt;1,"Duplicate business name. ","")&amp;IF(AND(N(T45)&gt;Settings!$B$7,H45=""),"Over "&amp;TEXT(Settings!$B$7,"$#,##0")&amp;": record the builder registration (or exemption) and use a written major domestic building contract. ","")&amp;IF(AND(N(T45)&gt;Settings!$B$8,N45&lt;&gt;"Yes"),"Home warranty cover needed over "&amp;TEXT(Settings!$B$8,"$#,##0")&amp;". ","")))</f>
        <v/>
      </c>
      <c r="Y45" s="7">
        <f>IF(A45="","",IFERROR(INDEX('Google Drive Map'!$B$4:$B$33,MATCH("04/"&amp;LEFT(A45,2),'Google Drive Map'!$A$4:$A$33,0)),"04 Trades &amp; Tenders/"&amp;A45))</f>
        <v/>
      </c>
      <c r="Z45" s="7">
        <f>IF(Y45="","",IF(IFERROR(INDEX('Google Drive Map'!$G$4:$G$33,MATCH(Y45,'Google Drive Map'!$B$4:$B$33,0))&amp;"","")="","",HYPERLINK(INDEX('Google Drive Map'!$G$4:$G$33,MATCH(Y45,'Google Drive Map'!$B$4:$B$33,0)),"Open")))</f>
        <v/>
      </c>
      <c r="AA45" s="23" t="n"/>
    </row>
    <row r="46">
      <c r="A46" s="22" t="n"/>
      <c r="B46" s="22" t="n"/>
      <c r="C46" s="22" t="n"/>
      <c r="D46" s="35" t="n"/>
      <c r="E46" s="22" t="n"/>
      <c r="F46" s="35" t="n"/>
      <c r="G46" s="22" t="n"/>
      <c r="H46" s="22" t="n"/>
      <c r="I46" s="35" t="n"/>
      <c r="J46" s="24" t="n"/>
      <c r="K46" s="22" t="n"/>
      <c r="L46" s="24" t="n"/>
      <c r="M46" s="22" t="n"/>
      <c r="N46" s="22" t="n"/>
      <c r="O46" s="22" t="n"/>
      <c r="P46" s="22" t="n"/>
      <c r="Q46" s="22" t="n"/>
      <c r="R46" s="22" t="n"/>
      <c r="S46" s="22" t="n"/>
      <c r="T46" s="33" t="n"/>
      <c r="U46" s="33" t="n"/>
      <c r="V46" s="7">
        <f>IF(OR(N(T46)=0,N(U46)=0),"",IF(U46&gt;T46*IF(T46&lt;Settings!$B$5,Settings!$B$4,Settings!$B$6),"Over statutory cap","OK"))</f>
        <v/>
      </c>
      <c r="W46" s="7">
        <f>IF(B46="","",IF(OR(AND(J46&lt;&gt;"",NOT(ISNUMBER(J46))),AND(L46&lt;&gt;"",NOT(ISNUMBER(L46)))),"Check date: typed as text",IF(OR(AND(ISNUMBER(J46),J46&lt;TODAY()),AND(ISNUMBER(L46),L46&lt;TODAY())),"Expired",IF(OR(AND(ISNUMBER(J46),J46-TODAY()&lt;=Settings!$B$11),AND(ISNUMBER(L46),L46-TODAY()&lt;=Settings!$B$11)),"Expires within "&amp;Settings!$B$11&amp;" days",IF(AND(OR(Q46="Engaged",S46="Yes"),OR(J46="",L46="")),"Missing expiry date","OK")))))</f>
        <v/>
      </c>
      <c r="X46" s="36">
        <f>IF(B46="","",TRIM(IF(COUNTIF(B$4:B$103,B46)&gt;1,"Duplicate business name. ","")&amp;IF(AND(N(T46)&gt;Settings!$B$7,H46=""),"Over "&amp;TEXT(Settings!$B$7,"$#,##0")&amp;": record the builder registration (or exemption) and use a written major domestic building contract. ","")&amp;IF(AND(N(T46)&gt;Settings!$B$8,N46&lt;&gt;"Yes"),"Home warranty cover needed over "&amp;TEXT(Settings!$B$8,"$#,##0")&amp;". ","")))</f>
        <v/>
      </c>
      <c r="Y46" s="7">
        <f>IF(A46="","",IFERROR(INDEX('Google Drive Map'!$B$4:$B$33,MATCH("04/"&amp;LEFT(A46,2),'Google Drive Map'!$A$4:$A$33,0)),"04 Trades &amp; Tenders/"&amp;A46))</f>
        <v/>
      </c>
      <c r="Z46" s="7">
        <f>IF(Y46="","",IF(IFERROR(INDEX('Google Drive Map'!$G$4:$G$33,MATCH(Y46,'Google Drive Map'!$B$4:$B$33,0))&amp;"","")="","",HYPERLINK(INDEX('Google Drive Map'!$G$4:$G$33,MATCH(Y46,'Google Drive Map'!$B$4:$B$33,0)),"Open")))</f>
        <v/>
      </c>
      <c r="AA46" s="23" t="n"/>
    </row>
    <row r="47">
      <c r="A47" s="22" t="n"/>
      <c r="B47" s="22" t="n"/>
      <c r="C47" s="22" t="n"/>
      <c r="D47" s="35" t="n"/>
      <c r="E47" s="22" t="n"/>
      <c r="F47" s="35" t="n"/>
      <c r="G47" s="22" t="n"/>
      <c r="H47" s="22" t="n"/>
      <c r="I47" s="35" t="n"/>
      <c r="J47" s="24" t="n"/>
      <c r="K47" s="22" t="n"/>
      <c r="L47" s="24" t="n"/>
      <c r="M47" s="22" t="n"/>
      <c r="N47" s="22" t="n"/>
      <c r="O47" s="22" t="n"/>
      <c r="P47" s="22" t="n"/>
      <c r="Q47" s="22" t="n"/>
      <c r="R47" s="22" t="n"/>
      <c r="S47" s="22" t="n"/>
      <c r="T47" s="33" t="n"/>
      <c r="U47" s="33" t="n"/>
      <c r="V47" s="7">
        <f>IF(OR(N(T47)=0,N(U47)=0),"",IF(U47&gt;T47*IF(T47&lt;Settings!$B$5,Settings!$B$4,Settings!$B$6),"Over statutory cap","OK"))</f>
        <v/>
      </c>
      <c r="W47" s="7">
        <f>IF(B47="","",IF(OR(AND(J47&lt;&gt;"",NOT(ISNUMBER(J47))),AND(L47&lt;&gt;"",NOT(ISNUMBER(L47)))),"Check date: typed as text",IF(OR(AND(ISNUMBER(J47),J47&lt;TODAY()),AND(ISNUMBER(L47),L47&lt;TODAY())),"Expired",IF(OR(AND(ISNUMBER(J47),J47-TODAY()&lt;=Settings!$B$11),AND(ISNUMBER(L47),L47-TODAY()&lt;=Settings!$B$11)),"Expires within "&amp;Settings!$B$11&amp;" days",IF(AND(OR(Q47="Engaged",S47="Yes"),OR(J47="",L47="")),"Missing expiry date","OK")))))</f>
        <v/>
      </c>
      <c r="X47" s="36">
        <f>IF(B47="","",TRIM(IF(COUNTIF(B$4:B$103,B47)&gt;1,"Duplicate business name. ","")&amp;IF(AND(N(T47)&gt;Settings!$B$7,H47=""),"Over "&amp;TEXT(Settings!$B$7,"$#,##0")&amp;": record the builder registration (or exemption) and use a written major domestic building contract. ","")&amp;IF(AND(N(T47)&gt;Settings!$B$8,N47&lt;&gt;"Yes"),"Home warranty cover needed over "&amp;TEXT(Settings!$B$8,"$#,##0")&amp;". ","")))</f>
        <v/>
      </c>
      <c r="Y47" s="7">
        <f>IF(A47="","",IFERROR(INDEX('Google Drive Map'!$B$4:$B$33,MATCH("04/"&amp;LEFT(A47,2),'Google Drive Map'!$A$4:$A$33,0)),"04 Trades &amp; Tenders/"&amp;A47))</f>
        <v/>
      </c>
      <c r="Z47" s="7">
        <f>IF(Y47="","",IF(IFERROR(INDEX('Google Drive Map'!$G$4:$G$33,MATCH(Y47,'Google Drive Map'!$B$4:$B$33,0))&amp;"","")="","",HYPERLINK(INDEX('Google Drive Map'!$G$4:$G$33,MATCH(Y47,'Google Drive Map'!$B$4:$B$33,0)),"Open")))</f>
        <v/>
      </c>
      <c r="AA47" s="23" t="n"/>
    </row>
    <row r="48">
      <c r="A48" s="22" t="n"/>
      <c r="B48" s="22" t="n"/>
      <c r="C48" s="22" t="n"/>
      <c r="D48" s="35" t="n"/>
      <c r="E48" s="22" t="n"/>
      <c r="F48" s="35" t="n"/>
      <c r="G48" s="22" t="n"/>
      <c r="H48" s="22" t="n"/>
      <c r="I48" s="35" t="n"/>
      <c r="J48" s="24" t="n"/>
      <c r="K48" s="22" t="n"/>
      <c r="L48" s="24" t="n"/>
      <c r="M48" s="22" t="n"/>
      <c r="N48" s="22" t="n"/>
      <c r="O48" s="22" t="n"/>
      <c r="P48" s="22" t="n"/>
      <c r="Q48" s="22" t="n"/>
      <c r="R48" s="22" t="n"/>
      <c r="S48" s="22" t="n"/>
      <c r="T48" s="33" t="n"/>
      <c r="U48" s="33" t="n"/>
      <c r="V48" s="7">
        <f>IF(OR(N(T48)=0,N(U48)=0),"",IF(U48&gt;T48*IF(T48&lt;Settings!$B$5,Settings!$B$4,Settings!$B$6),"Over statutory cap","OK"))</f>
        <v/>
      </c>
      <c r="W48" s="7">
        <f>IF(B48="","",IF(OR(AND(J48&lt;&gt;"",NOT(ISNUMBER(J48))),AND(L48&lt;&gt;"",NOT(ISNUMBER(L48)))),"Check date: typed as text",IF(OR(AND(ISNUMBER(J48),J48&lt;TODAY()),AND(ISNUMBER(L48),L48&lt;TODAY())),"Expired",IF(OR(AND(ISNUMBER(J48),J48-TODAY()&lt;=Settings!$B$11),AND(ISNUMBER(L48),L48-TODAY()&lt;=Settings!$B$11)),"Expires within "&amp;Settings!$B$11&amp;" days",IF(AND(OR(Q48="Engaged",S48="Yes"),OR(J48="",L48="")),"Missing expiry date","OK")))))</f>
        <v/>
      </c>
      <c r="X48" s="36">
        <f>IF(B48="","",TRIM(IF(COUNTIF(B$4:B$103,B48)&gt;1,"Duplicate business name. ","")&amp;IF(AND(N(T48)&gt;Settings!$B$7,H48=""),"Over "&amp;TEXT(Settings!$B$7,"$#,##0")&amp;": record the builder registration (or exemption) and use a written major domestic building contract. ","")&amp;IF(AND(N(T48)&gt;Settings!$B$8,N48&lt;&gt;"Yes"),"Home warranty cover needed over "&amp;TEXT(Settings!$B$8,"$#,##0")&amp;". ","")))</f>
        <v/>
      </c>
      <c r="Y48" s="7">
        <f>IF(A48="","",IFERROR(INDEX('Google Drive Map'!$B$4:$B$33,MATCH("04/"&amp;LEFT(A48,2),'Google Drive Map'!$A$4:$A$33,0)),"04 Trades &amp; Tenders/"&amp;A48))</f>
        <v/>
      </c>
      <c r="Z48" s="7">
        <f>IF(Y48="","",IF(IFERROR(INDEX('Google Drive Map'!$G$4:$G$33,MATCH(Y48,'Google Drive Map'!$B$4:$B$33,0))&amp;"","")="","",HYPERLINK(INDEX('Google Drive Map'!$G$4:$G$33,MATCH(Y48,'Google Drive Map'!$B$4:$B$33,0)),"Open")))</f>
        <v/>
      </c>
      <c r="AA48" s="23" t="n"/>
    </row>
    <row r="49">
      <c r="A49" s="22" t="n"/>
      <c r="B49" s="22" t="n"/>
      <c r="C49" s="22" t="n"/>
      <c r="D49" s="35" t="n"/>
      <c r="E49" s="22" t="n"/>
      <c r="F49" s="35" t="n"/>
      <c r="G49" s="22" t="n"/>
      <c r="H49" s="22" t="n"/>
      <c r="I49" s="35" t="n"/>
      <c r="J49" s="24" t="n"/>
      <c r="K49" s="22" t="n"/>
      <c r="L49" s="24" t="n"/>
      <c r="M49" s="22" t="n"/>
      <c r="N49" s="22" t="n"/>
      <c r="O49" s="22" t="n"/>
      <c r="P49" s="22" t="n"/>
      <c r="Q49" s="22" t="n"/>
      <c r="R49" s="22" t="n"/>
      <c r="S49" s="22" t="n"/>
      <c r="T49" s="33" t="n"/>
      <c r="U49" s="33" t="n"/>
      <c r="V49" s="7">
        <f>IF(OR(N(T49)=0,N(U49)=0),"",IF(U49&gt;T49*IF(T49&lt;Settings!$B$5,Settings!$B$4,Settings!$B$6),"Over statutory cap","OK"))</f>
        <v/>
      </c>
      <c r="W49" s="7">
        <f>IF(B49="","",IF(OR(AND(J49&lt;&gt;"",NOT(ISNUMBER(J49))),AND(L49&lt;&gt;"",NOT(ISNUMBER(L49)))),"Check date: typed as text",IF(OR(AND(ISNUMBER(J49),J49&lt;TODAY()),AND(ISNUMBER(L49),L49&lt;TODAY())),"Expired",IF(OR(AND(ISNUMBER(J49),J49-TODAY()&lt;=Settings!$B$11),AND(ISNUMBER(L49),L49-TODAY()&lt;=Settings!$B$11)),"Expires within "&amp;Settings!$B$11&amp;" days",IF(AND(OR(Q49="Engaged",S49="Yes"),OR(J49="",L49="")),"Missing expiry date","OK")))))</f>
        <v/>
      </c>
      <c r="X49" s="36">
        <f>IF(B49="","",TRIM(IF(COUNTIF(B$4:B$103,B49)&gt;1,"Duplicate business name. ","")&amp;IF(AND(N(T49)&gt;Settings!$B$7,H49=""),"Over "&amp;TEXT(Settings!$B$7,"$#,##0")&amp;": record the builder registration (or exemption) and use a written major domestic building contract. ","")&amp;IF(AND(N(T49)&gt;Settings!$B$8,N49&lt;&gt;"Yes"),"Home warranty cover needed over "&amp;TEXT(Settings!$B$8,"$#,##0")&amp;". ","")))</f>
        <v/>
      </c>
      <c r="Y49" s="7">
        <f>IF(A49="","",IFERROR(INDEX('Google Drive Map'!$B$4:$B$33,MATCH("04/"&amp;LEFT(A49,2),'Google Drive Map'!$A$4:$A$33,0)),"04 Trades &amp; Tenders/"&amp;A49))</f>
        <v/>
      </c>
      <c r="Z49" s="7">
        <f>IF(Y49="","",IF(IFERROR(INDEX('Google Drive Map'!$G$4:$G$33,MATCH(Y49,'Google Drive Map'!$B$4:$B$33,0))&amp;"","")="","",HYPERLINK(INDEX('Google Drive Map'!$G$4:$G$33,MATCH(Y49,'Google Drive Map'!$B$4:$B$33,0)),"Open")))</f>
        <v/>
      </c>
      <c r="AA49" s="23" t="n"/>
    </row>
    <row r="50">
      <c r="A50" s="22" t="n"/>
      <c r="B50" s="22" t="n"/>
      <c r="C50" s="22" t="n"/>
      <c r="D50" s="35" t="n"/>
      <c r="E50" s="22" t="n"/>
      <c r="F50" s="35" t="n"/>
      <c r="G50" s="22" t="n"/>
      <c r="H50" s="22" t="n"/>
      <c r="I50" s="35" t="n"/>
      <c r="J50" s="24" t="n"/>
      <c r="K50" s="22" t="n"/>
      <c r="L50" s="24" t="n"/>
      <c r="M50" s="22" t="n"/>
      <c r="N50" s="22" t="n"/>
      <c r="O50" s="22" t="n"/>
      <c r="P50" s="22" t="n"/>
      <c r="Q50" s="22" t="n"/>
      <c r="R50" s="22" t="n"/>
      <c r="S50" s="22" t="n"/>
      <c r="T50" s="33" t="n"/>
      <c r="U50" s="33" t="n"/>
      <c r="V50" s="7">
        <f>IF(OR(N(T50)=0,N(U50)=0),"",IF(U50&gt;T50*IF(T50&lt;Settings!$B$5,Settings!$B$4,Settings!$B$6),"Over statutory cap","OK"))</f>
        <v/>
      </c>
      <c r="W50" s="7">
        <f>IF(B50="","",IF(OR(AND(J50&lt;&gt;"",NOT(ISNUMBER(J50))),AND(L50&lt;&gt;"",NOT(ISNUMBER(L50)))),"Check date: typed as text",IF(OR(AND(ISNUMBER(J50),J50&lt;TODAY()),AND(ISNUMBER(L50),L50&lt;TODAY())),"Expired",IF(OR(AND(ISNUMBER(J50),J50-TODAY()&lt;=Settings!$B$11),AND(ISNUMBER(L50),L50-TODAY()&lt;=Settings!$B$11)),"Expires within "&amp;Settings!$B$11&amp;" days",IF(AND(OR(Q50="Engaged",S50="Yes"),OR(J50="",L50="")),"Missing expiry date","OK")))))</f>
        <v/>
      </c>
      <c r="X50" s="36">
        <f>IF(B50="","",TRIM(IF(COUNTIF(B$4:B$103,B50)&gt;1,"Duplicate business name. ","")&amp;IF(AND(N(T50)&gt;Settings!$B$7,H50=""),"Over "&amp;TEXT(Settings!$B$7,"$#,##0")&amp;": record the builder registration (or exemption) and use a written major domestic building contract. ","")&amp;IF(AND(N(T50)&gt;Settings!$B$8,N50&lt;&gt;"Yes"),"Home warranty cover needed over "&amp;TEXT(Settings!$B$8,"$#,##0")&amp;". ","")))</f>
        <v/>
      </c>
      <c r="Y50" s="7">
        <f>IF(A50="","",IFERROR(INDEX('Google Drive Map'!$B$4:$B$33,MATCH("04/"&amp;LEFT(A50,2),'Google Drive Map'!$A$4:$A$33,0)),"04 Trades &amp; Tenders/"&amp;A50))</f>
        <v/>
      </c>
      <c r="Z50" s="7">
        <f>IF(Y50="","",IF(IFERROR(INDEX('Google Drive Map'!$G$4:$G$33,MATCH(Y50,'Google Drive Map'!$B$4:$B$33,0))&amp;"","")="","",HYPERLINK(INDEX('Google Drive Map'!$G$4:$G$33,MATCH(Y50,'Google Drive Map'!$B$4:$B$33,0)),"Open")))</f>
        <v/>
      </c>
      <c r="AA50" s="23" t="n"/>
    </row>
    <row r="51">
      <c r="A51" s="22" t="n"/>
      <c r="B51" s="22" t="n"/>
      <c r="C51" s="22" t="n"/>
      <c r="D51" s="35" t="n"/>
      <c r="E51" s="22" t="n"/>
      <c r="F51" s="35" t="n"/>
      <c r="G51" s="22" t="n"/>
      <c r="H51" s="22" t="n"/>
      <c r="I51" s="35" t="n"/>
      <c r="J51" s="24" t="n"/>
      <c r="K51" s="22" t="n"/>
      <c r="L51" s="24" t="n"/>
      <c r="M51" s="22" t="n"/>
      <c r="N51" s="22" t="n"/>
      <c r="O51" s="22" t="n"/>
      <c r="P51" s="22" t="n"/>
      <c r="Q51" s="22" t="n"/>
      <c r="R51" s="22" t="n"/>
      <c r="S51" s="22" t="n"/>
      <c r="T51" s="33" t="n"/>
      <c r="U51" s="33" t="n"/>
      <c r="V51" s="7">
        <f>IF(OR(N(T51)=0,N(U51)=0),"",IF(U51&gt;T51*IF(T51&lt;Settings!$B$5,Settings!$B$4,Settings!$B$6),"Over statutory cap","OK"))</f>
        <v/>
      </c>
      <c r="W51" s="7">
        <f>IF(B51="","",IF(OR(AND(J51&lt;&gt;"",NOT(ISNUMBER(J51))),AND(L51&lt;&gt;"",NOT(ISNUMBER(L51)))),"Check date: typed as text",IF(OR(AND(ISNUMBER(J51),J51&lt;TODAY()),AND(ISNUMBER(L51),L51&lt;TODAY())),"Expired",IF(OR(AND(ISNUMBER(J51),J51-TODAY()&lt;=Settings!$B$11),AND(ISNUMBER(L51),L51-TODAY()&lt;=Settings!$B$11)),"Expires within "&amp;Settings!$B$11&amp;" days",IF(AND(OR(Q51="Engaged",S51="Yes"),OR(J51="",L51="")),"Missing expiry date","OK")))))</f>
        <v/>
      </c>
      <c r="X51" s="36">
        <f>IF(B51="","",TRIM(IF(COUNTIF(B$4:B$103,B51)&gt;1,"Duplicate business name. ","")&amp;IF(AND(N(T51)&gt;Settings!$B$7,H51=""),"Over "&amp;TEXT(Settings!$B$7,"$#,##0")&amp;": record the builder registration (or exemption) and use a written major domestic building contract. ","")&amp;IF(AND(N(T51)&gt;Settings!$B$8,N51&lt;&gt;"Yes"),"Home warranty cover needed over "&amp;TEXT(Settings!$B$8,"$#,##0")&amp;". ","")))</f>
        <v/>
      </c>
      <c r="Y51" s="7">
        <f>IF(A51="","",IFERROR(INDEX('Google Drive Map'!$B$4:$B$33,MATCH("04/"&amp;LEFT(A51,2),'Google Drive Map'!$A$4:$A$33,0)),"04 Trades &amp; Tenders/"&amp;A51))</f>
        <v/>
      </c>
      <c r="Z51" s="7">
        <f>IF(Y51="","",IF(IFERROR(INDEX('Google Drive Map'!$G$4:$G$33,MATCH(Y51,'Google Drive Map'!$B$4:$B$33,0))&amp;"","")="","",HYPERLINK(INDEX('Google Drive Map'!$G$4:$G$33,MATCH(Y51,'Google Drive Map'!$B$4:$B$33,0)),"Open")))</f>
        <v/>
      </c>
      <c r="AA51" s="23" t="n"/>
    </row>
    <row r="52">
      <c r="A52" s="22" t="n"/>
      <c r="B52" s="22" t="n"/>
      <c r="C52" s="22" t="n"/>
      <c r="D52" s="35" t="n"/>
      <c r="E52" s="22" t="n"/>
      <c r="F52" s="35" t="n"/>
      <c r="G52" s="22" t="n"/>
      <c r="H52" s="22" t="n"/>
      <c r="I52" s="35" t="n"/>
      <c r="J52" s="24" t="n"/>
      <c r="K52" s="22" t="n"/>
      <c r="L52" s="24" t="n"/>
      <c r="M52" s="22" t="n"/>
      <c r="N52" s="22" t="n"/>
      <c r="O52" s="22" t="n"/>
      <c r="P52" s="22" t="n"/>
      <c r="Q52" s="22" t="n"/>
      <c r="R52" s="22" t="n"/>
      <c r="S52" s="22" t="n"/>
      <c r="T52" s="33" t="n"/>
      <c r="U52" s="33" t="n"/>
      <c r="V52" s="7">
        <f>IF(OR(N(T52)=0,N(U52)=0),"",IF(U52&gt;T52*IF(T52&lt;Settings!$B$5,Settings!$B$4,Settings!$B$6),"Over statutory cap","OK"))</f>
        <v/>
      </c>
      <c r="W52" s="7">
        <f>IF(B52="","",IF(OR(AND(J52&lt;&gt;"",NOT(ISNUMBER(J52))),AND(L52&lt;&gt;"",NOT(ISNUMBER(L52)))),"Check date: typed as text",IF(OR(AND(ISNUMBER(J52),J52&lt;TODAY()),AND(ISNUMBER(L52),L52&lt;TODAY())),"Expired",IF(OR(AND(ISNUMBER(J52),J52-TODAY()&lt;=Settings!$B$11),AND(ISNUMBER(L52),L52-TODAY()&lt;=Settings!$B$11)),"Expires within "&amp;Settings!$B$11&amp;" days",IF(AND(OR(Q52="Engaged",S52="Yes"),OR(J52="",L52="")),"Missing expiry date","OK")))))</f>
        <v/>
      </c>
      <c r="X52" s="36">
        <f>IF(B52="","",TRIM(IF(COUNTIF(B$4:B$103,B52)&gt;1,"Duplicate business name. ","")&amp;IF(AND(N(T52)&gt;Settings!$B$7,H52=""),"Over "&amp;TEXT(Settings!$B$7,"$#,##0")&amp;": record the builder registration (or exemption) and use a written major domestic building contract. ","")&amp;IF(AND(N(T52)&gt;Settings!$B$8,N52&lt;&gt;"Yes"),"Home warranty cover needed over "&amp;TEXT(Settings!$B$8,"$#,##0")&amp;". ","")))</f>
        <v/>
      </c>
      <c r="Y52" s="7">
        <f>IF(A52="","",IFERROR(INDEX('Google Drive Map'!$B$4:$B$33,MATCH("04/"&amp;LEFT(A52,2),'Google Drive Map'!$A$4:$A$33,0)),"04 Trades &amp; Tenders/"&amp;A52))</f>
        <v/>
      </c>
      <c r="Z52" s="7">
        <f>IF(Y52="","",IF(IFERROR(INDEX('Google Drive Map'!$G$4:$G$33,MATCH(Y52,'Google Drive Map'!$B$4:$B$33,0))&amp;"","")="","",HYPERLINK(INDEX('Google Drive Map'!$G$4:$G$33,MATCH(Y52,'Google Drive Map'!$B$4:$B$33,0)),"Open")))</f>
        <v/>
      </c>
      <c r="AA52" s="23" t="n"/>
    </row>
    <row r="53">
      <c r="A53" s="22" t="n"/>
      <c r="B53" s="22" t="n"/>
      <c r="C53" s="22" t="n"/>
      <c r="D53" s="35" t="n"/>
      <c r="E53" s="22" t="n"/>
      <c r="F53" s="35" t="n"/>
      <c r="G53" s="22" t="n"/>
      <c r="H53" s="22" t="n"/>
      <c r="I53" s="35" t="n"/>
      <c r="J53" s="24" t="n"/>
      <c r="K53" s="22" t="n"/>
      <c r="L53" s="24" t="n"/>
      <c r="M53" s="22" t="n"/>
      <c r="N53" s="22" t="n"/>
      <c r="O53" s="22" t="n"/>
      <c r="P53" s="22" t="n"/>
      <c r="Q53" s="22" t="n"/>
      <c r="R53" s="22" t="n"/>
      <c r="S53" s="22" t="n"/>
      <c r="T53" s="33" t="n"/>
      <c r="U53" s="33" t="n"/>
      <c r="V53" s="7">
        <f>IF(OR(N(T53)=0,N(U53)=0),"",IF(U53&gt;T53*IF(T53&lt;Settings!$B$5,Settings!$B$4,Settings!$B$6),"Over statutory cap","OK"))</f>
        <v/>
      </c>
      <c r="W53" s="7">
        <f>IF(B53="","",IF(OR(AND(J53&lt;&gt;"",NOT(ISNUMBER(J53))),AND(L53&lt;&gt;"",NOT(ISNUMBER(L53)))),"Check date: typed as text",IF(OR(AND(ISNUMBER(J53),J53&lt;TODAY()),AND(ISNUMBER(L53),L53&lt;TODAY())),"Expired",IF(OR(AND(ISNUMBER(J53),J53-TODAY()&lt;=Settings!$B$11),AND(ISNUMBER(L53),L53-TODAY()&lt;=Settings!$B$11)),"Expires within "&amp;Settings!$B$11&amp;" days",IF(AND(OR(Q53="Engaged",S53="Yes"),OR(J53="",L53="")),"Missing expiry date","OK")))))</f>
        <v/>
      </c>
      <c r="X53" s="36">
        <f>IF(B53="","",TRIM(IF(COUNTIF(B$4:B$103,B53)&gt;1,"Duplicate business name. ","")&amp;IF(AND(N(T53)&gt;Settings!$B$7,H53=""),"Over "&amp;TEXT(Settings!$B$7,"$#,##0")&amp;": record the builder registration (or exemption) and use a written major domestic building contract. ","")&amp;IF(AND(N(T53)&gt;Settings!$B$8,N53&lt;&gt;"Yes"),"Home warranty cover needed over "&amp;TEXT(Settings!$B$8,"$#,##0")&amp;". ","")))</f>
        <v/>
      </c>
      <c r="Y53" s="7">
        <f>IF(A53="","",IFERROR(INDEX('Google Drive Map'!$B$4:$B$33,MATCH("04/"&amp;LEFT(A53,2),'Google Drive Map'!$A$4:$A$33,0)),"04 Trades &amp; Tenders/"&amp;A53))</f>
        <v/>
      </c>
      <c r="Z53" s="7">
        <f>IF(Y53="","",IF(IFERROR(INDEX('Google Drive Map'!$G$4:$G$33,MATCH(Y53,'Google Drive Map'!$B$4:$B$33,0))&amp;"","")="","",HYPERLINK(INDEX('Google Drive Map'!$G$4:$G$33,MATCH(Y53,'Google Drive Map'!$B$4:$B$33,0)),"Open")))</f>
        <v/>
      </c>
      <c r="AA53" s="23" t="n"/>
    </row>
    <row r="54">
      <c r="A54" s="22" t="n"/>
      <c r="B54" s="22" t="n"/>
      <c r="C54" s="22" t="n"/>
      <c r="D54" s="35" t="n"/>
      <c r="E54" s="22" t="n"/>
      <c r="F54" s="35" t="n"/>
      <c r="G54" s="22" t="n"/>
      <c r="H54" s="22" t="n"/>
      <c r="I54" s="35" t="n"/>
      <c r="J54" s="24" t="n"/>
      <c r="K54" s="22" t="n"/>
      <c r="L54" s="24" t="n"/>
      <c r="M54" s="22" t="n"/>
      <c r="N54" s="22" t="n"/>
      <c r="O54" s="22" t="n"/>
      <c r="P54" s="22" t="n"/>
      <c r="Q54" s="22" t="n"/>
      <c r="R54" s="22" t="n"/>
      <c r="S54" s="22" t="n"/>
      <c r="T54" s="33" t="n"/>
      <c r="U54" s="33" t="n"/>
      <c r="V54" s="7">
        <f>IF(OR(N(T54)=0,N(U54)=0),"",IF(U54&gt;T54*IF(T54&lt;Settings!$B$5,Settings!$B$4,Settings!$B$6),"Over statutory cap","OK"))</f>
        <v/>
      </c>
      <c r="W54" s="7">
        <f>IF(B54="","",IF(OR(AND(J54&lt;&gt;"",NOT(ISNUMBER(J54))),AND(L54&lt;&gt;"",NOT(ISNUMBER(L54)))),"Check date: typed as text",IF(OR(AND(ISNUMBER(J54),J54&lt;TODAY()),AND(ISNUMBER(L54),L54&lt;TODAY())),"Expired",IF(OR(AND(ISNUMBER(J54),J54-TODAY()&lt;=Settings!$B$11),AND(ISNUMBER(L54),L54-TODAY()&lt;=Settings!$B$11)),"Expires within "&amp;Settings!$B$11&amp;" days",IF(AND(OR(Q54="Engaged",S54="Yes"),OR(J54="",L54="")),"Missing expiry date","OK")))))</f>
        <v/>
      </c>
      <c r="X54" s="36">
        <f>IF(B54="","",TRIM(IF(COUNTIF(B$4:B$103,B54)&gt;1,"Duplicate business name. ","")&amp;IF(AND(N(T54)&gt;Settings!$B$7,H54=""),"Over "&amp;TEXT(Settings!$B$7,"$#,##0")&amp;": record the builder registration (or exemption) and use a written major domestic building contract. ","")&amp;IF(AND(N(T54)&gt;Settings!$B$8,N54&lt;&gt;"Yes"),"Home warranty cover needed over "&amp;TEXT(Settings!$B$8,"$#,##0")&amp;". ","")))</f>
        <v/>
      </c>
      <c r="Y54" s="7">
        <f>IF(A54="","",IFERROR(INDEX('Google Drive Map'!$B$4:$B$33,MATCH("04/"&amp;LEFT(A54,2),'Google Drive Map'!$A$4:$A$33,0)),"04 Trades &amp; Tenders/"&amp;A54))</f>
        <v/>
      </c>
      <c r="Z54" s="7">
        <f>IF(Y54="","",IF(IFERROR(INDEX('Google Drive Map'!$G$4:$G$33,MATCH(Y54,'Google Drive Map'!$B$4:$B$33,0))&amp;"","")="","",HYPERLINK(INDEX('Google Drive Map'!$G$4:$G$33,MATCH(Y54,'Google Drive Map'!$B$4:$B$33,0)),"Open")))</f>
        <v/>
      </c>
      <c r="AA54" s="23" t="n"/>
    </row>
    <row r="55">
      <c r="A55" s="22" t="n"/>
      <c r="B55" s="22" t="n"/>
      <c r="C55" s="22" t="n"/>
      <c r="D55" s="35" t="n"/>
      <c r="E55" s="22" t="n"/>
      <c r="F55" s="35" t="n"/>
      <c r="G55" s="22" t="n"/>
      <c r="H55" s="22" t="n"/>
      <c r="I55" s="35" t="n"/>
      <c r="J55" s="24" t="n"/>
      <c r="K55" s="22" t="n"/>
      <c r="L55" s="24" t="n"/>
      <c r="M55" s="22" t="n"/>
      <c r="N55" s="22" t="n"/>
      <c r="O55" s="22" t="n"/>
      <c r="P55" s="22" t="n"/>
      <c r="Q55" s="22" t="n"/>
      <c r="R55" s="22" t="n"/>
      <c r="S55" s="22" t="n"/>
      <c r="T55" s="33" t="n"/>
      <c r="U55" s="33" t="n"/>
      <c r="V55" s="7">
        <f>IF(OR(N(T55)=0,N(U55)=0),"",IF(U55&gt;T55*IF(T55&lt;Settings!$B$5,Settings!$B$4,Settings!$B$6),"Over statutory cap","OK"))</f>
        <v/>
      </c>
      <c r="W55" s="7">
        <f>IF(B55="","",IF(OR(AND(J55&lt;&gt;"",NOT(ISNUMBER(J55))),AND(L55&lt;&gt;"",NOT(ISNUMBER(L55)))),"Check date: typed as text",IF(OR(AND(ISNUMBER(J55),J55&lt;TODAY()),AND(ISNUMBER(L55),L55&lt;TODAY())),"Expired",IF(OR(AND(ISNUMBER(J55),J55-TODAY()&lt;=Settings!$B$11),AND(ISNUMBER(L55),L55-TODAY()&lt;=Settings!$B$11)),"Expires within "&amp;Settings!$B$11&amp;" days",IF(AND(OR(Q55="Engaged",S55="Yes"),OR(J55="",L55="")),"Missing expiry date","OK")))))</f>
        <v/>
      </c>
      <c r="X55" s="36">
        <f>IF(B55="","",TRIM(IF(COUNTIF(B$4:B$103,B55)&gt;1,"Duplicate business name. ","")&amp;IF(AND(N(T55)&gt;Settings!$B$7,H55=""),"Over "&amp;TEXT(Settings!$B$7,"$#,##0")&amp;": record the builder registration (or exemption) and use a written major domestic building contract. ","")&amp;IF(AND(N(T55)&gt;Settings!$B$8,N55&lt;&gt;"Yes"),"Home warranty cover needed over "&amp;TEXT(Settings!$B$8,"$#,##0")&amp;". ","")))</f>
        <v/>
      </c>
      <c r="Y55" s="7">
        <f>IF(A55="","",IFERROR(INDEX('Google Drive Map'!$B$4:$B$33,MATCH("04/"&amp;LEFT(A55,2),'Google Drive Map'!$A$4:$A$33,0)),"04 Trades &amp; Tenders/"&amp;A55))</f>
        <v/>
      </c>
      <c r="Z55" s="7">
        <f>IF(Y55="","",IF(IFERROR(INDEX('Google Drive Map'!$G$4:$G$33,MATCH(Y55,'Google Drive Map'!$B$4:$B$33,0))&amp;"","")="","",HYPERLINK(INDEX('Google Drive Map'!$G$4:$G$33,MATCH(Y55,'Google Drive Map'!$B$4:$B$33,0)),"Open")))</f>
        <v/>
      </c>
      <c r="AA55" s="23" t="n"/>
    </row>
    <row r="56">
      <c r="A56" s="22" t="n"/>
      <c r="B56" s="22" t="n"/>
      <c r="C56" s="22" t="n"/>
      <c r="D56" s="35" t="n"/>
      <c r="E56" s="22" t="n"/>
      <c r="F56" s="35" t="n"/>
      <c r="G56" s="22" t="n"/>
      <c r="H56" s="22" t="n"/>
      <c r="I56" s="35" t="n"/>
      <c r="J56" s="24" t="n"/>
      <c r="K56" s="22" t="n"/>
      <c r="L56" s="24" t="n"/>
      <c r="M56" s="22" t="n"/>
      <c r="N56" s="22" t="n"/>
      <c r="O56" s="22" t="n"/>
      <c r="P56" s="22" t="n"/>
      <c r="Q56" s="22" t="n"/>
      <c r="R56" s="22" t="n"/>
      <c r="S56" s="22" t="n"/>
      <c r="T56" s="33" t="n"/>
      <c r="U56" s="33" t="n"/>
      <c r="V56" s="7">
        <f>IF(OR(N(T56)=0,N(U56)=0),"",IF(U56&gt;T56*IF(T56&lt;Settings!$B$5,Settings!$B$4,Settings!$B$6),"Over statutory cap","OK"))</f>
        <v/>
      </c>
      <c r="W56" s="7">
        <f>IF(B56="","",IF(OR(AND(J56&lt;&gt;"",NOT(ISNUMBER(J56))),AND(L56&lt;&gt;"",NOT(ISNUMBER(L56)))),"Check date: typed as text",IF(OR(AND(ISNUMBER(J56),J56&lt;TODAY()),AND(ISNUMBER(L56),L56&lt;TODAY())),"Expired",IF(OR(AND(ISNUMBER(J56),J56-TODAY()&lt;=Settings!$B$11),AND(ISNUMBER(L56),L56-TODAY()&lt;=Settings!$B$11)),"Expires within "&amp;Settings!$B$11&amp;" days",IF(AND(OR(Q56="Engaged",S56="Yes"),OR(J56="",L56="")),"Missing expiry date","OK")))))</f>
        <v/>
      </c>
      <c r="X56" s="36">
        <f>IF(B56="","",TRIM(IF(COUNTIF(B$4:B$103,B56)&gt;1,"Duplicate business name. ","")&amp;IF(AND(N(T56)&gt;Settings!$B$7,H56=""),"Over "&amp;TEXT(Settings!$B$7,"$#,##0")&amp;": record the builder registration (or exemption) and use a written major domestic building contract. ","")&amp;IF(AND(N(T56)&gt;Settings!$B$8,N56&lt;&gt;"Yes"),"Home warranty cover needed over "&amp;TEXT(Settings!$B$8,"$#,##0")&amp;". ","")))</f>
        <v/>
      </c>
      <c r="Y56" s="7">
        <f>IF(A56="","",IFERROR(INDEX('Google Drive Map'!$B$4:$B$33,MATCH("04/"&amp;LEFT(A56,2),'Google Drive Map'!$A$4:$A$33,0)),"04 Trades &amp; Tenders/"&amp;A56))</f>
        <v/>
      </c>
      <c r="Z56" s="7">
        <f>IF(Y56="","",IF(IFERROR(INDEX('Google Drive Map'!$G$4:$G$33,MATCH(Y56,'Google Drive Map'!$B$4:$B$33,0))&amp;"","")="","",HYPERLINK(INDEX('Google Drive Map'!$G$4:$G$33,MATCH(Y56,'Google Drive Map'!$B$4:$B$33,0)),"Open")))</f>
        <v/>
      </c>
      <c r="AA56" s="23" t="n"/>
    </row>
    <row r="57">
      <c r="A57" s="22" t="n"/>
      <c r="B57" s="22" t="n"/>
      <c r="C57" s="22" t="n"/>
      <c r="D57" s="35" t="n"/>
      <c r="E57" s="22" t="n"/>
      <c r="F57" s="35" t="n"/>
      <c r="G57" s="22" t="n"/>
      <c r="H57" s="22" t="n"/>
      <c r="I57" s="35" t="n"/>
      <c r="J57" s="24" t="n"/>
      <c r="K57" s="22" t="n"/>
      <c r="L57" s="24" t="n"/>
      <c r="M57" s="22" t="n"/>
      <c r="N57" s="22" t="n"/>
      <c r="O57" s="22" t="n"/>
      <c r="P57" s="22" t="n"/>
      <c r="Q57" s="22" t="n"/>
      <c r="R57" s="22" t="n"/>
      <c r="S57" s="22" t="n"/>
      <c r="T57" s="33" t="n"/>
      <c r="U57" s="33" t="n"/>
      <c r="V57" s="7">
        <f>IF(OR(N(T57)=0,N(U57)=0),"",IF(U57&gt;T57*IF(T57&lt;Settings!$B$5,Settings!$B$4,Settings!$B$6),"Over statutory cap","OK"))</f>
        <v/>
      </c>
      <c r="W57" s="7">
        <f>IF(B57="","",IF(OR(AND(J57&lt;&gt;"",NOT(ISNUMBER(J57))),AND(L57&lt;&gt;"",NOT(ISNUMBER(L57)))),"Check date: typed as text",IF(OR(AND(ISNUMBER(J57),J57&lt;TODAY()),AND(ISNUMBER(L57),L57&lt;TODAY())),"Expired",IF(OR(AND(ISNUMBER(J57),J57-TODAY()&lt;=Settings!$B$11),AND(ISNUMBER(L57),L57-TODAY()&lt;=Settings!$B$11)),"Expires within "&amp;Settings!$B$11&amp;" days",IF(AND(OR(Q57="Engaged",S57="Yes"),OR(J57="",L57="")),"Missing expiry date","OK")))))</f>
        <v/>
      </c>
      <c r="X57" s="36">
        <f>IF(B57="","",TRIM(IF(COUNTIF(B$4:B$103,B57)&gt;1,"Duplicate business name. ","")&amp;IF(AND(N(T57)&gt;Settings!$B$7,H57=""),"Over "&amp;TEXT(Settings!$B$7,"$#,##0")&amp;": record the builder registration (or exemption) and use a written major domestic building contract. ","")&amp;IF(AND(N(T57)&gt;Settings!$B$8,N57&lt;&gt;"Yes"),"Home warranty cover needed over "&amp;TEXT(Settings!$B$8,"$#,##0")&amp;". ","")))</f>
        <v/>
      </c>
      <c r="Y57" s="7">
        <f>IF(A57="","",IFERROR(INDEX('Google Drive Map'!$B$4:$B$33,MATCH("04/"&amp;LEFT(A57,2),'Google Drive Map'!$A$4:$A$33,0)),"04 Trades &amp; Tenders/"&amp;A57))</f>
        <v/>
      </c>
      <c r="Z57" s="7">
        <f>IF(Y57="","",IF(IFERROR(INDEX('Google Drive Map'!$G$4:$G$33,MATCH(Y57,'Google Drive Map'!$B$4:$B$33,0))&amp;"","")="","",HYPERLINK(INDEX('Google Drive Map'!$G$4:$G$33,MATCH(Y57,'Google Drive Map'!$B$4:$B$33,0)),"Open")))</f>
        <v/>
      </c>
      <c r="AA57" s="23" t="n"/>
    </row>
    <row r="58">
      <c r="A58" s="22" t="n"/>
      <c r="B58" s="22" t="n"/>
      <c r="C58" s="22" t="n"/>
      <c r="D58" s="35" t="n"/>
      <c r="E58" s="22" t="n"/>
      <c r="F58" s="35" t="n"/>
      <c r="G58" s="22" t="n"/>
      <c r="H58" s="22" t="n"/>
      <c r="I58" s="35" t="n"/>
      <c r="J58" s="24" t="n"/>
      <c r="K58" s="22" t="n"/>
      <c r="L58" s="24" t="n"/>
      <c r="M58" s="22" t="n"/>
      <c r="N58" s="22" t="n"/>
      <c r="O58" s="22" t="n"/>
      <c r="P58" s="22" t="n"/>
      <c r="Q58" s="22" t="n"/>
      <c r="R58" s="22" t="n"/>
      <c r="S58" s="22" t="n"/>
      <c r="T58" s="33" t="n"/>
      <c r="U58" s="33" t="n"/>
      <c r="V58" s="7">
        <f>IF(OR(N(T58)=0,N(U58)=0),"",IF(U58&gt;T58*IF(T58&lt;Settings!$B$5,Settings!$B$4,Settings!$B$6),"Over statutory cap","OK"))</f>
        <v/>
      </c>
      <c r="W58" s="7">
        <f>IF(B58="","",IF(OR(AND(J58&lt;&gt;"",NOT(ISNUMBER(J58))),AND(L58&lt;&gt;"",NOT(ISNUMBER(L58)))),"Check date: typed as text",IF(OR(AND(ISNUMBER(J58),J58&lt;TODAY()),AND(ISNUMBER(L58),L58&lt;TODAY())),"Expired",IF(OR(AND(ISNUMBER(J58),J58-TODAY()&lt;=Settings!$B$11),AND(ISNUMBER(L58),L58-TODAY()&lt;=Settings!$B$11)),"Expires within "&amp;Settings!$B$11&amp;" days",IF(AND(OR(Q58="Engaged",S58="Yes"),OR(J58="",L58="")),"Missing expiry date","OK")))))</f>
        <v/>
      </c>
      <c r="X58" s="36">
        <f>IF(B58="","",TRIM(IF(COUNTIF(B$4:B$103,B58)&gt;1,"Duplicate business name. ","")&amp;IF(AND(N(T58)&gt;Settings!$B$7,H58=""),"Over "&amp;TEXT(Settings!$B$7,"$#,##0")&amp;": record the builder registration (or exemption) and use a written major domestic building contract. ","")&amp;IF(AND(N(T58)&gt;Settings!$B$8,N58&lt;&gt;"Yes"),"Home warranty cover needed over "&amp;TEXT(Settings!$B$8,"$#,##0")&amp;". ","")))</f>
        <v/>
      </c>
      <c r="Y58" s="7">
        <f>IF(A58="","",IFERROR(INDEX('Google Drive Map'!$B$4:$B$33,MATCH("04/"&amp;LEFT(A58,2),'Google Drive Map'!$A$4:$A$33,0)),"04 Trades &amp; Tenders/"&amp;A58))</f>
        <v/>
      </c>
      <c r="Z58" s="7">
        <f>IF(Y58="","",IF(IFERROR(INDEX('Google Drive Map'!$G$4:$G$33,MATCH(Y58,'Google Drive Map'!$B$4:$B$33,0))&amp;"","")="","",HYPERLINK(INDEX('Google Drive Map'!$G$4:$G$33,MATCH(Y58,'Google Drive Map'!$B$4:$B$33,0)),"Open")))</f>
        <v/>
      </c>
      <c r="AA58" s="23" t="n"/>
    </row>
    <row r="59">
      <c r="A59" s="22" t="n"/>
      <c r="B59" s="22" t="n"/>
      <c r="C59" s="22" t="n"/>
      <c r="D59" s="35" t="n"/>
      <c r="E59" s="22" t="n"/>
      <c r="F59" s="35" t="n"/>
      <c r="G59" s="22" t="n"/>
      <c r="H59" s="22" t="n"/>
      <c r="I59" s="35" t="n"/>
      <c r="J59" s="24" t="n"/>
      <c r="K59" s="22" t="n"/>
      <c r="L59" s="24" t="n"/>
      <c r="M59" s="22" t="n"/>
      <c r="N59" s="22" t="n"/>
      <c r="O59" s="22" t="n"/>
      <c r="P59" s="22" t="n"/>
      <c r="Q59" s="22" t="n"/>
      <c r="R59" s="22" t="n"/>
      <c r="S59" s="22" t="n"/>
      <c r="T59" s="33" t="n"/>
      <c r="U59" s="33" t="n"/>
      <c r="V59" s="7">
        <f>IF(OR(N(T59)=0,N(U59)=0),"",IF(U59&gt;T59*IF(T59&lt;Settings!$B$5,Settings!$B$4,Settings!$B$6),"Over statutory cap","OK"))</f>
        <v/>
      </c>
      <c r="W59" s="7">
        <f>IF(B59="","",IF(OR(AND(J59&lt;&gt;"",NOT(ISNUMBER(J59))),AND(L59&lt;&gt;"",NOT(ISNUMBER(L59)))),"Check date: typed as text",IF(OR(AND(ISNUMBER(J59),J59&lt;TODAY()),AND(ISNUMBER(L59),L59&lt;TODAY())),"Expired",IF(OR(AND(ISNUMBER(J59),J59-TODAY()&lt;=Settings!$B$11),AND(ISNUMBER(L59),L59-TODAY()&lt;=Settings!$B$11)),"Expires within "&amp;Settings!$B$11&amp;" days",IF(AND(OR(Q59="Engaged",S59="Yes"),OR(J59="",L59="")),"Missing expiry date","OK")))))</f>
        <v/>
      </c>
      <c r="X59" s="36">
        <f>IF(B59="","",TRIM(IF(COUNTIF(B$4:B$103,B59)&gt;1,"Duplicate business name. ","")&amp;IF(AND(N(T59)&gt;Settings!$B$7,H59=""),"Over "&amp;TEXT(Settings!$B$7,"$#,##0")&amp;": record the builder registration (or exemption) and use a written major domestic building contract. ","")&amp;IF(AND(N(T59)&gt;Settings!$B$8,N59&lt;&gt;"Yes"),"Home warranty cover needed over "&amp;TEXT(Settings!$B$8,"$#,##0")&amp;". ","")))</f>
        <v/>
      </c>
      <c r="Y59" s="7">
        <f>IF(A59="","",IFERROR(INDEX('Google Drive Map'!$B$4:$B$33,MATCH("04/"&amp;LEFT(A59,2),'Google Drive Map'!$A$4:$A$33,0)),"04 Trades &amp; Tenders/"&amp;A59))</f>
        <v/>
      </c>
      <c r="Z59" s="7">
        <f>IF(Y59="","",IF(IFERROR(INDEX('Google Drive Map'!$G$4:$G$33,MATCH(Y59,'Google Drive Map'!$B$4:$B$33,0))&amp;"","")="","",HYPERLINK(INDEX('Google Drive Map'!$G$4:$G$33,MATCH(Y59,'Google Drive Map'!$B$4:$B$33,0)),"Open")))</f>
        <v/>
      </c>
      <c r="AA59" s="23" t="n"/>
    </row>
    <row r="60">
      <c r="A60" s="22" t="n"/>
      <c r="B60" s="22" t="n"/>
      <c r="C60" s="22" t="n"/>
      <c r="D60" s="35" t="n"/>
      <c r="E60" s="22" t="n"/>
      <c r="F60" s="35" t="n"/>
      <c r="G60" s="22" t="n"/>
      <c r="H60" s="22" t="n"/>
      <c r="I60" s="35" t="n"/>
      <c r="J60" s="24" t="n"/>
      <c r="K60" s="22" t="n"/>
      <c r="L60" s="24" t="n"/>
      <c r="M60" s="22" t="n"/>
      <c r="N60" s="22" t="n"/>
      <c r="O60" s="22" t="n"/>
      <c r="P60" s="22" t="n"/>
      <c r="Q60" s="22" t="n"/>
      <c r="R60" s="22" t="n"/>
      <c r="S60" s="22" t="n"/>
      <c r="T60" s="33" t="n"/>
      <c r="U60" s="33" t="n"/>
      <c r="V60" s="7">
        <f>IF(OR(N(T60)=0,N(U60)=0),"",IF(U60&gt;T60*IF(T60&lt;Settings!$B$5,Settings!$B$4,Settings!$B$6),"Over statutory cap","OK"))</f>
        <v/>
      </c>
      <c r="W60" s="7">
        <f>IF(B60="","",IF(OR(AND(J60&lt;&gt;"",NOT(ISNUMBER(J60))),AND(L60&lt;&gt;"",NOT(ISNUMBER(L60)))),"Check date: typed as text",IF(OR(AND(ISNUMBER(J60),J60&lt;TODAY()),AND(ISNUMBER(L60),L60&lt;TODAY())),"Expired",IF(OR(AND(ISNUMBER(J60),J60-TODAY()&lt;=Settings!$B$11),AND(ISNUMBER(L60),L60-TODAY()&lt;=Settings!$B$11)),"Expires within "&amp;Settings!$B$11&amp;" days",IF(AND(OR(Q60="Engaged",S60="Yes"),OR(J60="",L60="")),"Missing expiry date","OK")))))</f>
        <v/>
      </c>
      <c r="X60" s="36">
        <f>IF(B60="","",TRIM(IF(COUNTIF(B$4:B$103,B60)&gt;1,"Duplicate business name. ","")&amp;IF(AND(N(T60)&gt;Settings!$B$7,H60=""),"Over "&amp;TEXT(Settings!$B$7,"$#,##0")&amp;": record the builder registration (or exemption) and use a written major domestic building contract. ","")&amp;IF(AND(N(T60)&gt;Settings!$B$8,N60&lt;&gt;"Yes"),"Home warranty cover needed over "&amp;TEXT(Settings!$B$8,"$#,##0")&amp;". ","")))</f>
        <v/>
      </c>
      <c r="Y60" s="7">
        <f>IF(A60="","",IFERROR(INDEX('Google Drive Map'!$B$4:$B$33,MATCH("04/"&amp;LEFT(A60,2),'Google Drive Map'!$A$4:$A$33,0)),"04 Trades &amp; Tenders/"&amp;A60))</f>
        <v/>
      </c>
      <c r="Z60" s="7">
        <f>IF(Y60="","",IF(IFERROR(INDEX('Google Drive Map'!$G$4:$G$33,MATCH(Y60,'Google Drive Map'!$B$4:$B$33,0))&amp;"","")="","",HYPERLINK(INDEX('Google Drive Map'!$G$4:$G$33,MATCH(Y60,'Google Drive Map'!$B$4:$B$33,0)),"Open")))</f>
        <v/>
      </c>
      <c r="AA60" s="23" t="n"/>
    </row>
    <row r="61">
      <c r="A61" s="22" t="n"/>
      <c r="B61" s="22" t="n"/>
      <c r="C61" s="22" t="n"/>
      <c r="D61" s="35" t="n"/>
      <c r="E61" s="22" t="n"/>
      <c r="F61" s="35" t="n"/>
      <c r="G61" s="22" t="n"/>
      <c r="H61" s="22" t="n"/>
      <c r="I61" s="35" t="n"/>
      <c r="J61" s="24" t="n"/>
      <c r="K61" s="22" t="n"/>
      <c r="L61" s="24" t="n"/>
      <c r="M61" s="22" t="n"/>
      <c r="N61" s="22" t="n"/>
      <c r="O61" s="22" t="n"/>
      <c r="P61" s="22" t="n"/>
      <c r="Q61" s="22" t="n"/>
      <c r="R61" s="22" t="n"/>
      <c r="S61" s="22" t="n"/>
      <c r="T61" s="33" t="n"/>
      <c r="U61" s="33" t="n"/>
      <c r="V61" s="7">
        <f>IF(OR(N(T61)=0,N(U61)=0),"",IF(U61&gt;T61*IF(T61&lt;Settings!$B$5,Settings!$B$4,Settings!$B$6),"Over statutory cap","OK"))</f>
        <v/>
      </c>
      <c r="W61" s="7">
        <f>IF(B61="","",IF(OR(AND(J61&lt;&gt;"",NOT(ISNUMBER(J61))),AND(L61&lt;&gt;"",NOT(ISNUMBER(L61)))),"Check date: typed as text",IF(OR(AND(ISNUMBER(J61),J61&lt;TODAY()),AND(ISNUMBER(L61),L61&lt;TODAY())),"Expired",IF(OR(AND(ISNUMBER(J61),J61-TODAY()&lt;=Settings!$B$11),AND(ISNUMBER(L61),L61-TODAY()&lt;=Settings!$B$11)),"Expires within "&amp;Settings!$B$11&amp;" days",IF(AND(OR(Q61="Engaged",S61="Yes"),OR(J61="",L61="")),"Missing expiry date","OK")))))</f>
        <v/>
      </c>
      <c r="X61" s="36">
        <f>IF(B61="","",TRIM(IF(COUNTIF(B$4:B$103,B61)&gt;1,"Duplicate business name. ","")&amp;IF(AND(N(T61)&gt;Settings!$B$7,H61=""),"Over "&amp;TEXT(Settings!$B$7,"$#,##0")&amp;": record the builder registration (or exemption) and use a written major domestic building contract. ","")&amp;IF(AND(N(T61)&gt;Settings!$B$8,N61&lt;&gt;"Yes"),"Home warranty cover needed over "&amp;TEXT(Settings!$B$8,"$#,##0")&amp;". ","")))</f>
        <v/>
      </c>
      <c r="Y61" s="7">
        <f>IF(A61="","",IFERROR(INDEX('Google Drive Map'!$B$4:$B$33,MATCH("04/"&amp;LEFT(A61,2),'Google Drive Map'!$A$4:$A$33,0)),"04 Trades &amp; Tenders/"&amp;A61))</f>
        <v/>
      </c>
      <c r="Z61" s="7">
        <f>IF(Y61="","",IF(IFERROR(INDEX('Google Drive Map'!$G$4:$G$33,MATCH(Y61,'Google Drive Map'!$B$4:$B$33,0))&amp;"","")="","",HYPERLINK(INDEX('Google Drive Map'!$G$4:$G$33,MATCH(Y61,'Google Drive Map'!$B$4:$B$33,0)),"Open")))</f>
        <v/>
      </c>
      <c r="AA61" s="23" t="n"/>
    </row>
    <row r="62">
      <c r="A62" s="22" t="n"/>
      <c r="B62" s="22" t="n"/>
      <c r="C62" s="22" t="n"/>
      <c r="D62" s="35" t="n"/>
      <c r="E62" s="22" t="n"/>
      <c r="F62" s="35" t="n"/>
      <c r="G62" s="22" t="n"/>
      <c r="H62" s="22" t="n"/>
      <c r="I62" s="35" t="n"/>
      <c r="J62" s="24" t="n"/>
      <c r="K62" s="22" t="n"/>
      <c r="L62" s="24" t="n"/>
      <c r="M62" s="22" t="n"/>
      <c r="N62" s="22" t="n"/>
      <c r="O62" s="22" t="n"/>
      <c r="P62" s="22" t="n"/>
      <c r="Q62" s="22" t="n"/>
      <c r="R62" s="22" t="n"/>
      <c r="S62" s="22" t="n"/>
      <c r="T62" s="33" t="n"/>
      <c r="U62" s="33" t="n"/>
      <c r="V62" s="7">
        <f>IF(OR(N(T62)=0,N(U62)=0),"",IF(U62&gt;T62*IF(T62&lt;Settings!$B$5,Settings!$B$4,Settings!$B$6),"Over statutory cap","OK"))</f>
        <v/>
      </c>
      <c r="W62" s="7">
        <f>IF(B62="","",IF(OR(AND(J62&lt;&gt;"",NOT(ISNUMBER(J62))),AND(L62&lt;&gt;"",NOT(ISNUMBER(L62)))),"Check date: typed as text",IF(OR(AND(ISNUMBER(J62),J62&lt;TODAY()),AND(ISNUMBER(L62),L62&lt;TODAY())),"Expired",IF(OR(AND(ISNUMBER(J62),J62-TODAY()&lt;=Settings!$B$11),AND(ISNUMBER(L62),L62-TODAY()&lt;=Settings!$B$11)),"Expires within "&amp;Settings!$B$11&amp;" days",IF(AND(OR(Q62="Engaged",S62="Yes"),OR(J62="",L62="")),"Missing expiry date","OK")))))</f>
        <v/>
      </c>
      <c r="X62" s="36">
        <f>IF(B62="","",TRIM(IF(COUNTIF(B$4:B$103,B62)&gt;1,"Duplicate business name. ","")&amp;IF(AND(N(T62)&gt;Settings!$B$7,H62=""),"Over "&amp;TEXT(Settings!$B$7,"$#,##0")&amp;": record the builder registration (or exemption) and use a written major domestic building contract. ","")&amp;IF(AND(N(T62)&gt;Settings!$B$8,N62&lt;&gt;"Yes"),"Home warranty cover needed over "&amp;TEXT(Settings!$B$8,"$#,##0")&amp;". ","")))</f>
        <v/>
      </c>
      <c r="Y62" s="7">
        <f>IF(A62="","",IFERROR(INDEX('Google Drive Map'!$B$4:$B$33,MATCH("04/"&amp;LEFT(A62,2),'Google Drive Map'!$A$4:$A$33,0)),"04 Trades &amp; Tenders/"&amp;A62))</f>
        <v/>
      </c>
      <c r="Z62" s="7">
        <f>IF(Y62="","",IF(IFERROR(INDEX('Google Drive Map'!$G$4:$G$33,MATCH(Y62,'Google Drive Map'!$B$4:$B$33,0))&amp;"","")="","",HYPERLINK(INDEX('Google Drive Map'!$G$4:$G$33,MATCH(Y62,'Google Drive Map'!$B$4:$B$33,0)),"Open")))</f>
        <v/>
      </c>
      <c r="AA62" s="23" t="n"/>
    </row>
    <row r="63">
      <c r="A63" s="22" t="n"/>
      <c r="B63" s="22" t="n"/>
      <c r="C63" s="22" t="n"/>
      <c r="D63" s="35" t="n"/>
      <c r="E63" s="22" t="n"/>
      <c r="F63" s="35" t="n"/>
      <c r="G63" s="22" t="n"/>
      <c r="H63" s="22" t="n"/>
      <c r="I63" s="35" t="n"/>
      <c r="J63" s="24" t="n"/>
      <c r="K63" s="22" t="n"/>
      <c r="L63" s="24" t="n"/>
      <c r="M63" s="22" t="n"/>
      <c r="N63" s="22" t="n"/>
      <c r="O63" s="22" t="n"/>
      <c r="P63" s="22" t="n"/>
      <c r="Q63" s="22" t="n"/>
      <c r="R63" s="22" t="n"/>
      <c r="S63" s="22" t="n"/>
      <c r="T63" s="33" t="n"/>
      <c r="U63" s="33" t="n"/>
      <c r="V63" s="7">
        <f>IF(OR(N(T63)=0,N(U63)=0),"",IF(U63&gt;T63*IF(T63&lt;Settings!$B$5,Settings!$B$4,Settings!$B$6),"Over statutory cap","OK"))</f>
        <v/>
      </c>
      <c r="W63" s="7">
        <f>IF(B63="","",IF(OR(AND(J63&lt;&gt;"",NOT(ISNUMBER(J63))),AND(L63&lt;&gt;"",NOT(ISNUMBER(L63)))),"Check date: typed as text",IF(OR(AND(ISNUMBER(J63),J63&lt;TODAY()),AND(ISNUMBER(L63),L63&lt;TODAY())),"Expired",IF(OR(AND(ISNUMBER(J63),J63-TODAY()&lt;=Settings!$B$11),AND(ISNUMBER(L63),L63-TODAY()&lt;=Settings!$B$11)),"Expires within "&amp;Settings!$B$11&amp;" days",IF(AND(OR(Q63="Engaged",S63="Yes"),OR(J63="",L63="")),"Missing expiry date","OK")))))</f>
        <v/>
      </c>
      <c r="X63" s="36">
        <f>IF(B63="","",TRIM(IF(COUNTIF(B$4:B$103,B63)&gt;1,"Duplicate business name. ","")&amp;IF(AND(N(T63)&gt;Settings!$B$7,H63=""),"Over "&amp;TEXT(Settings!$B$7,"$#,##0")&amp;": record the builder registration (or exemption) and use a written major domestic building contract. ","")&amp;IF(AND(N(T63)&gt;Settings!$B$8,N63&lt;&gt;"Yes"),"Home warranty cover needed over "&amp;TEXT(Settings!$B$8,"$#,##0")&amp;". ","")))</f>
        <v/>
      </c>
      <c r="Y63" s="7">
        <f>IF(A63="","",IFERROR(INDEX('Google Drive Map'!$B$4:$B$33,MATCH("04/"&amp;LEFT(A63,2),'Google Drive Map'!$A$4:$A$33,0)),"04 Trades &amp; Tenders/"&amp;A63))</f>
        <v/>
      </c>
      <c r="Z63" s="7">
        <f>IF(Y63="","",IF(IFERROR(INDEX('Google Drive Map'!$G$4:$G$33,MATCH(Y63,'Google Drive Map'!$B$4:$B$33,0))&amp;"","")="","",HYPERLINK(INDEX('Google Drive Map'!$G$4:$G$33,MATCH(Y63,'Google Drive Map'!$B$4:$B$33,0)),"Open")))</f>
        <v/>
      </c>
      <c r="AA63" s="23" t="n"/>
    </row>
    <row r="64">
      <c r="A64" s="22" t="n"/>
      <c r="B64" s="22" t="n"/>
      <c r="C64" s="22" t="n"/>
      <c r="D64" s="35" t="n"/>
      <c r="E64" s="22" t="n"/>
      <c r="F64" s="35" t="n"/>
      <c r="G64" s="22" t="n"/>
      <c r="H64" s="22" t="n"/>
      <c r="I64" s="35" t="n"/>
      <c r="J64" s="24" t="n"/>
      <c r="K64" s="22" t="n"/>
      <c r="L64" s="24" t="n"/>
      <c r="M64" s="22" t="n"/>
      <c r="N64" s="22" t="n"/>
      <c r="O64" s="22" t="n"/>
      <c r="P64" s="22" t="n"/>
      <c r="Q64" s="22" t="n"/>
      <c r="R64" s="22" t="n"/>
      <c r="S64" s="22" t="n"/>
      <c r="T64" s="33" t="n"/>
      <c r="U64" s="33" t="n"/>
      <c r="V64" s="7">
        <f>IF(OR(N(T64)=0,N(U64)=0),"",IF(U64&gt;T64*IF(T64&lt;Settings!$B$5,Settings!$B$4,Settings!$B$6),"Over statutory cap","OK"))</f>
        <v/>
      </c>
      <c r="W64" s="7">
        <f>IF(B64="","",IF(OR(AND(J64&lt;&gt;"",NOT(ISNUMBER(J64))),AND(L64&lt;&gt;"",NOT(ISNUMBER(L64)))),"Check date: typed as text",IF(OR(AND(ISNUMBER(J64),J64&lt;TODAY()),AND(ISNUMBER(L64),L64&lt;TODAY())),"Expired",IF(OR(AND(ISNUMBER(J64),J64-TODAY()&lt;=Settings!$B$11),AND(ISNUMBER(L64),L64-TODAY()&lt;=Settings!$B$11)),"Expires within "&amp;Settings!$B$11&amp;" days",IF(AND(OR(Q64="Engaged",S64="Yes"),OR(J64="",L64="")),"Missing expiry date","OK")))))</f>
        <v/>
      </c>
      <c r="X64" s="36">
        <f>IF(B64="","",TRIM(IF(COUNTIF(B$4:B$103,B64)&gt;1,"Duplicate business name. ","")&amp;IF(AND(N(T64)&gt;Settings!$B$7,H64=""),"Over "&amp;TEXT(Settings!$B$7,"$#,##0")&amp;": record the builder registration (or exemption) and use a written major domestic building contract. ","")&amp;IF(AND(N(T64)&gt;Settings!$B$8,N64&lt;&gt;"Yes"),"Home warranty cover needed over "&amp;TEXT(Settings!$B$8,"$#,##0")&amp;". ","")))</f>
        <v/>
      </c>
      <c r="Y64" s="7">
        <f>IF(A64="","",IFERROR(INDEX('Google Drive Map'!$B$4:$B$33,MATCH("04/"&amp;LEFT(A64,2),'Google Drive Map'!$A$4:$A$33,0)),"04 Trades &amp; Tenders/"&amp;A64))</f>
        <v/>
      </c>
      <c r="Z64" s="7">
        <f>IF(Y64="","",IF(IFERROR(INDEX('Google Drive Map'!$G$4:$G$33,MATCH(Y64,'Google Drive Map'!$B$4:$B$33,0))&amp;"","")="","",HYPERLINK(INDEX('Google Drive Map'!$G$4:$G$33,MATCH(Y64,'Google Drive Map'!$B$4:$B$33,0)),"Open")))</f>
        <v/>
      </c>
      <c r="AA64" s="23" t="n"/>
    </row>
    <row r="65">
      <c r="A65" s="22" t="n"/>
      <c r="B65" s="22" t="n"/>
      <c r="C65" s="22" t="n"/>
      <c r="D65" s="35" t="n"/>
      <c r="E65" s="22" t="n"/>
      <c r="F65" s="35" t="n"/>
      <c r="G65" s="22" t="n"/>
      <c r="H65" s="22" t="n"/>
      <c r="I65" s="35" t="n"/>
      <c r="J65" s="24" t="n"/>
      <c r="K65" s="22" t="n"/>
      <c r="L65" s="24" t="n"/>
      <c r="M65" s="22" t="n"/>
      <c r="N65" s="22" t="n"/>
      <c r="O65" s="22" t="n"/>
      <c r="P65" s="22" t="n"/>
      <c r="Q65" s="22" t="n"/>
      <c r="R65" s="22" t="n"/>
      <c r="S65" s="22" t="n"/>
      <c r="T65" s="33" t="n"/>
      <c r="U65" s="33" t="n"/>
      <c r="V65" s="7">
        <f>IF(OR(N(T65)=0,N(U65)=0),"",IF(U65&gt;T65*IF(T65&lt;Settings!$B$5,Settings!$B$4,Settings!$B$6),"Over statutory cap","OK"))</f>
        <v/>
      </c>
      <c r="W65" s="7">
        <f>IF(B65="","",IF(OR(AND(J65&lt;&gt;"",NOT(ISNUMBER(J65))),AND(L65&lt;&gt;"",NOT(ISNUMBER(L65)))),"Check date: typed as text",IF(OR(AND(ISNUMBER(J65),J65&lt;TODAY()),AND(ISNUMBER(L65),L65&lt;TODAY())),"Expired",IF(OR(AND(ISNUMBER(J65),J65-TODAY()&lt;=Settings!$B$11),AND(ISNUMBER(L65),L65-TODAY()&lt;=Settings!$B$11)),"Expires within "&amp;Settings!$B$11&amp;" days",IF(AND(OR(Q65="Engaged",S65="Yes"),OR(J65="",L65="")),"Missing expiry date","OK")))))</f>
        <v/>
      </c>
      <c r="X65" s="36">
        <f>IF(B65="","",TRIM(IF(COUNTIF(B$4:B$103,B65)&gt;1,"Duplicate business name. ","")&amp;IF(AND(N(T65)&gt;Settings!$B$7,H65=""),"Over "&amp;TEXT(Settings!$B$7,"$#,##0")&amp;": record the builder registration (or exemption) and use a written major domestic building contract. ","")&amp;IF(AND(N(T65)&gt;Settings!$B$8,N65&lt;&gt;"Yes"),"Home warranty cover needed over "&amp;TEXT(Settings!$B$8,"$#,##0")&amp;". ","")))</f>
        <v/>
      </c>
      <c r="Y65" s="7">
        <f>IF(A65="","",IFERROR(INDEX('Google Drive Map'!$B$4:$B$33,MATCH("04/"&amp;LEFT(A65,2),'Google Drive Map'!$A$4:$A$33,0)),"04 Trades &amp; Tenders/"&amp;A65))</f>
        <v/>
      </c>
      <c r="Z65" s="7">
        <f>IF(Y65="","",IF(IFERROR(INDEX('Google Drive Map'!$G$4:$G$33,MATCH(Y65,'Google Drive Map'!$B$4:$B$33,0))&amp;"","")="","",HYPERLINK(INDEX('Google Drive Map'!$G$4:$G$33,MATCH(Y65,'Google Drive Map'!$B$4:$B$33,0)),"Open")))</f>
        <v/>
      </c>
      <c r="AA65" s="23" t="n"/>
    </row>
    <row r="66">
      <c r="A66" s="22" t="n"/>
      <c r="B66" s="22" t="n"/>
      <c r="C66" s="22" t="n"/>
      <c r="D66" s="35" t="n"/>
      <c r="E66" s="22" t="n"/>
      <c r="F66" s="35" t="n"/>
      <c r="G66" s="22" t="n"/>
      <c r="H66" s="22" t="n"/>
      <c r="I66" s="35" t="n"/>
      <c r="J66" s="24" t="n"/>
      <c r="K66" s="22" t="n"/>
      <c r="L66" s="24" t="n"/>
      <c r="M66" s="22" t="n"/>
      <c r="N66" s="22" t="n"/>
      <c r="O66" s="22" t="n"/>
      <c r="P66" s="22" t="n"/>
      <c r="Q66" s="22" t="n"/>
      <c r="R66" s="22" t="n"/>
      <c r="S66" s="22" t="n"/>
      <c r="T66" s="33" t="n"/>
      <c r="U66" s="33" t="n"/>
      <c r="V66" s="7">
        <f>IF(OR(N(T66)=0,N(U66)=0),"",IF(U66&gt;T66*IF(T66&lt;Settings!$B$5,Settings!$B$4,Settings!$B$6),"Over statutory cap","OK"))</f>
        <v/>
      </c>
      <c r="W66" s="7">
        <f>IF(B66="","",IF(OR(AND(J66&lt;&gt;"",NOT(ISNUMBER(J66))),AND(L66&lt;&gt;"",NOT(ISNUMBER(L66)))),"Check date: typed as text",IF(OR(AND(ISNUMBER(J66),J66&lt;TODAY()),AND(ISNUMBER(L66),L66&lt;TODAY())),"Expired",IF(OR(AND(ISNUMBER(J66),J66-TODAY()&lt;=Settings!$B$11),AND(ISNUMBER(L66),L66-TODAY()&lt;=Settings!$B$11)),"Expires within "&amp;Settings!$B$11&amp;" days",IF(AND(OR(Q66="Engaged",S66="Yes"),OR(J66="",L66="")),"Missing expiry date","OK")))))</f>
        <v/>
      </c>
      <c r="X66" s="36">
        <f>IF(B66="","",TRIM(IF(COUNTIF(B$4:B$103,B66)&gt;1,"Duplicate business name. ","")&amp;IF(AND(N(T66)&gt;Settings!$B$7,H66=""),"Over "&amp;TEXT(Settings!$B$7,"$#,##0")&amp;": record the builder registration (or exemption) and use a written major domestic building contract. ","")&amp;IF(AND(N(T66)&gt;Settings!$B$8,N66&lt;&gt;"Yes"),"Home warranty cover needed over "&amp;TEXT(Settings!$B$8,"$#,##0")&amp;". ","")))</f>
        <v/>
      </c>
      <c r="Y66" s="7">
        <f>IF(A66="","",IFERROR(INDEX('Google Drive Map'!$B$4:$B$33,MATCH("04/"&amp;LEFT(A66,2),'Google Drive Map'!$A$4:$A$33,0)),"04 Trades &amp; Tenders/"&amp;A66))</f>
        <v/>
      </c>
      <c r="Z66" s="7">
        <f>IF(Y66="","",IF(IFERROR(INDEX('Google Drive Map'!$G$4:$G$33,MATCH(Y66,'Google Drive Map'!$B$4:$B$33,0))&amp;"","")="","",HYPERLINK(INDEX('Google Drive Map'!$G$4:$G$33,MATCH(Y66,'Google Drive Map'!$B$4:$B$33,0)),"Open")))</f>
        <v/>
      </c>
      <c r="AA66" s="23" t="n"/>
    </row>
    <row r="67">
      <c r="A67" s="22" t="n"/>
      <c r="B67" s="22" t="n"/>
      <c r="C67" s="22" t="n"/>
      <c r="D67" s="35" t="n"/>
      <c r="E67" s="22" t="n"/>
      <c r="F67" s="35" t="n"/>
      <c r="G67" s="22" t="n"/>
      <c r="H67" s="22" t="n"/>
      <c r="I67" s="35" t="n"/>
      <c r="J67" s="24" t="n"/>
      <c r="K67" s="22" t="n"/>
      <c r="L67" s="24" t="n"/>
      <c r="M67" s="22" t="n"/>
      <c r="N67" s="22" t="n"/>
      <c r="O67" s="22" t="n"/>
      <c r="P67" s="22" t="n"/>
      <c r="Q67" s="22" t="n"/>
      <c r="R67" s="22" t="n"/>
      <c r="S67" s="22" t="n"/>
      <c r="T67" s="33" t="n"/>
      <c r="U67" s="33" t="n"/>
      <c r="V67" s="7">
        <f>IF(OR(N(T67)=0,N(U67)=0),"",IF(U67&gt;T67*IF(T67&lt;Settings!$B$5,Settings!$B$4,Settings!$B$6),"Over statutory cap","OK"))</f>
        <v/>
      </c>
      <c r="W67" s="7">
        <f>IF(B67="","",IF(OR(AND(J67&lt;&gt;"",NOT(ISNUMBER(J67))),AND(L67&lt;&gt;"",NOT(ISNUMBER(L67)))),"Check date: typed as text",IF(OR(AND(ISNUMBER(J67),J67&lt;TODAY()),AND(ISNUMBER(L67),L67&lt;TODAY())),"Expired",IF(OR(AND(ISNUMBER(J67),J67-TODAY()&lt;=Settings!$B$11),AND(ISNUMBER(L67),L67-TODAY()&lt;=Settings!$B$11)),"Expires within "&amp;Settings!$B$11&amp;" days",IF(AND(OR(Q67="Engaged",S67="Yes"),OR(J67="",L67="")),"Missing expiry date","OK")))))</f>
        <v/>
      </c>
      <c r="X67" s="36">
        <f>IF(B67="","",TRIM(IF(COUNTIF(B$4:B$103,B67)&gt;1,"Duplicate business name. ","")&amp;IF(AND(N(T67)&gt;Settings!$B$7,H67=""),"Over "&amp;TEXT(Settings!$B$7,"$#,##0")&amp;": record the builder registration (or exemption) and use a written major domestic building contract. ","")&amp;IF(AND(N(T67)&gt;Settings!$B$8,N67&lt;&gt;"Yes"),"Home warranty cover needed over "&amp;TEXT(Settings!$B$8,"$#,##0")&amp;". ","")))</f>
        <v/>
      </c>
      <c r="Y67" s="7">
        <f>IF(A67="","",IFERROR(INDEX('Google Drive Map'!$B$4:$B$33,MATCH("04/"&amp;LEFT(A67,2),'Google Drive Map'!$A$4:$A$33,0)),"04 Trades &amp; Tenders/"&amp;A67))</f>
        <v/>
      </c>
      <c r="Z67" s="7">
        <f>IF(Y67="","",IF(IFERROR(INDEX('Google Drive Map'!$G$4:$G$33,MATCH(Y67,'Google Drive Map'!$B$4:$B$33,0))&amp;"","")="","",HYPERLINK(INDEX('Google Drive Map'!$G$4:$G$33,MATCH(Y67,'Google Drive Map'!$B$4:$B$33,0)),"Open")))</f>
        <v/>
      </c>
      <c r="AA67" s="23" t="n"/>
    </row>
    <row r="68">
      <c r="A68" s="22" t="n"/>
      <c r="B68" s="22" t="n"/>
      <c r="C68" s="22" t="n"/>
      <c r="D68" s="35" t="n"/>
      <c r="E68" s="22" t="n"/>
      <c r="F68" s="35" t="n"/>
      <c r="G68" s="22" t="n"/>
      <c r="H68" s="22" t="n"/>
      <c r="I68" s="35" t="n"/>
      <c r="J68" s="24" t="n"/>
      <c r="K68" s="22" t="n"/>
      <c r="L68" s="24" t="n"/>
      <c r="M68" s="22" t="n"/>
      <c r="N68" s="22" t="n"/>
      <c r="O68" s="22" t="n"/>
      <c r="P68" s="22" t="n"/>
      <c r="Q68" s="22" t="n"/>
      <c r="R68" s="22" t="n"/>
      <c r="S68" s="22" t="n"/>
      <c r="T68" s="33" t="n"/>
      <c r="U68" s="33" t="n"/>
      <c r="V68" s="7">
        <f>IF(OR(N(T68)=0,N(U68)=0),"",IF(U68&gt;T68*IF(T68&lt;Settings!$B$5,Settings!$B$4,Settings!$B$6),"Over statutory cap","OK"))</f>
        <v/>
      </c>
      <c r="W68" s="7">
        <f>IF(B68="","",IF(OR(AND(J68&lt;&gt;"",NOT(ISNUMBER(J68))),AND(L68&lt;&gt;"",NOT(ISNUMBER(L68)))),"Check date: typed as text",IF(OR(AND(ISNUMBER(J68),J68&lt;TODAY()),AND(ISNUMBER(L68),L68&lt;TODAY())),"Expired",IF(OR(AND(ISNUMBER(J68),J68-TODAY()&lt;=Settings!$B$11),AND(ISNUMBER(L68),L68-TODAY()&lt;=Settings!$B$11)),"Expires within "&amp;Settings!$B$11&amp;" days",IF(AND(OR(Q68="Engaged",S68="Yes"),OR(J68="",L68="")),"Missing expiry date","OK")))))</f>
        <v/>
      </c>
      <c r="X68" s="36">
        <f>IF(B68="","",TRIM(IF(COUNTIF(B$4:B$103,B68)&gt;1,"Duplicate business name. ","")&amp;IF(AND(N(T68)&gt;Settings!$B$7,H68=""),"Over "&amp;TEXT(Settings!$B$7,"$#,##0")&amp;": record the builder registration (or exemption) and use a written major domestic building contract. ","")&amp;IF(AND(N(T68)&gt;Settings!$B$8,N68&lt;&gt;"Yes"),"Home warranty cover needed over "&amp;TEXT(Settings!$B$8,"$#,##0")&amp;". ","")))</f>
        <v/>
      </c>
      <c r="Y68" s="7">
        <f>IF(A68="","",IFERROR(INDEX('Google Drive Map'!$B$4:$B$33,MATCH("04/"&amp;LEFT(A68,2),'Google Drive Map'!$A$4:$A$33,0)),"04 Trades &amp; Tenders/"&amp;A68))</f>
        <v/>
      </c>
      <c r="Z68" s="7">
        <f>IF(Y68="","",IF(IFERROR(INDEX('Google Drive Map'!$G$4:$G$33,MATCH(Y68,'Google Drive Map'!$B$4:$B$33,0))&amp;"","")="","",HYPERLINK(INDEX('Google Drive Map'!$G$4:$G$33,MATCH(Y68,'Google Drive Map'!$B$4:$B$33,0)),"Open")))</f>
        <v/>
      </c>
      <c r="AA68" s="23" t="n"/>
    </row>
    <row r="69">
      <c r="A69" s="22" t="n"/>
      <c r="B69" s="22" t="n"/>
      <c r="C69" s="22" t="n"/>
      <c r="D69" s="35" t="n"/>
      <c r="E69" s="22" t="n"/>
      <c r="F69" s="35" t="n"/>
      <c r="G69" s="22" t="n"/>
      <c r="H69" s="22" t="n"/>
      <c r="I69" s="35" t="n"/>
      <c r="J69" s="24" t="n"/>
      <c r="K69" s="22" t="n"/>
      <c r="L69" s="24" t="n"/>
      <c r="M69" s="22" t="n"/>
      <c r="N69" s="22" t="n"/>
      <c r="O69" s="22" t="n"/>
      <c r="P69" s="22" t="n"/>
      <c r="Q69" s="22" t="n"/>
      <c r="R69" s="22" t="n"/>
      <c r="S69" s="22" t="n"/>
      <c r="T69" s="33" t="n"/>
      <c r="U69" s="33" t="n"/>
      <c r="V69" s="7">
        <f>IF(OR(N(T69)=0,N(U69)=0),"",IF(U69&gt;T69*IF(T69&lt;Settings!$B$5,Settings!$B$4,Settings!$B$6),"Over statutory cap","OK"))</f>
        <v/>
      </c>
      <c r="W69" s="7">
        <f>IF(B69="","",IF(OR(AND(J69&lt;&gt;"",NOT(ISNUMBER(J69))),AND(L69&lt;&gt;"",NOT(ISNUMBER(L69)))),"Check date: typed as text",IF(OR(AND(ISNUMBER(J69),J69&lt;TODAY()),AND(ISNUMBER(L69),L69&lt;TODAY())),"Expired",IF(OR(AND(ISNUMBER(J69),J69-TODAY()&lt;=Settings!$B$11),AND(ISNUMBER(L69),L69-TODAY()&lt;=Settings!$B$11)),"Expires within "&amp;Settings!$B$11&amp;" days",IF(AND(OR(Q69="Engaged",S69="Yes"),OR(J69="",L69="")),"Missing expiry date","OK")))))</f>
        <v/>
      </c>
      <c r="X69" s="36">
        <f>IF(B69="","",TRIM(IF(COUNTIF(B$4:B$103,B69)&gt;1,"Duplicate business name. ","")&amp;IF(AND(N(T69)&gt;Settings!$B$7,H69=""),"Over "&amp;TEXT(Settings!$B$7,"$#,##0")&amp;": record the builder registration (or exemption) and use a written major domestic building contract. ","")&amp;IF(AND(N(T69)&gt;Settings!$B$8,N69&lt;&gt;"Yes"),"Home warranty cover needed over "&amp;TEXT(Settings!$B$8,"$#,##0")&amp;". ","")))</f>
        <v/>
      </c>
      <c r="Y69" s="7">
        <f>IF(A69="","",IFERROR(INDEX('Google Drive Map'!$B$4:$B$33,MATCH("04/"&amp;LEFT(A69,2),'Google Drive Map'!$A$4:$A$33,0)),"04 Trades &amp; Tenders/"&amp;A69))</f>
        <v/>
      </c>
      <c r="Z69" s="7">
        <f>IF(Y69="","",IF(IFERROR(INDEX('Google Drive Map'!$G$4:$G$33,MATCH(Y69,'Google Drive Map'!$B$4:$B$33,0))&amp;"","")="","",HYPERLINK(INDEX('Google Drive Map'!$G$4:$G$33,MATCH(Y69,'Google Drive Map'!$B$4:$B$33,0)),"Open")))</f>
        <v/>
      </c>
      <c r="AA69" s="23" t="n"/>
    </row>
    <row r="70">
      <c r="A70" s="22" t="n"/>
      <c r="B70" s="22" t="n"/>
      <c r="C70" s="22" t="n"/>
      <c r="D70" s="35" t="n"/>
      <c r="E70" s="22" t="n"/>
      <c r="F70" s="35" t="n"/>
      <c r="G70" s="22" t="n"/>
      <c r="H70" s="22" t="n"/>
      <c r="I70" s="35" t="n"/>
      <c r="J70" s="24" t="n"/>
      <c r="K70" s="22" t="n"/>
      <c r="L70" s="24" t="n"/>
      <c r="M70" s="22" t="n"/>
      <c r="N70" s="22" t="n"/>
      <c r="O70" s="22" t="n"/>
      <c r="P70" s="22" t="n"/>
      <c r="Q70" s="22" t="n"/>
      <c r="R70" s="22" t="n"/>
      <c r="S70" s="22" t="n"/>
      <c r="T70" s="33" t="n"/>
      <c r="U70" s="33" t="n"/>
      <c r="V70" s="7">
        <f>IF(OR(N(T70)=0,N(U70)=0),"",IF(U70&gt;T70*IF(T70&lt;Settings!$B$5,Settings!$B$4,Settings!$B$6),"Over statutory cap","OK"))</f>
        <v/>
      </c>
      <c r="W70" s="7">
        <f>IF(B70="","",IF(OR(AND(J70&lt;&gt;"",NOT(ISNUMBER(J70))),AND(L70&lt;&gt;"",NOT(ISNUMBER(L70)))),"Check date: typed as text",IF(OR(AND(ISNUMBER(J70),J70&lt;TODAY()),AND(ISNUMBER(L70),L70&lt;TODAY())),"Expired",IF(OR(AND(ISNUMBER(J70),J70-TODAY()&lt;=Settings!$B$11),AND(ISNUMBER(L70),L70-TODAY()&lt;=Settings!$B$11)),"Expires within "&amp;Settings!$B$11&amp;" days",IF(AND(OR(Q70="Engaged",S70="Yes"),OR(J70="",L70="")),"Missing expiry date","OK")))))</f>
        <v/>
      </c>
      <c r="X70" s="36">
        <f>IF(B70="","",TRIM(IF(COUNTIF(B$4:B$103,B70)&gt;1,"Duplicate business name. ","")&amp;IF(AND(N(T70)&gt;Settings!$B$7,H70=""),"Over "&amp;TEXT(Settings!$B$7,"$#,##0")&amp;": record the builder registration (or exemption) and use a written major domestic building contract. ","")&amp;IF(AND(N(T70)&gt;Settings!$B$8,N70&lt;&gt;"Yes"),"Home warranty cover needed over "&amp;TEXT(Settings!$B$8,"$#,##0")&amp;". ","")))</f>
        <v/>
      </c>
      <c r="Y70" s="7">
        <f>IF(A70="","",IFERROR(INDEX('Google Drive Map'!$B$4:$B$33,MATCH("04/"&amp;LEFT(A70,2),'Google Drive Map'!$A$4:$A$33,0)),"04 Trades &amp; Tenders/"&amp;A70))</f>
        <v/>
      </c>
      <c r="Z70" s="7">
        <f>IF(Y70="","",IF(IFERROR(INDEX('Google Drive Map'!$G$4:$G$33,MATCH(Y70,'Google Drive Map'!$B$4:$B$33,0))&amp;"","")="","",HYPERLINK(INDEX('Google Drive Map'!$G$4:$G$33,MATCH(Y70,'Google Drive Map'!$B$4:$B$33,0)),"Open")))</f>
        <v/>
      </c>
      <c r="AA70" s="23" t="n"/>
    </row>
    <row r="71">
      <c r="A71" s="22" t="n"/>
      <c r="B71" s="22" t="n"/>
      <c r="C71" s="22" t="n"/>
      <c r="D71" s="35" t="n"/>
      <c r="E71" s="22" t="n"/>
      <c r="F71" s="35" t="n"/>
      <c r="G71" s="22" t="n"/>
      <c r="H71" s="22" t="n"/>
      <c r="I71" s="35" t="n"/>
      <c r="J71" s="24" t="n"/>
      <c r="K71" s="22" t="n"/>
      <c r="L71" s="24" t="n"/>
      <c r="M71" s="22" t="n"/>
      <c r="N71" s="22" t="n"/>
      <c r="O71" s="22" t="n"/>
      <c r="P71" s="22" t="n"/>
      <c r="Q71" s="22" t="n"/>
      <c r="R71" s="22" t="n"/>
      <c r="S71" s="22" t="n"/>
      <c r="T71" s="33" t="n"/>
      <c r="U71" s="33" t="n"/>
      <c r="V71" s="7">
        <f>IF(OR(N(T71)=0,N(U71)=0),"",IF(U71&gt;T71*IF(T71&lt;Settings!$B$5,Settings!$B$4,Settings!$B$6),"Over statutory cap","OK"))</f>
        <v/>
      </c>
      <c r="W71" s="7">
        <f>IF(B71="","",IF(OR(AND(J71&lt;&gt;"",NOT(ISNUMBER(J71))),AND(L71&lt;&gt;"",NOT(ISNUMBER(L71)))),"Check date: typed as text",IF(OR(AND(ISNUMBER(J71),J71&lt;TODAY()),AND(ISNUMBER(L71),L71&lt;TODAY())),"Expired",IF(OR(AND(ISNUMBER(J71),J71-TODAY()&lt;=Settings!$B$11),AND(ISNUMBER(L71),L71-TODAY()&lt;=Settings!$B$11)),"Expires within "&amp;Settings!$B$11&amp;" days",IF(AND(OR(Q71="Engaged",S71="Yes"),OR(J71="",L71="")),"Missing expiry date","OK")))))</f>
        <v/>
      </c>
      <c r="X71" s="36">
        <f>IF(B71="","",TRIM(IF(COUNTIF(B$4:B$103,B71)&gt;1,"Duplicate business name. ","")&amp;IF(AND(N(T71)&gt;Settings!$B$7,H71=""),"Over "&amp;TEXT(Settings!$B$7,"$#,##0")&amp;": record the builder registration (or exemption) and use a written major domestic building contract. ","")&amp;IF(AND(N(T71)&gt;Settings!$B$8,N71&lt;&gt;"Yes"),"Home warranty cover needed over "&amp;TEXT(Settings!$B$8,"$#,##0")&amp;". ","")))</f>
        <v/>
      </c>
      <c r="Y71" s="7">
        <f>IF(A71="","",IFERROR(INDEX('Google Drive Map'!$B$4:$B$33,MATCH("04/"&amp;LEFT(A71,2),'Google Drive Map'!$A$4:$A$33,0)),"04 Trades &amp; Tenders/"&amp;A71))</f>
        <v/>
      </c>
      <c r="Z71" s="7">
        <f>IF(Y71="","",IF(IFERROR(INDEX('Google Drive Map'!$G$4:$G$33,MATCH(Y71,'Google Drive Map'!$B$4:$B$33,0))&amp;"","")="","",HYPERLINK(INDEX('Google Drive Map'!$G$4:$G$33,MATCH(Y71,'Google Drive Map'!$B$4:$B$33,0)),"Open")))</f>
        <v/>
      </c>
      <c r="AA71" s="23" t="n"/>
    </row>
    <row r="72">
      <c r="A72" s="22" t="n"/>
      <c r="B72" s="22" t="n"/>
      <c r="C72" s="22" t="n"/>
      <c r="D72" s="35" t="n"/>
      <c r="E72" s="22" t="n"/>
      <c r="F72" s="35" t="n"/>
      <c r="G72" s="22" t="n"/>
      <c r="H72" s="22" t="n"/>
      <c r="I72" s="35" t="n"/>
      <c r="J72" s="24" t="n"/>
      <c r="K72" s="22" t="n"/>
      <c r="L72" s="24" t="n"/>
      <c r="M72" s="22" t="n"/>
      <c r="N72" s="22" t="n"/>
      <c r="O72" s="22" t="n"/>
      <c r="P72" s="22" t="n"/>
      <c r="Q72" s="22" t="n"/>
      <c r="R72" s="22" t="n"/>
      <c r="S72" s="22" t="n"/>
      <c r="T72" s="33" t="n"/>
      <c r="U72" s="33" t="n"/>
      <c r="V72" s="7">
        <f>IF(OR(N(T72)=0,N(U72)=0),"",IF(U72&gt;T72*IF(T72&lt;Settings!$B$5,Settings!$B$4,Settings!$B$6),"Over statutory cap","OK"))</f>
        <v/>
      </c>
      <c r="W72" s="7">
        <f>IF(B72="","",IF(OR(AND(J72&lt;&gt;"",NOT(ISNUMBER(J72))),AND(L72&lt;&gt;"",NOT(ISNUMBER(L72)))),"Check date: typed as text",IF(OR(AND(ISNUMBER(J72),J72&lt;TODAY()),AND(ISNUMBER(L72),L72&lt;TODAY())),"Expired",IF(OR(AND(ISNUMBER(J72),J72-TODAY()&lt;=Settings!$B$11),AND(ISNUMBER(L72),L72-TODAY()&lt;=Settings!$B$11)),"Expires within "&amp;Settings!$B$11&amp;" days",IF(AND(OR(Q72="Engaged",S72="Yes"),OR(J72="",L72="")),"Missing expiry date","OK")))))</f>
        <v/>
      </c>
      <c r="X72" s="36">
        <f>IF(B72="","",TRIM(IF(COUNTIF(B$4:B$103,B72)&gt;1,"Duplicate business name. ","")&amp;IF(AND(N(T72)&gt;Settings!$B$7,H72=""),"Over "&amp;TEXT(Settings!$B$7,"$#,##0")&amp;": record the builder registration (or exemption) and use a written major domestic building contract. ","")&amp;IF(AND(N(T72)&gt;Settings!$B$8,N72&lt;&gt;"Yes"),"Home warranty cover needed over "&amp;TEXT(Settings!$B$8,"$#,##0")&amp;". ","")))</f>
        <v/>
      </c>
      <c r="Y72" s="7">
        <f>IF(A72="","",IFERROR(INDEX('Google Drive Map'!$B$4:$B$33,MATCH("04/"&amp;LEFT(A72,2),'Google Drive Map'!$A$4:$A$33,0)),"04 Trades &amp; Tenders/"&amp;A72))</f>
        <v/>
      </c>
      <c r="Z72" s="7">
        <f>IF(Y72="","",IF(IFERROR(INDEX('Google Drive Map'!$G$4:$G$33,MATCH(Y72,'Google Drive Map'!$B$4:$B$33,0))&amp;"","")="","",HYPERLINK(INDEX('Google Drive Map'!$G$4:$G$33,MATCH(Y72,'Google Drive Map'!$B$4:$B$33,0)),"Open")))</f>
        <v/>
      </c>
      <c r="AA72" s="23" t="n"/>
    </row>
    <row r="73">
      <c r="A73" s="22" t="n"/>
      <c r="B73" s="22" t="n"/>
      <c r="C73" s="22" t="n"/>
      <c r="D73" s="35" t="n"/>
      <c r="E73" s="22" t="n"/>
      <c r="F73" s="35" t="n"/>
      <c r="G73" s="22" t="n"/>
      <c r="H73" s="22" t="n"/>
      <c r="I73" s="35" t="n"/>
      <c r="J73" s="24" t="n"/>
      <c r="K73" s="22" t="n"/>
      <c r="L73" s="24" t="n"/>
      <c r="M73" s="22" t="n"/>
      <c r="N73" s="22" t="n"/>
      <c r="O73" s="22" t="n"/>
      <c r="P73" s="22" t="n"/>
      <c r="Q73" s="22" t="n"/>
      <c r="R73" s="22" t="n"/>
      <c r="S73" s="22" t="n"/>
      <c r="T73" s="33" t="n"/>
      <c r="U73" s="33" t="n"/>
      <c r="V73" s="7">
        <f>IF(OR(N(T73)=0,N(U73)=0),"",IF(U73&gt;T73*IF(T73&lt;Settings!$B$5,Settings!$B$4,Settings!$B$6),"Over statutory cap","OK"))</f>
        <v/>
      </c>
      <c r="W73" s="7">
        <f>IF(B73="","",IF(OR(AND(J73&lt;&gt;"",NOT(ISNUMBER(J73))),AND(L73&lt;&gt;"",NOT(ISNUMBER(L73)))),"Check date: typed as text",IF(OR(AND(ISNUMBER(J73),J73&lt;TODAY()),AND(ISNUMBER(L73),L73&lt;TODAY())),"Expired",IF(OR(AND(ISNUMBER(J73),J73-TODAY()&lt;=Settings!$B$11),AND(ISNUMBER(L73),L73-TODAY()&lt;=Settings!$B$11)),"Expires within "&amp;Settings!$B$11&amp;" days",IF(AND(OR(Q73="Engaged",S73="Yes"),OR(J73="",L73="")),"Missing expiry date","OK")))))</f>
        <v/>
      </c>
      <c r="X73" s="36">
        <f>IF(B73="","",TRIM(IF(COUNTIF(B$4:B$103,B73)&gt;1,"Duplicate business name. ","")&amp;IF(AND(N(T73)&gt;Settings!$B$7,H73=""),"Over "&amp;TEXT(Settings!$B$7,"$#,##0")&amp;": record the builder registration (or exemption) and use a written major domestic building contract. ","")&amp;IF(AND(N(T73)&gt;Settings!$B$8,N73&lt;&gt;"Yes"),"Home warranty cover needed over "&amp;TEXT(Settings!$B$8,"$#,##0")&amp;". ","")))</f>
        <v/>
      </c>
      <c r="Y73" s="7">
        <f>IF(A73="","",IFERROR(INDEX('Google Drive Map'!$B$4:$B$33,MATCH("04/"&amp;LEFT(A73,2),'Google Drive Map'!$A$4:$A$33,0)),"04 Trades &amp; Tenders/"&amp;A73))</f>
        <v/>
      </c>
      <c r="Z73" s="7">
        <f>IF(Y73="","",IF(IFERROR(INDEX('Google Drive Map'!$G$4:$G$33,MATCH(Y73,'Google Drive Map'!$B$4:$B$33,0))&amp;"","")="","",HYPERLINK(INDEX('Google Drive Map'!$G$4:$G$33,MATCH(Y73,'Google Drive Map'!$B$4:$B$33,0)),"Open")))</f>
        <v/>
      </c>
      <c r="AA73" s="23" t="n"/>
    </row>
    <row r="74">
      <c r="A74" s="22" t="n"/>
      <c r="B74" s="22" t="n"/>
      <c r="C74" s="22" t="n"/>
      <c r="D74" s="35" t="n"/>
      <c r="E74" s="22" t="n"/>
      <c r="F74" s="35" t="n"/>
      <c r="G74" s="22" t="n"/>
      <c r="H74" s="22" t="n"/>
      <c r="I74" s="35" t="n"/>
      <c r="J74" s="24" t="n"/>
      <c r="K74" s="22" t="n"/>
      <c r="L74" s="24" t="n"/>
      <c r="M74" s="22" t="n"/>
      <c r="N74" s="22" t="n"/>
      <c r="O74" s="22" t="n"/>
      <c r="P74" s="22" t="n"/>
      <c r="Q74" s="22" t="n"/>
      <c r="R74" s="22" t="n"/>
      <c r="S74" s="22" t="n"/>
      <c r="T74" s="33" t="n"/>
      <c r="U74" s="33" t="n"/>
      <c r="V74" s="7">
        <f>IF(OR(N(T74)=0,N(U74)=0),"",IF(U74&gt;T74*IF(T74&lt;Settings!$B$5,Settings!$B$4,Settings!$B$6),"Over statutory cap","OK"))</f>
        <v/>
      </c>
      <c r="W74" s="7">
        <f>IF(B74="","",IF(OR(AND(J74&lt;&gt;"",NOT(ISNUMBER(J74))),AND(L74&lt;&gt;"",NOT(ISNUMBER(L74)))),"Check date: typed as text",IF(OR(AND(ISNUMBER(J74),J74&lt;TODAY()),AND(ISNUMBER(L74),L74&lt;TODAY())),"Expired",IF(OR(AND(ISNUMBER(J74),J74-TODAY()&lt;=Settings!$B$11),AND(ISNUMBER(L74),L74-TODAY()&lt;=Settings!$B$11)),"Expires within "&amp;Settings!$B$11&amp;" days",IF(AND(OR(Q74="Engaged",S74="Yes"),OR(J74="",L74="")),"Missing expiry date","OK")))))</f>
        <v/>
      </c>
      <c r="X74" s="36">
        <f>IF(B74="","",TRIM(IF(COUNTIF(B$4:B$103,B74)&gt;1,"Duplicate business name. ","")&amp;IF(AND(N(T74)&gt;Settings!$B$7,H74=""),"Over "&amp;TEXT(Settings!$B$7,"$#,##0")&amp;": record the builder registration (or exemption) and use a written major domestic building contract. ","")&amp;IF(AND(N(T74)&gt;Settings!$B$8,N74&lt;&gt;"Yes"),"Home warranty cover needed over "&amp;TEXT(Settings!$B$8,"$#,##0")&amp;". ","")))</f>
        <v/>
      </c>
      <c r="Y74" s="7">
        <f>IF(A74="","",IFERROR(INDEX('Google Drive Map'!$B$4:$B$33,MATCH("04/"&amp;LEFT(A74,2),'Google Drive Map'!$A$4:$A$33,0)),"04 Trades &amp; Tenders/"&amp;A74))</f>
        <v/>
      </c>
      <c r="Z74" s="7">
        <f>IF(Y74="","",IF(IFERROR(INDEX('Google Drive Map'!$G$4:$G$33,MATCH(Y74,'Google Drive Map'!$B$4:$B$33,0))&amp;"","")="","",HYPERLINK(INDEX('Google Drive Map'!$G$4:$G$33,MATCH(Y74,'Google Drive Map'!$B$4:$B$33,0)),"Open")))</f>
        <v/>
      </c>
      <c r="AA74" s="23" t="n"/>
    </row>
    <row r="75">
      <c r="A75" s="22" t="n"/>
      <c r="B75" s="22" t="n"/>
      <c r="C75" s="22" t="n"/>
      <c r="D75" s="35" t="n"/>
      <c r="E75" s="22" t="n"/>
      <c r="F75" s="35" t="n"/>
      <c r="G75" s="22" t="n"/>
      <c r="H75" s="22" t="n"/>
      <c r="I75" s="35" t="n"/>
      <c r="J75" s="24" t="n"/>
      <c r="K75" s="22" t="n"/>
      <c r="L75" s="24" t="n"/>
      <c r="M75" s="22" t="n"/>
      <c r="N75" s="22" t="n"/>
      <c r="O75" s="22" t="n"/>
      <c r="P75" s="22" t="n"/>
      <c r="Q75" s="22" t="n"/>
      <c r="R75" s="22" t="n"/>
      <c r="S75" s="22" t="n"/>
      <c r="T75" s="33" t="n"/>
      <c r="U75" s="33" t="n"/>
      <c r="V75" s="7">
        <f>IF(OR(N(T75)=0,N(U75)=0),"",IF(U75&gt;T75*IF(T75&lt;Settings!$B$5,Settings!$B$4,Settings!$B$6),"Over statutory cap","OK"))</f>
        <v/>
      </c>
      <c r="W75" s="7">
        <f>IF(B75="","",IF(OR(AND(J75&lt;&gt;"",NOT(ISNUMBER(J75))),AND(L75&lt;&gt;"",NOT(ISNUMBER(L75)))),"Check date: typed as text",IF(OR(AND(ISNUMBER(J75),J75&lt;TODAY()),AND(ISNUMBER(L75),L75&lt;TODAY())),"Expired",IF(OR(AND(ISNUMBER(J75),J75-TODAY()&lt;=Settings!$B$11),AND(ISNUMBER(L75),L75-TODAY()&lt;=Settings!$B$11)),"Expires within "&amp;Settings!$B$11&amp;" days",IF(AND(OR(Q75="Engaged",S75="Yes"),OR(J75="",L75="")),"Missing expiry date","OK")))))</f>
        <v/>
      </c>
      <c r="X75" s="36">
        <f>IF(B75="","",TRIM(IF(COUNTIF(B$4:B$103,B75)&gt;1,"Duplicate business name. ","")&amp;IF(AND(N(T75)&gt;Settings!$B$7,H75=""),"Over "&amp;TEXT(Settings!$B$7,"$#,##0")&amp;": record the builder registration (or exemption) and use a written major domestic building contract. ","")&amp;IF(AND(N(T75)&gt;Settings!$B$8,N75&lt;&gt;"Yes"),"Home warranty cover needed over "&amp;TEXT(Settings!$B$8,"$#,##0")&amp;". ","")))</f>
        <v/>
      </c>
      <c r="Y75" s="7">
        <f>IF(A75="","",IFERROR(INDEX('Google Drive Map'!$B$4:$B$33,MATCH("04/"&amp;LEFT(A75,2),'Google Drive Map'!$A$4:$A$33,0)),"04 Trades &amp; Tenders/"&amp;A75))</f>
        <v/>
      </c>
      <c r="Z75" s="7">
        <f>IF(Y75="","",IF(IFERROR(INDEX('Google Drive Map'!$G$4:$G$33,MATCH(Y75,'Google Drive Map'!$B$4:$B$33,0))&amp;"","")="","",HYPERLINK(INDEX('Google Drive Map'!$G$4:$G$33,MATCH(Y75,'Google Drive Map'!$B$4:$B$33,0)),"Open")))</f>
        <v/>
      </c>
      <c r="AA75" s="23" t="n"/>
    </row>
    <row r="76">
      <c r="A76" s="22" t="n"/>
      <c r="B76" s="22" t="n"/>
      <c r="C76" s="22" t="n"/>
      <c r="D76" s="35" t="n"/>
      <c r="E76" s="22" t="n"/>
      <c r="F76" s="35" t="n"/>
      <c r="G76" s="22" t="n"/>
      <c r="H76" s="22" t="n"/>
      <c r="I76" s="35" t="n"/>
      <c r="J76" s="24" t="n"/>
      <c r="K76" s="22" t="n"/>
      <c r="L76" s="24" t="n"/>
      <c r="M76" s="22" t="n"/>
      <c r="N76" s="22" t="n"/>
      <c r="O76" s="22" t="n"/>
      <c r="P76" s="22" t="n"/>
      <c r="Q76" s="22" t="n"/>
      <c r="R76" s="22" t="n"/>
      <c r="S76" s="22" t="n"/>
      <c r="T76" s="33" t="n"/>
      <c r="U76" s="33" t="n"/>
      <c r="V76" s="7">
        <f>IF(OR(N(T76)=0,N(U76)=0),"",IF(U76&gt;T76*IF(T76&lt;Settings!$B$5,Settings!$B$4,Settings!$B$6),"Over statutory cap","OK"))</f>
        <v/>
      </c>
      <c r="W76" s="7">
        <f>IF(B76="","",IF(OR(AND(J76&lt;&gt;"",NOT(ISNUMBER(J76))),AND(L76&lt;&gt;"",NOT(ISNUMBER(L76)))),"Check date: typed as text",IF(OR(AND(ISNUMBER(J76),J76&lt;TODAY()),AND(ISNUMBER(L76),L76&lt;TODAY())),"Expired",IF(OR(AND(ISNUMBER(J76),J76-TODAY()&lt;=Settings!$B$11),AND(ISNUMBER(L76),L76-TODAY()&lt;=Settings!$B$11)),"Expires within "&amp;Settings!$B$11&amp;" days",IF(AND(OR(Q76="Engaged",S76="Yes"),OR(J76="",L76="")),"Missing expiry date","OK")))))</f>
        <v/>
      </c>
      <c r="X76" s="36">
        <f>IF(B76="","",TRIM(IF(COUNTIF(B$4:B$103,B76)&gt;1,"Duplicate business name. ","")&amp;IF(AND(N(T76)&gt;Settings!$B$7,H76=""),"Over "&amp;TEXT(Settings!$B$7,"$#,##0")&amp;": record the builder registration (or exemption) and use a written major domestic building contract. ","")&amp;IF(AND(N(T76)&gt;Settings!$B$8,N76&lt;&gt;"Yes"),"Home warranty cover needed over "&amp;TEXT(Settings!$B$8,"$#,##0")&amp;". ","")))</f>
        <v/>
      </c>
      <c r="Y76" s="7">
        <f>IF(A76="","",IFERROR(INDEX('Google Drive Map'!$B$4:$B$33,MATCH("04/"&amp;LEFT(A76,2),'Google Drive Map'!$A$4:$A$33,0)),"04 Trades &amp; Tenders/"&amp;A76))</f>
        <v/>
      </c>
      <c r="Z76" s="7">
        <f>IF(Y76="","",IF(IFERROR(INDEX('Google Drive Map'!$G$4:$G$33,MATCH(Y76,'Google Drive Map'!$B$4:$B$33,0))&amp;"","")="","",HYPERLINK(INDEX('Google Drive Map'!$G$4:$G$33,MATCH(Y76,'Google Drive Map'!$B$4:$B$33,0)),"Open")))</f>
        <v/>
      </c>
      <c r="AA76" s="23" t="n"/>
    </row>
    <row r="77">
      <c r="A77" s="22" t="n"/>
      <c r="B77" s="22" t="n"/>
      <c r="C77" s="22" t="n"/>
      <c r="D77" s="35" t="n"/>
      <c r="E77" s="22" t="n"/>
      <c r="F77" s="35" t="n"/>
      <c r="G77" s="22" t="n"/>
      <c r="H77" s="22" t="n"/>
      <c r="I77" s="35" t="n"/>
      <c r="J77" s="24" t="n"/>
      <c r="K77" s="22" t="n"/>
      <c r="L77" s="24" t="n"/>
      <c r="M77" s="22" t="n"/>
      <c r="N77" s="22" t="n"/>
      <c r="O77" s="22" t="n"/>
      <c r="P77" s="22" t="n"/>
      <c r="Q77" s="22" t="n"/>
      <c r="R77" s="22" t="n"/>
      <c r="S77" s="22" t="n"/>
      <c r="T77" s="33" t="n"/>
      <c r="U77" s="33" t="n"/>
      <c r="V77" s="7">
        <f>IF(OR(N(T77)=0,N(U77)=0),"",IF(U77&gt;T77*IF(T77&lt;Settings!$B$5,Settings!$B$4,Settings!$B$6),"Over statutory cap","OK"))</f>
        <v/>
      </c>
      <c r="W77" s="7">
        <f>IF(B77="","",IF(OR(AND(J77&lt;&gt;"",NOT(ISNUMBER(J77))),AND(L77&lt;&gt;"",NOT(ISNUMBER(L77)))),"Check date: typed as text",IF(OR(AND(ISNUMBER(J77),J77&lt;TODAY()),AND(ISNUMBER(L77),L77&lt;TODAY())),"Expired",IF(OR(AND(ISNUMBER(J77),J77-TODAY()&lt;=Settings!$B$11),AND(ISNUMBER(L77),L77-TODAY()&lt;=Settings!$B$11)),"Expires within "&amp;Settings!$B$11&amp;" days",IF(AND(OR(Q77="Engaged",S77="Yes"),OR(J77="",L77="")),"Missing expiry date","OK")))))</f>
        <v/>
      </c>
      <c r="X77" s="36">
        <f>IF(B77="","",TRIM(IF(COUNTIF(B$4:B$103,B77)&gt;1,"Duplicate business name. ","")&amp;IF(AND(N(T77)&gt;Settings!$B$7,H77=""),"Over "&amp;TEXT(Settings!$B$7,"$#,##0")&amp;": record the builder registration (or exemption) and use a written major domestic building contract. ","")&amp;IF(AND(N(T77)&gt;Settings!$B$8,N77&lt;&gt;"Yes"),"Home warranty cover needed over "&amp;TEXT(Settings!$B$8,"$#,##0")&amp;". ","")))</f>
        <v/>
      </c>
      <c r="Y77" s="7">
        <f>IF(A77="","",IFERROR(INDEX('Google Drive Map'!$B$4:$B$33,MATCH("04/"&amp;LEFT(A77,2),'Google Drive Map'!$A$4:$A$33,0)),"04 Trades &amp; Tenders/"&amp;A77))</f>
        <v/>
      </c>
      <c r="Z77" s="7">
        <f>IF(Y77="","",IF(IFERROR(INDEX('Google Drive Map'!$G$4:$G$33,MATCH(Y77,'Google Drive Map'!$B$4:$B$33,0))&amp;"","")="","",HYPERLINK(INDEX('Google Drive Map'!$G$4:$G$33,MATCH(Y77,'Google Drive Map'!$B$4:$B$33,0)),"Open")))</f>
        <v/>
      </c>
      <c r="AA77" s="23" t="n"/>
    </row>
    <row r="78">
      <c r="A78" s="22" t="n"/>
      <c r="B78" s="22" t="n"/>
      <c r="C78" s="22" t="n"/>
      <c r="D78" s="35" t="n"/>
      <c r="E78" s="22" t="n"/>
      <c r="F78" s="35" t="n"/>
      <c r="G78" s="22" t="n"/>
      <c r="H78" s="22" t="n"/>
      <c r="I78" s="35" t="n"/>
      <c r="J78" s="24" t="n"/>
      <c r="K78" s="22" t="n"/>
      <c r="L78" s="24" t="n"/>
      <c r="M78" s="22" t="n"/>
      <c r="N78" s="22" t="n"/>
      <c r="O78" s="22" t="n"/>
      <c r="P78" s="22" t="n"/>
      <c r="Q78" s="22" t="n"/>
      <c r="R78" s="22" t="n"/>
      <c r="S78" s="22" t="n"/>
      <c r="T78" s="33" t="n"/>
      <c r="U78" s="33" t="n"/>
      <c r="V78" s="7">
        <f>IF(OR(N(T78)=0,N(U78)=0),"",IF(U78&gt;T78*IF(T78&lt;Settings!$B$5,Settings!$B$4,Settings!$B$6),"Over statutory cap","OK"))</f>
        <v/>
      </c>
      <c r="W78" s="7">
        <f>IF(B78="","",IF(OR(AND(J78&lt;&gt;"",NOT(ISNUMBER(J78))),AND(L78&lt;&gt;"",NOT(ISNUMBER(L78)))),"Check date: typed as text",IF(OR(AND(ISNUMBER(J78),J78&lt;TODAY()),AND(ISNUMBER(L78),L78&lt;TODAY())),"Expired",IF(OR(AND(ISNUMBER(J78),J78-TODAY()&lt;=Settings!$B$11),AND(ISNUMBER(L78),L78-TODAY()&lt;=Settings!$B$11)),"Expires within "&amp;Settings!$B$11&amp;" days",IF(AND(OR(Q78="Engaged",S78="Yes"),OR(J78="",L78="")),"Missing expiry date","OK")))))</f>
        <v/>
      </c>
      <c r="X78" s="36">
        <f>IF(B78="","",TRIM(IF(COUNTIF(B$4:B$103,B78)&gt;1,"Duplicate business name. ","")&amp;IF(AND(N(T78)&gt;Settings!$B$7,H78=""),"Over "&amp;TEXT(Settings!$B$7,"$#,##0")&amp;": record the builder registration (or exemption) and use a written major domestic building contract. ","")&amp;IF(AND(N(T78)&gt;Settings!$B$8,N78&lt;&gt;"Yes"),"Home warranty cover needed over "&amp;TEXT(Settings!$B$8,"$#,##0")&amp;". ","")))</f>
        <v/>
      </c>
      <c r="Y78" s="7">
        <f>IF(A78="","",IFERROR(INDEX('Google Drive Map'!$B$4:$B$33,MATCH("04/"&amp;LEFT(A78,2),'Google Drive Map'!$A$4:$A$33,0)),"04 Trades &amp; Tenders/"&amp;A78))</f>
        <v/>
      </c>
      <c r="Z78" s="7">
        <f>IF(Y78="","",IF(IFERROR(INDEX('Google Drive Map'!$G$4:$G$33,MATCH(Y78,'Google Drive Map'!$B$4:$B$33,0))&amp;"","")="","",HYPERLINK(INDEX('Google Drive Map'!$G$4:$G$33,MATCH(Y78,'Google Drive Map'!$B$4:$B$33,0)),"Open")))</f>
        <v/>
      </c>
      <c r="AA78" s="23" t="n"/>
    </row>
    <row r="79">
      <c r="A79" s="22" t="n"/>
      <c r="B79" s="22" t="n"/>
      <c r="C79" s="22" t="n"/>
      <c r="D79" s="35" t="n"/>
      <c r="E79" s="22" t="n"/>
      <c r="F79" s="35" t="n"/>
      <c r="G79" s="22" t="n"/>
      <c r="H79" s="22" t="n"/>
      <c r="I79" s="35" t="n"/>
      <c r="J79" s="24" t="n"/>
      <c r="K79" s="22" t="n"/>
      <c r="L79" s="24" t="n"/>
      <c r="M79" s="22" t="n"/>
      <c r="N79" s="22" t="n"/>
      <c r="O79" s="22" t="n"/>
      <c r="P79" s="22" t="n"/>
      <c r="Q79" s="22" t="n"/>
      <c r="R79" s="22" t="n"/>
      <c r="S79" s="22" t="n"/>
      <c r="T79" s="33" t="n"/>
      <c r="U79" s="33" t="n"/>
      <c r="V79" s="7">
        <f>IF(OR(N(T79)=0,N(U79)=0),"",IF(U79&gt;T79*IF(T79&lt;Settings!$B$5,Settings!$B$4,Settings!$B$6),"Over statutory cap","OK"))</f>
        <v/>
      </c>
      <c r="W79" s="7">
        <f>IF(B79="","",IF(OR(AND(J79&lt;&gt;"",NOT(ISNUMBER(J79))),AND(L79&lt;&gt;"",NOT(ISNUMBER(L79)))),"Check date: typed as text",IF(OR(AND(ISNUMBER(J79),J79&lt;TODAY()),AND(ISNUMBER(L79),L79&lt;TODAY())),"Expired",IF(OR(AND(ISNUMBER(J79),J79-TODAY()&lt;=Settings!$B$11),AND(ISNUMBER(L79),L79-TODAY()&lt;=Settings!$B$11)),"Expires within "&amp;Settings!$B$11&amp;" days",IF(AND(OR(Q79="Engaged",S79="Yes"),OR(J79="",L79="")),"Missing expiry date","OK")))))</f>
        <v/>
      </c>
      <c r="X79" s="36">
        <f>IF(B79="","",TRIM(IF(COUNTIF(B$4:B$103,B79)&gt;1,"Duplicate business name. ","")&amp;IF(AND(N(T79)&gt;Settings!$B$7,H79=""),"Over "&amp;TEXT(Settings!$B$7,"$#,##0")&amp;": record the builder registration (or exemption) and use a written major domestic building contract. ","")&amp;IF(AND(N(T79)&gt;Settings!$B$8,N79&lt;&gt;"Yes"),"Home warranty cover needed over "&amp;TEXT(Settings!$B$8,"$#,##0")&amp;". ","")))</f>
        <v/>
      </c>
      <c r="Y79" s="7">
        <f>IF(A79="","",IFERROR(INDEX('Google Drive Map'!$B$4:$B$33,MATCH("04/"&amp;LEFT(A79,2),'Google Drive Map'!$A$4:$A$33,0)),"04 Trades &amp; Tenders/"&amp;A79))</f>
        <v/>
      </c>
      <c r="Z79" s="7">
        <f>IF(Y79="","",IF(IFERROR(INDEX('Google Drive Map'!$G$4:$G$33,MATCH(Y79,'Google Drive Map'!$B$4:$B$33,0))&amp;"","")="","",HYPERLINK(INDEX('Google Drive Map'!$G$4:$G$33,MATCH(Y79,'Google Drive Map'!$B$4:$B$33,0)),"Open")))</f>
        <v/>
      </c>
      <c r="AA79" s="23" t="n"/>
    </row>
    <row r="80">
      <c r="A80" s="22" t="n"/>
      <c r="B80" s="22" t="n"/>
      <c r="C80" s="22" t="n"/>
      <c r="D80" s="35" t="n"/>
      <c r="E80" s="22" t="n"/>
      <c r="F80" s="35" t="n"/>
      <c r="G80" s="22" t="n"/>
      <c r="H80" s="22" t="n"/>
      <c r="I80" s="35" t="n"/>
      <c r="J80" s="24" t="n"/>
      <c r="K80" s="22" t="n"/>
      <c r="L80" s="24" t="n"/>
      <c r="M80" s="22" t="n"/>
      <c r="N80" s="22" t="n"/>
      <c r="O80" s="22" t="n"/>
      <c r="P80" s="22" t="n"/>
      <c r="Q80" s="22" t="n"/>
      <c r="R80" s="22" t="n"/>
      <c r="S80" s="22" t="n"/>
      <c r="T80" s="33" t="n"/>
      <c r="U80" s="33" t="n"/>
      <c r="V80" s="7">
        <f>IF(OR(N(T80)=0,N(U80)=0),"",IF(U80&gt;T80*IF(T80&lt;Settings!$B$5,Settings!$B$4,Settings!$B$6),"Over statutory cap","OK"))</f>
        <v/>
      </c>
      <c r="W80" s="7">
        <f>IF(B80="","",IF(OR(AND(J80&lt;&gt;"",NOT(ISNUMBER(J80))),AND(L80&lt;&gt;"",NOT(ISNUMBER(L80)))),"Check date: typed as text",IF(OR(AND(ISNUMBER(J80),J80&lt;TODAY()),AND(ISNUMBER(L80),L80&lt;TODAY())),"Expired",IF(OR(AND(ISNUMBER(J80),J80-TODAY()&lt;=Settings!$B$11),AND(ISNUMBER(L80),L80-TODAY()&lt;=Settings!$B$11)),"Expires within "&amp;Settings!$B$11&amp;" days",IF(AND(OR(Q80="Engaged",S80="Yes"),OR(J80="",L80="")),"Missing expiry date","OK")))))</f>
        <v/>
      </c>
      <c r="X80" s="36">
        <f>IF(B80="","",TRIM(IF(COUNTIF(B$4:B$103,B80)&gt;1,"Duplicate business name. ","")&amp;IF(AND(N(T80)&gt;Settings!$B$7,H80=""),"Over "&amp;TEXT(Settings!$B$7,"$#,##0")&amp;": record the builder registration (or exemption) and use a written major domestic building contract. ","")&amp;IF(AND(N(T80)&gt;Settings!$B$8,N80&lt;&gt;"Yes"),"Home warranty cover needed over "&amp;TEXT(Settings!$B$8,"$#,##0")&amp;". ","")))</f>
        <v/>
      </c>
      <c r="Y80" s="7">
        <f>IF(A80="","",IFERROR(INDEX('Google Drive Map'!$B$4:$B$33,MATCH("04/"&amp;LEFT(A80,2),'Google Drive Map'!$A$4:$A$33,0)),"04 Trades &amp; Tenders/"&amp;A80))</f>
        <v/>
      </c>
      <c r="Z80" s="7">
        <f>IF(Y80="","",IF(IFERROR(INDEX('Google Drive Map'!$G$4:$G$33,MATCH(Y80,'Google Drive Map'!$B$4:$B$33,0))&amp;"","")="","",HYPERLINK(INDEX('Google Drive Map'!$G$4:$G$33,MATCH(Y80,'Google Drive Map'!$B$4:$B$33,0)),"Open")))</f>
        <v/>
      </c>
      <c r="AA80" s="23" t="n"/>
    </row>
    <row r="81">
      <c r="A81" s="22" t="n"/>
      <c r="B81" s="22" t="n"/>
      <c r="C81" s="22" t="n"/>
      <c r="D81" s="35" t="n"/>
      <c r="E81" s="22" t="n"/>
      <c r="F81" s="35" t="n"/>
      <c r="G81" s="22" t="n"/>
      <c r="H81" s="22" t="n"/>
      <c r="I81" s="35" t="n"/>
      <c r="J81" s="24" t="n"/>
      <c r="K81" s="22" t="n"/>
      <c r="L81" s="24" t="n"/>
      <c r="M81" s="22" t="n"/>
      <c r="N81" s="22" t="n"/>
      <c r="O81" s="22" t="n"/>
      <c r="P81" s="22" t="n"/>
      <c r="Q81" s="22" t="n"/>
      <c r="R81" s="22" t="n"/>
      <c r="S81" s="22" t="n"/>
      <c r="T81" s="33" t="n"/>
      <c r="U81" s="33" t="n"/>
      <c r="V81" s="7">
        <f>IF(OR(N(T81)=0,N(U81)=0),"",IF(U81&gt;T81*IF(T81&lt;Settings!$B$5,Settings!$B$4,Settings!$B$6),"Over statutory cap","OK"))</f>
        <v/>
      </c>
      <c r="W81" s="7">
        <f>IF(B81="","",IF(OR(AND(J81&lt;&gt;"",NOT(ISNUMBER(J81))),AND(L81&lt;&gt;"",NOT(ISNUMBER(L81)))),"Check date: typed as text",IF(OR(AND(ISNUMBER(J81),J81&lt;TODAY()),AND(ISNUMBER(L81),L81&lt;TODAY())),"Expired",IF(OR(AND(ISNUMBER(J81),J81-TODAY()&lt;=Settings!$B$11),AND(ISNUMBER(L81),L81-TODAY()&lt;=Settings!$B$11)),"Expires within "&amp;Settings!$B$11&amp;" days",IF(AND(OR(Q81="Engaged",S81="Yes"),OR(J81="",L81="")),"Missing expiry date","OK")))))</f>
        <v/>
      </c>
      <c r="X81" s="36">
        <f>IF(B81="","",TRIM(IF(COUNTIF(B$4:B$103,B81)&gt;1,"Duplicate business name. ","")&amp;IF(AND(N(T81)&gt;Settings!$B$7,H81=""),"Over "&amp;TEXT(Settings!$B$7,"$#,##0")&amp;": record the builder registration (or exemption) and use a written major domestic building contract. ","")&amp;IF(AND(N(T81)&gt;Settings!$B$8,N81&lt;&gt;"Yes"),"Home warranty cover needed over "&amp;TEXT(Settings!$B$8,"$#,##0")&amp;". ","")))</f>
        <v/>
      </c>
      <c r="Y81" s="7">
        <f>IF(A81="","",IFERROR(INDEX('Google Drive Map'!$B$4:$B$33,MATCH("04/"&amp;LEFT(A81,2),'Google Drive Map'!$A$4:$A$33,0)),"04 Trades &amp; Tenders/"&amp;A81))</f>
        <v/>
      </c>
      <c r="Z81" s="7">
        <f>IF(Y81="","",IF(IFERROR(INDEX('Google Drive Map'!$G$4:$G$33,MATCH(Y81,'Google Drive Map'!$B$4:$B$33,0))&amp;"","")="","",HYPERLINK(INDEX('Google Drive Map'!$G$4:$G$33,MATCH(Y81,'Google Drive Map'!$B$4:$B$33,0)),"Open")))</f>
        <v/>
      </c>
      <c r="AA81" s="23" t="n"/>
    </row>
    <row r="82">
      <c r="A82" s="22" t="n"/>
      <c r="B82" s="22" t="n"/>
      <c r="C82" s="22" t="n"/>
      <c r="D82" s="35" t="n"/>
      <c r="E82" s="22" t="n"/>
      <c r="F82" s="35" t="n"/>
      <c r="G82" s="22" t="n"/>
      <c r="H82" s="22" t="n"/>
      <c r="I82" s="35" t="n"/>
      <c r="J82" s="24" t="n"/>
      <c r="K82" s="22" t="n"/>
      <c r="L82" s="24" t="n"/>
      <c r="M82" s="22" t="n"/>
      <c r="N82" s="22" t="n"/>
      <c r="O82" s="22" t="n"/>
      <c r="P82" s="22" t="n"/>
      <c r="Q82" s="22" t="n"/>
      <c r="R82" s="22" t="n"/>
      <c r="S82" s="22" t="n"/>
      <c r="T82" s="33" t="n"/>
      <c r="U82" s="33" t="n"/>
      <c r="V82" s="7">
        <f>IF(OR(N(T82)=0,N(U82)=0),"",IF(U82&gt;T82*IF(T82&lt;Settings!$B$5,Settings!$B$4,Settings!$B$6),"Over statutory cap","OK"))</f>
        <v/>
      </c>
      <c r="W82" s="7">
        <f>IF(B82="","",IF(OR(AND(J82&lt;&gt;"",NOT(ISNUMBER(J82))),AND(L82&lt;&gt;"",NOT(ISNUMBER(L82)))),"Check date: typed as text",IF(OR(AND(ISNUMBER(J82),J82&lt;TODAY()),AND(ISNUMBER(L82),L82&lt;TODAY())),"Expired",IF(OR(AND(ISNUMBER(J82),J82-TODAY()&lt;=Settings!$B$11),AND(ISNUMBER(L82),L82-TODAY()&lt;=Settings!$B$11)),"Expires within "&amp;Settings!$B$11&amp;" days",IF(AND(OR(Q82="Engaged",S82="Yes"),OR(J82="",L82="")),"Missing expiry date","OK")))))</f>
        <v/>
      </c>
      <c r="X82" s="36">
        <f>IF(B82="","",TRIM(IF(COUNTIF(B$4:B$103,B82)&gt;1,"Duplicate business name. ","")&amp;IF(AND(N(T82)&gt;Settings!$B$7,H82=""),"Over "&amp;TEXT(Settings!$B$7,"$#,##0")&amp;": record the builder registration (or exemption) and use a written major domestic building contract. ","")&amp;IF(AND(N(T82)&gt;Settings!$B$8,N82&lt;&gt;"Yes"),"Home warranty cover needed over "&amp;TEXT(Settings!$B$8,"$#,##0")&amp;". ","")))</f>
        <v/>
      </c>
      <c r="Y82" s="7">
        <f>IF(A82="","",IFERROR(INDEX('Google Drive Map'!$B$4:$B$33,MATCH("04/"&amp;LEFT(A82,2),'Google Drive Map'!$A$4:$A$33,0)),"04 Trades &amp; Tenders/"&amp;A82))</f>
        <v/>
      </c>
      <c r="Z82" s="7">
        <f>IF(Y82="","",IF(IFERROR(INDEX('Google Drive Map'!$G$4:$G$33,MATCH(Y82,'Google Drive Map'!$B$4:$B$33,0))&amp;"","")="","",HYPERLINK(INDEX('Google Drive Map'!$G$4:$G$33,MATCH(Y82,'Google Drive Map'!$B$4:$B$33,0)),"Open")))</f>
        <v/>
      </c>
      <c r="AA82" s="23" t="n"/>
    </row>
    <row r="83">
      <c r="A83" s="22" t="n"/>
      <c r="B83" s="22" t="n"/>
      <c r="C83" s="22" t="n"/>
      <c r="D83" s="35" t="n"/>
      <c r="E83" s="22" t="n"/>
      <c r="F83" s="35" t="n"/>
      <c r="G83" s="22" t="n"/>
      <c r="H83" s="22" t="n"/>
      <c r="I83" s="35" t="n"/>
      <c r="J83" s="24" t="n"/>
      <c r="K83" s="22" t="n"/>
      <c r="L83" s="24" t="n"/>
      <c r="M83" s="22" t="n"/>
      <c r="N83" s="22" t="n"/>
      <c r="O83" s="22" t="n"/>
      <c r="P83" s="22" t="n"/>
      <c r="Q83" s="22" t="n"/>
      <c r="R83" s="22" t="n"/>
      <c r="S83" s="22" t="n"/>
      <c r="T83" s="33" t="n"/>
      <c r="U83" s="33" t="n"/>
      <c r="V83" s="7">
        <f>IF(OR(N(T83)=0,N(U83)=0),"",IF(U83&gt;T83*IF(T83&lt;Settings!$B$5,Settings!$B$4,Settings!$B$6),"Over statutory cap","OK"))</f>
        <v/>
      </c>
      <c r="W83" s="7">
        <f>IF(B83="","",IF(OR(AND(J83&lt;&gt;"",NOT(ISNUMBER(J83))),AND(L83&lt;&gt;"",NOT(ISNUMBER(L83)))),"Check date: typed as text",IF(OR(AND(ISNUMBER(J83),J83&lt;TODAY()),AND(ISNUMBER(L83),L83&lt;TODAY())),"Expired",IF(OR(AND(ISNUMBER(J83),J83-TODAY()&lt;=Settings!$B$11),AND(ISNUMBER(L83),L83-TODAY()&lt;=Settings!$B$11)),"Expires within "&amp;Settings!$B$11&amp;" days",IF(AND(OR(Q83="Engaged",S83="Yes"),OR(J83="",L83="")),"Missing expiry date","OK")))))</f>
        <v/>
      </c>
      <c r="X83" s="36">
        <f>IF(B83="","",TRIM(IF(COUNTIF(B$4:B$103,B83)&gt;1,"Duplicate business name. ","")&amp;IF(AND(N(T83)&gt;Settings!$B$7,H83=""),"Over "&amp;TEXT(Settings!$B$7,"$#,##0")&amp;": record the builder registration (or exemption) and use a written major domestic building contract. ","")&amp;IF(AND(N(T83)&gt;Settings!$B$8,N83&lt;&gt;"Yes"),"Home warranty cover needed over "&amp;TEXT(Settings!$B$8,"$#,##0")&amp;". ","")))</f>
        <v/>
      </c>
      <c r="Y83" s="7">
        <f>IF(A83="","",IFERROR(INDEX('Google Drive Map'!$B$4:$B$33,MATCH("04/"&amp;LEFT(A83,2),'Google Drive Map'!$A$4:$A$33,0)),"04 Trades &amp; Tenders/"&amp;A83))</f>
        <v/>
      </c>
      <c r="Z83" s="7">
        <f>IF(Y83="","",IF(IFERROR(INDEX('Google Drive Map'!$G$4:$G$33,MATCH(Y83,'Google Drive Map'!$B$4:$B$33,0))&amp;"","")="","",HYPERLINK(INDEX('Google Drive Map'!$G$4:$G$33,MATCH(Y83,'Google Drive Map'!$B$4:$B$33,0)),"Open")))</f>
        <v/>
      </c>
      <c r="AA83" s="23" t="n"/>
    </row>
    <row r="84">
      <c r="A84" s="22" t="n"/>
      <c r="B84" s="22" t="n"/>
      <c r="C84" s="22" t="n"/>
      <c r="D84" s="35" t="n"/>
      <c r="E84" s="22" t="n"/>
      <c r="F84" s="35" t="n"/>
      <c r="G84" s="22" t="n"/>
      <c r="H84" s="22" t="n"/>
      <c r="I84" s="35" t="n"/>
      <c r="J84" s="24" t="n"/>
      <c r="K84" s="22" t="n"/>
      <c r="L84" s="24" t="n"/>
      <c r="M84" s="22" t="n"/>
      <c r="N84" s="22" t="n"/>
      <c r="O84" s="22" t="n"/>
      <c r="P84" s="22" t="n"/>
      <c r="Q84" s="22" t="n"/>
      <c r="R84" s="22" t="n"/>
      <c r="S84" s="22" t="n"/>
      <c r="T84" s="33" t="n"/>
      <c r="U84" s="33" t="n"/>
      <c r="V84" s="7">
        <f>IF(OR(N(T84)=0,N(U84)=0),"",IF(U84&gt;T84*IF(T84&lt;Settings!$B$5,Settings!$B$4,Settings!$B$6),"Over statutory cap","OK"))</f>
        <v/>
      </c>
      <c r="W84" s="7">
        <f>IF(B84="","",IF(OR(AND(J84&lt;&gt;"",NOT(ISNUMBER(J84))),AND(L84&lt;&gt;"",NOT(ISNUMBER(L84)))),"Check date: typed as text",IF(OR(AND(ISNUMBER(J84),J84&lt;TODAY()),AND(ISNUMBER(L84),L84&lt;TODAY())),"Expired",IF(OR(AND(ISNUMBER(J84),J84-TODAY()&lt;=Settings!$B$11),AND(ISNUMBER(L84),L84-TODAY()&lt;=Settings!$B$11)),"Expires within "&amp;Settings!$B$11&amp;" days",IF(AND(OR(Q84="Engaged",S84="Yes"),OR(J84="",L84="")),"Missing expiry date","OK")))))</f>
        <v/>
      </c>
      <c r="X84" s="36">
        <f>IF(B84="","",TRIM(IF(COUNTIF(B$4:B$103,B84)&gt;1,"Duplicate business name. ","")&amp;IF(AND(N(T84)&gt;Settings!$B$7,H84=""),"Over "&amp;TEXT(Settings!$B$7,"$#,##0")&amp;": record the builder registration (or exemption) and use a written major domestic building contract. ","")&amp;IF(AND(N(T84)&gt;Settings!$B$8,N84&lt;&gt;"Yes"),"Home warranty cover needed over "&amp;TEXT(Settings!$B$8,"$#,##0")&amp;". ","")))</f>
        <v/>
      </c>
      <c r="Y84" s="7">
        <f>IF(A84="","",IFERROR(INDEX('Google Drive Map'!$B$4:$B$33,MATCH("04/"&amp;LEFT(A84,2),'Google Drive Map'!$A$4:$A$33,0)),"04 Trades &amp; Tenders/"&amp;A84))</f>
        <v/>
      </c>
      <c r="Z84" s="7">
        <f>IF(Y84="","",IF(IFERROR(INDEX('Google Drive Map'!$G$4:$G$33,MATCH(Y84,'Google Drive Map'!$B$4:$B$33,0))&amp;"","")="","",HYPERLINK(INDEX('Google Drive Map'!$G$4:$G$33,MATCH(Y84,'Google Drive Map'!$B$4:$B$33,0)),"Open")))</f>
        <v/>
      </c>
      <c r="AA84" s="23" t="n"/>
    </row>
    <row r="85">
      <c r="A85" s="22" t="n"/>
      <c r="B85" s="22" t="n"/>
      <c r="C85" s="22" t="n"/>
      <c r="D85" s="35" t="n"/>
      <c r="E85" s="22" t="n"/>
      <c r="F85" s="35" t="n"/>
      <c r="G85" s="22" t="n"/>
      <c r="H85" s="22" t="n"/>
      <c r="I85" s="35" t="n"/>
      <c r="J85" s="24" t="n"/>
      <c r="K85" s="22" t="n"/>
      <c r="L85" s="24" t="n"/>
      <c r="M85" s="22" t="n"/>
      <c r="N85" s="22" t="n"/>
      <c r="O85" s="22" t="n"/>
      <c r="P85" s="22" t="n"/>
      <c r="Q85" s="22" t="n"/>
      <c r="R85" s="22" t="n"/>
      <c r="S85" s="22" t="n"/>
      <c r="T85" s="33" t="n"/>
      <c r="U85" s="33" t="n"/>
      <c r="V85" s="7">
        <f>IF(OR(N(T85)=0,N(U85)=0),"",IF(U85&gt;T85*IF(T85&lt;Settings!$B$5,Settings!$B$4,Settings!$B$6),"Over statutory cap","OK"))</f>
        <v/>
      </c>
      <c r="W85" s="7">
        <f>IF(B85="","",IF(OR(AND(J85&lt;&gt;"",NOT(ISNUMBER(J85))),AND(L85&lt;&gt;"",NOT(ISNUMBER(L85)))),"Check date: typed as text",IF(OR(AND(ISNUMBER(J85),J85&lt;TODAY()),AND(ISNUMBER(L85),L85&lt;TODAY())),"Expired",IF(OR(AND(ISNUMBER(J85),J85-TODAY()&lt;=Settings!$B$11),AND(ISNUMBER(L85),L85-TODAY()&lt;=Settings!$B$11)),"Expires within "&amp;Settings!$B$11&amp;" days",IF(AND(OR(Q85="Engaged",S85="Yes"),OR(J85="",L85="")),"Missing expiry date","OK")))))</f>
        <v/>
      </c>
      <c r="X85" s="36">
        <f>IF(B85="","",TRIM(IF(COUNTIF(B$4:B$103,B85)&gt;1,"Duplicate business name. ","")&amp;IF(AND(N(T85)&gt;Settings!$B$7,H85=""),"Over "&amp;TEXT(Settings!$B$7,"$#,##0")&amp;": record the builder registration (or exemption) and use a written major domestic building contract. ","")&amp;IF(AND(N(T85)&gt;Settings!$B$8,N85&lt;&gt;"Yes"),"Home warranty cover needed over "&amp;TEXT(Settings!$B$8,"$#,##0")&amp;". ","")))</f>
        <v/>
      </c>
      <c r="Y85" s="7">
        <f>IF(A85="","",IFERROR(INDEX('Google Drive Map'!$B$4:$B$33,MATCH("04/"&amp;LEFT(A85,2),'Google Drive Map'!$A$4:$A$33,0)),"04 Trades &amp; Tenders/"&amp;A85))</f>
        <v/>
      </c>
      <c r="Z85" s="7">
        <f>IF(Y85="","",IF(IFERROR(INDEX('Google Drive Map'!$G$4:$G$33,MATCH(Y85,'Google Drive Map'!$B$4:$B$33,0))&amp;"","")="","",HYPERLINK(INDEX('Google Drive Map'!$G$4:$G$33,MATCH(Y85,'Google Drive Map'!$B$4:$B$33,0)),"Open")))</f>
        <v/>
      </c>
      <c r="AA85" s="23" t="n"/>
    </row>
    <row r="86">
      <c r="A86" s="22" t="n"/>
      <c r="B86" s="22" t="n"/>
      <c r="C86" s="22" t="n"/>
      <c r="D86" s="35" t="n"/>
      <c r="E86" s="22" t="n"/>
      <c r="F86" s="35" t="n"/>
      <c r="G86" s="22" t="n"/>
      <c r="H86" s="22" t="n"/>
      <c r="I86" s="35" t="n"/>
      <c r="J86" s="24" t="n"/>
      <c r="K86" s="22" t="n"/>
      <c r="L86" s="24" t="n"/>
      <c r="M86" s="22" t="n"/>
      <c r="N86" s="22" t="n"/>
      <c r="O86" s="22" t="n"/>
      <c r="P86" s="22" t="n"/>
      <c r="Q86" s="22" t="n"/>
      <c r="R86" s="22" t="n"/>
      <c r="S86" s="22" t="n"/>
      <c r="T86" s="33" t="n"/>
      <c r="U86" s="33" t="n"/>
      <c r="V86" s="7">
        <f>IF(OR(N(T86)=0,N(U86)=0),"",IF(U86&gt;T86*IF(T86&lt;Settings!$B$5,Settings!$B$4,Settings!$B$6),"Over statutory cap","OK"))</f>
        <v/>
      </c>
      <c r="W86" s="7">
        <f>IF(B86="","",IF(OR(AND(J86&lt;&gt;"",NOT(ISNUMBER(J86))),AND(L86&lt;&gt;"",NOT(ISNUMBER(L86)))),"Check date: typed as text",IF(OR(AND(ISNUMBER(J86),J86&lt;TODAY()),AND(ISNUMBER(L86),L86&lt;TODAY())),"Expired",IF(OR(AND(ISNUMBER(J86),J86-TODAY()&lt;=Settings!$B$11),AND(ISNUMBER(L86),L86-TODAY()&lt;=Settings!$B$11)),"Expires within "&amp;Settings!$B$11&amp;" days",IF(AND(OR(Q86="Engaged",S86="Yes"),OR(J86="",L86="")),"Missing expiry date","OK")))))</f>
        <v/>
      </c>
      <c r="X86" s="36">
        <f>IF(B86="","",TRIM(IF(COUNTIF(B$4:B$103,B86)&gt;1,"Duplicate business name. ","")&amp;IF(AND(N(T86)&gt;Settings!$B$7,H86=""),"Over "&amp;TEXT(Settings!$B$7,"$#,##0")&amp;": record the builder registration (or exemption) and use a written major domestic building contract. ","")&amp;IF(AND(N(T86)&gt;Settings!$B$8,N86&lt;&gt;"Yes"),"Home warranty cover needed over "&amp;TEXT(Settings!$B$8,"$#,##0")&amp;". ","")))</f>
        <v/>
      </c>
      <c r="Y86" s="7">
        <f>IF(A86="","",IFERROR(INDEX('Google Drive Map'!$B$4:$B$33,MATCH("04/"&amp;LEFT(A86,2),'Google Drive Map'!$A$4:$A$33,0)),"04 Trades &amp; Tenders/"&amp;A86))</f>
        <v/>
      </c>
      <c r="Z86" s="7">
        <f>IF(Y86="","",IF(IFERROR(INDEX('Google Drive Map'!$G$4:$G$33,MATCH(Y86,'Google Drive Map'!$B$4:$B$33,0))&amp;"","")="","",HYPERLINK(INDEX('Google Drive Map'!$G$4:$G$33,MATCH(Y86,'Google Drive Map'!$B$4:$B$33,0)),"Open")))</f>
        <v/>
      </c>
      <c r="AA86" s="23" t="n"/>
    </row>
    <row r="87">
      <c r="A87" s="22" t="n"/>
      <c r="B87" s="22" t="n"/>
      <c r="C87" s="22" t="n"/>
      <c r="D87" s="35" t="n"/>
      <c r="E87" s="22" t="n"/>
      <c r="F87" s="35" t="n"/>
      <c r="G87" s="22" t="n"/>
      <c r="H87" s="22" t="n"/>
      <c r="I87" s="35" t="n"/>
      <c r="J87" s="24" t="n"/>
      <c r="K87" s="22" t="n"/>
      <c r="L87" s="24" t="n"/>
      <c r="M87" s="22" t="n"/>
      <c r="N87" s="22" t="n"/>
      <c r="O87" s="22" t="n"/>
      <c r="P87" s="22" t="n"/>
      <c r="Q87" s="22" t="n"/>
      <c r="R87" s="22" t="n"/>
      <c r="S87" s="22" t="n"/>
      <c r="T87" s="33" t="n"/>
      <c r="U87" s="33" t="n"/>
      <c r="V87" s="7">
        <f>IF(OR(N(T87)=0,N(U87)=0),"",IF(U87&gt;T87*IF(T87&lt;Settings!$B$5,Settings!$B$4,Settings!$B$6),"Over statutory cap","OK"))</f>
        <v/>
      </c>
      <c r="W87" s="7">
        <f>IF(B87="","",IF(OR(AND(J87&lt;&gt;"",NOT(ISNUMBER(J87))),AND(L87&lt;&gt;"",NOT(ISNUMBER(L87)))),"Check date: typed as text",IF(OR(AND(ISNUMBER(J87),J87&lt;TODAY()),AND(ISNUMBER(L87),L87&lt;TODAY())),"Expired",IF(OR(AND(ISNUMBER(J87),J87-TODAY()&lt;=Settings!$B$11),AND(ISNUMBER(L87),L87-TODAY()&lt;=Settings!$B$11)),"Expires within "&amp;Settings!$B$11&amp;" days",IF(AND(OR(Q87="Engaged",S87="Yes"),OR(J87="",L87="")),"Missing expiry date","OK")))))</f>
        <v/>
      </c>
      <c r="X87" s="36">
        <f>IF(B87="","",TRIM(IF(COUNTIF(B$4:B$103,B87)&gt;1,"Duplicate business name. ","")&amp;IF(AND(N(T87)&gt;Settings!$B$7,H87=""),"Over "&amp;TEXT(Settings!$B$7,"$#,##0")&amp;": record the builder registration (or exemption) and use a written major domestic building contract. ","")&amp;IF(AND(N(T87)&gt;Settings!$B$8,N87&lt;&gt;"Yes"),"Home warranty cover needed over "&amp;TEXT(Settings!$B$8,"$#,##0")&amp;". ","")))</f>
        <v/>
      </c>
      <c r="Y87" s="7">
        <f>IF(A87="","",IFERROR(INDEX('Google Drive Map'!$B$4:$B$33,MATCH("04/"&amp;LEFT(A87,2),'Google Drive Map'!$A$4:$A$33,0)),"04 Trades &amp; Tenders/"&amp;A87))</f>
        <v/>
      </c>
      <c r="Z87" s="7">
        <f>IF(Y87="","",IF(IFERROR(INDEX('Google Drive Map'!$G$4:$G$33,MATCH(Y87,'Google Drive Map'!$B$4:$B$33,0))&amp;"","")="","",HYPERLINK(INDEX('Google Drive Map'!$G$4:$G$33,MATCH(Y87,'Google Drive Map'!$B$4:$B$33,0)),"Open")))</f>
        <v/>
      </c>
      <c r="AA87" s="23" t="n"/>
    </row>
    <row r="88">
      <c r="A88" s="22" t="n"/>
      <c r="B88" s="22" t="n"/>
      <c r="C88" s="22" t="n"/>
      <c r="D88" s="35" t="n"/>
      <c r="E88" s="22" t="n"/>
      <c r="F88" s="35" t="n"/>
      <c r="G88" s="22" t="n"/>
      <c r="H88" s="22" t="n"/>
      <c r="I88" s="35" t="n"/>
      <c r="J88" s="24" t="n"/>
      <c r="K88" s="22" t="n"/>
      <c r="L88" s="24" t="n"/>
      <c r="M88" s="22" t="n"/>
      <c r="N88" s="22" t="n"/>
      <c r="O88" s="22" t="n"/>
      <c r="P88" s="22" t="n"/>
      <c r="Q88" s="22" t="n"/>
      <c r="R88" s="22" t="n"/>
      <c r="S88" s="22" t="n"/>
      <c r="T88" s="33" t="n"/>
      <c r="U88" s="33" t="n"/>
      <c r="V88" s="7">
        <f>IF(OR(N(T88)=0,N(U88)=0),"",IF(U88&gt;T88*IF(T88&lt;Settings!$B$5,Settings!$B$4,Settings!$B$6),"Over statutory cap","OK"))</f>
        <v/>
      </c>
      <c r="W88" s="7">
        <f>IF(B88="","",IF(OR(AND(J88&lt;&gt;"",NOT(ISNUMBER(J88))),AND(L88&lt;&gt;"",NOT(ISNUMBER(L88)))),"Check date: typed as text",IF(OR(AND(ISNUMBER(J88),J88&lt;TODAY()),AND(ISNUMBER(L88),L88&lt;TODAY())),"Expired",IF(OR(AND(ISNUMBER(J88),J88-TODAY()&lt;=Settings!$B$11),AND(ISNUMBER(L88),L88-TODAY()&lt;=Settings!$B$11)),"Expires within "&amp;Settings!$B$11&amp;" days",IF(AND(OR(Q88="Engaged",S88="Yes"),OR(J88="",L88="")),"Missing expiry date","OK")))))</f>
        <v/>
      </c>
      <c r="X88" s="36">
        <f>IF(B88="","",TRIM(IF(COUNTIF(B$4:B$103,B88)&gt;1,"Duplicate business name. ","")&amp;IF(AND(N(T88)&gt;Settings!$B$7,H88=""),"Over "&amp;TEXT(Settings!$B$7,"$#,##0")&amp;": record the builder registration (or exemption) and use a written major domestic building contract. ","")&amp;IF(AND(N(T88)&gt;Settings!$B$8,N88&lt;&gt;"Yes"),"Home warranty cover needed over "&amp;TEXT(Settings!$B$8,"$#,##0")&amp;". ","")))</f>
        <v/>
      </c>
      <c r="Y88" s="7">
        <f>IF(A88="","",IFERROR(INDEX('Google Drive Map'!$B$4:$B$33,MATCH("04/"&amp;LEFT(A88,2),'Google Drive Map'!$A$4:$A$33,0)),"04 Trades &amp; Tenders/"&amp;A88))</f>
        <v/>
      </c>
      <c r="Z88" s="7">
        <f>IF(Y88="","",IF(IFERROR(INDEX('Google Drive Map'!$G$4:$G$33,MATCH(Y88,'Google Drive Map'!$B$4:$B$33,0))&amp;"","")="","",HYPERLINK(INDEX('Google Drive Map'!$G$4:$G$33,MATCH(Y88,'Google Drive Map'!$B$4:$B$33,0)),"Open")))</f>
        <v/>
      </c>
      <c r="AA88" s="23" t="n"/>
    </row>
    <row r="89">
      <c r="A89" s="22" t="n"/>
      <c r="B89" s="22" t="n"/>
      <c r="C89" s="22" t="n"/>
      <c r="D89" s="35" t="n"/>
      <c r="E89" s="22" t="n"/>
      <c r="F89" s="35" t="n"/>
      <c r="G89" s="22" t="n"/>
      <c r="H89" s="22" t="n"/>
      <c r="I89" s="35" t="n"/>
      <c r="J89" s="24" t="n"/>
      <c r="K89" s="22" t="n"/>
      <c r="L89" s="24" t="n"/>
      <c r="M89" s="22" t="n"/>
      <c r="N89" s="22" t="n"/>
      <c r="O89" s="22" t="n"/>
      <c r="P89" s="22" t="n"/>
      <c r="Q89" s="22" t="n"/>
      <c r="R89" s="22" t="n"/>
      <c r="S89" s="22" t="n"/>
      <c r="T89" s="33" t="n"/>
      <c r="U89" s="33" t="n"/>
      <c r="V89" s="7">
        <f>IF(OR(N(T89)=0,N(U89)=0),"",IF(U89&gt;T89*IF(T89&lt;Settings!$B$5,Settings!$B$4,Settings!$B$6),"Over statutory cap","OK"))</f>
        <v/>
      </c>
      <c r="W89" s="7">
        <f>IF(B89="","",IF(OR(AND(J89&lt;&gt;"",NOT(ISNUMBER(J89))),AND(L89&lt;&gt;"",NOT(ISNUMBER(L89)))),"Check date: typed as text",IF(OR(AND(ISNUMBER(J89),J89&lt;TODAY()),AND(ISNUMBER(L89),L89&lt;TODAY())),"Expired",IF(OR(AND(ISNUMBER(J89),J89-TODAY()&lt;=Settings!$B$11),AND(ISNUMBER(L89),L89-TODAY()&lt;=Settings!$B$11)),"Expires within "&amp;Settings!$B$11&amp;" days",IF(AND(OR(Q89="Engaged",S89="Yes"),OR(J89="",L89="")),"Missing expiry date","OK")))))</f>
        <v/>
      </c>
      <c r="X89" s="36">
        <f>IF(B89="","",TRIM(IF(COUNTIF(B$4:B$103,B89)&gt;1,"Duplicate business name. ","")&amp;IF(AND(N(T89)&gt;Settings!$B$7,H89=""),"Over "&amp;TEXT(Settings!$B$7,"$#,##0")&amp;": record the builder registration (or exemption) and use a written major domestic building contract. ","")&amp;IF(AND(N(T89)&gt;Settings!$B$8,N89&lt;&gt;"Yes"),"Home warranty cover needed over "&amp;TEXT(Settings!$B$8,"$#,##0")&amp;". ","")))</f>
        <v/>
      </c>
      <c r="Y89" s="7">
        <f>IF(A89="","",IFERROR(INDEX('Google Drive Map'!$B$4:$B$33,MATCH("04/"&amp;LEFT(A89,2),'Google Drive Map'!$A$4:$A$33,0)),"04 Trades &amp; Tenders/"&amp;A89))</f>
        <v/>
      </c>
      <c r="Z89" s="7">
        <f>IF(Y89="","",IF(IFERROR(INDEX('Google Drive Map'!$G$4:$G$33,MATCH(Y89,'Google Drive Map'!$B$4:$B$33,0))&amp;"","")="","",HYPERLINK(INDEX('Google Drive Map'!$G$4:$G$33,MATCH(Y89,'Google Drive Map'!$B$4:$B$33,0)),"Open")))</f>
        <v/>
      </c>
      <c r="AA89" s="23" t="n"/>
    </row>
    <row r="90">
      <c r="A90" s="22" t="n"/>
      <c r="B90" s="22" t="n"/>
      <c r="C90" s="22" t="n"/>
      <c r="D90" s="35" t="n"/>
      <c r="E90" s="22" t="n"/>
      <c r="F90" s="35" t="n"/>
      <c r="G90" s="22" t="n"/>
      <c r="H90" s="22" t="n"/>
      <c r="I90" s="35" t="n"/>
      <c r="J90" s="24" t="n"/>
      <c r="K90" s="22" t="n"/>
      <c r="L90" s="24" t="n"/>
      <c r="M90" s="22" t="n"/>
      <c r="N90" s="22" t="n"/>
      <c r="O90" s="22" t="n"/>
      <c r="P90" s="22" t="n"/>
      <c r="Q90" s="22" t="n"/>
      <c r="R90" s="22" t="n"/>
      <c r="S90" s="22" t="n"/>
      <c r="T90" s="33" t="n"/>
      <c r="U90" s="33" t="n"/>
      <c r="V90" s="7">
        <f>IF(OR(N(T90)=0,N(U90)=0),"",IF(U90&gt;T90*IF(T90&lt;Settings!$B$5,Settings!$B$4,Settings!$B$6),"Over statutory cap","OK"))</f>
        <v/>
      </c>
      <c r="W90" s="7">
        <f>IF(B90="","",IF(OR(AND(J90&lt;&gt;"",NOT(ISNUMBER(J90))),AND(L90&lt;&gt;"",NOT(ISNUMBER(L90)))),"Check date: typed as text",IF(OR(AND(ISNUMBER(J90),J90&lt;TODAY()),AND(ISNUMBER(L90),L90&lt;TODAY())),"Expired",IF(OR(AND(ISNUMBER(J90),J90-TODAY()&lt;=Settings!$B$11),AND(ISNUMBER(L90),L90-TODAY()&lt;=Settings!$B$11)),"Expires within "&amp;Settings!$B$11&amp;" days",IF(AND(OR(Q90="Engaged",S90="Yes"),OR(J90="",L90="")),"Missing expiry date","OK")))))</f>
        <v/>
      </c>
      <c r="X90" s="36">
        <f>IF(B90="","",TRIM(IF(COUNTIF(B$4:B$103,B90)&gt;1,"Duplicate business name. ","")&amp;IF(AND(N(T90)&gt;Settings!$B$7,H90=""),"Over "&amp;TEXT(Settings!$B$7,"$#,##0")&amp;": record the builder registration (or exemption) and use a written major domestic building contract. ","")&amp;IF(AND(N(T90)&gt;Settings!$B$8,N90&lt;&gt;"Yes"),"Home warranty cover needed over "&amp;TEXT(Settings!$B$8,"$#,##0")&amp;". ","")))</f>
        <v/>
      </c>
      <c r="Y90" s="7">
        <f>IF(A90="","",IFERROR(INDEX('Google Drive Map'!$B$4:$B$33,MATCH("04/"&amp;LEFT(A90,2),'Google Drive Map'!$A$4:$A$33,0)),"04 Trades &amp; Tenders/"&amp;A90))</f>
        <v/>
      </c>
      <c r="Z90" s="7">
        <f>IF(Y90="","",IF(IFERROR(INDEX('Google Drive Map'!$G$4:$G$33,MATCH(Y90,'Google Drive Map'!$B$4:$B$33,0))&amp;"","")="","",HYPERLINK(INDEX('Google Drive Map'!$G$4:$G$33,MATCH(Y90,'Google Drive Map'!$B$4:$B$33,0)),"Open")))</f>
        <v/>
      </c>
      <c r="AA90" s="23" t="n"/>
    </row>
    <row r="91">
      <c r="A91" s="22" t="n"/>
      <c r="B91" s="22" t="n"/>
      <c r="C91" s="22" t="n"/>
      <c r="D91" s="35" t="n"/>
      <c r="E91" s="22" t="n"/>
      <c r="F91" s="35" t="n"/>
      <c r="G91" s="22" t="n"/>
      <c r="H91" s="22" t="n"/>
      <c r="I91" s="35" t="n"/>
      <c r="J91" s="24" t="n"/>
      <c r="K91" s="22" t="n"/>
      <c r="L91" s="24" t="n"/>
      <c r="M91" s="22" t="n"/>
      <c r="N91" s="22" t="n"/>
      <c r="O91" s="22" t="n"/>
      <c r="P91" s="22" t="n"/>
      <c r="Q91" s="22" t="n"/>
      <c r="R91" s="22" t="n"/>
      <c r="S91" s="22" t="n"/>
      <c r="T91" s="33" t="n"/>
      <c r="U91" s="33" t="n"/>
      <c r="V91" s="7">
        <f>IF(OR(N(T91)=0,N(U91)=0),"",IF(U91&gt;T91*IF(T91&lt;Settings!$B$5,Settings!$B$4,Settings!$B$6),"Over statutory cap","OK"))</f>
        <v/>
      </c>
      <c r="W91" s="7">
        <f>IF(B91="","",IF(OR(AND(J91&lt;&gt;"",NOT(ISNUMBER(J91))),AND(L91&lt;&gt;"",NOT(ISNUMBER(L91)))),"Check date: typed as text",IF(OR(AND(ISNUMBER(J91),J91&lt;TODAY()),AND(ISNUMBER(L91),L91&lt;TODAY())),"Expired",IF(OR(AND(ISNUMBER(J91),J91-TODAY()&lt;=Settings!$B$11),AND(ISNUMBER(L91),L91-TODAY()&lt;=Settings!$B$11)),"Expires within "&amp;Settings!$B$11&amp;" days",IF(AND(OR(Q91="Engaged",S91="Yes"),OR(J91="",L91="")),"Missing expiry date","OK")))))</f>
        <v/>
      </c>
      <c r="X91" s="36">
        <f>IF(B91="","",TRIM(IF(COUNTIF(B$4:B$103,B91)&gt;1,"Duplicate business name. ","")&amp;IF(AND(N(T91)&gt;Settings!$B$7,H91=""),"Over "&amp;TEXT(Settings!$B$7,"$#,##0")&amp;": record the builder registration (or exemption) and use a written major domestic building contract. ","")&amp;IF(AND(N(T91)&gt;Settings!$B$8,N91&lt;&gt;"Yes"),"Home warranty cover needed over "&amp;TEXT(Settings!$B$8,"$#,##0")&amp;". ","")))</f>
        <v/>
      </c>
      <c r="Y91" s="7">
        <f>IF(A91="","",IFERROR(INDEX('Google Drive Map'!$B$4:$B$33,MATCH("04/"&amp;LEFT(A91,2),'Google Drive Map'!$A$4:$A$33,0)),"04 Trades &amp; Tenders/"&amp;A91))</f>
        <v/>
      </c>
      <c r="Z91" s="7">
        <f>IF(Y91="","",IF(IFERROR(INDEX('Google Drive Map'!$G$4:$G$33,MATCH(Y91,'Google Drive Map'!$B$4:$B$33,0))&amp;"","")="","",HYPERLINK(INDEX('Google Drive Map'!$G$4:$G$33,MATCH(Y91,'Google Drive Map'!$B$4:$B$33,0)),"Open")))</f>
        <v/>
      </c>
      <c r="AA91" s="23" t="n"/>
    </row>
    <row r="92">
      <c r="A92" s="22" t="n"/>
      <c r="B92" s="22" t="n"/>
      <c r="C92" s="22" t="n"/>
      <c r="D92" s="35" t="n"/>
      <c r="E92" s="22" t="n"/>
      <c r="F92" s="35" t="n"/>
      <c r="G92" s="22" t="n"/>
      <c r="H92" s="22" t="n"/>
      <c r="I92" s="35" t="n"/>
      <c r="J92" s="24" t="n"/>
      <c r="K92" s="22" t="n"/>
      <c r="L92" s="24" t="n"/>
      <c r="M92" s="22" t="n"/>
      <c r="N92" s="22" t="n"/>
      <c r="O92" s="22" t="n"/>
      <c r="P92" s="22" t="n"/>
      <c r="Q92" s="22" t="n"/>
      <c r="R92" s="22" t="n"/>
      <c r="S92" s="22" t="n"/>
      <c r="T92" s="33" t="n"/>
      <c r="U92" s="33" t="n"/>
      <c r="V92" s="7">
        <f>IF(OR(N(T92)=0,N(U92)=0),"",IF(U92&gt;T92*IF(T92&lt;Settings!$B$5,Settings!$B$4,Settings!$B$6),"Over statutory cap","OK"))</f>
        <v/>
      </c>
      <c r="W92" s="7">
        <f>IF(B92="","",IF(OR(AND(J92&lt;&gt;"",NOT(ISNUMBER(J92))),AND(L92&lt;&gt;"",NOT(ISNUMBER(L92)))),"Check date: typed as text",IF(OR(AND(ISNUMBER(J92),J92&lt;TODAY()),AND(ISNUMBER(L92),L92&lt;TODAY())),"Expired",IF(OR(AND(ISNUMBER(J92),J92-TODAY()&lt;=Settings!$B$11),AND(ISNUMBER(L92),L92-TODAY()&lt;=Settings!$B$11)),"Expires within "&amp;Settings!$B$11&amp;" days",IF(AND(OR(Q92="Engaged",S92="Yes"),OR(J92="",L92="")),"Missing expiry date","OK")))))</f>
        <v/>
      </c>
      <c r="X92" s="36">
        <f>IF(B92="","",TRIM(IF(COUNTIF(B$4:B$103,B92)&gt;1,"Duplicate business name. ","")&amp;IF(AND(N(T92)&gt;Settings!$B$7,H92=""),"Over "&amp;TEXT(Settings!$B$7,"$#,##0")&amp;": record the builder registration (or exemption) and use a written major domestic building contract. ","")&amp;IF(AND(N(T92)&gt;Settings!$B$8,N92&lt;&gt;"Yes"),"Home warranty cover needed over "&amp;TEXT(Settings!$B$8,"$#,##0")&amp;". ","")))</f>
        <v/>
      </c>
      <c r="Y92" s="7">
        <f>IF(A92="","",IFERROR(INDEX('Google Drive Map'!$B$4:$B$33,MATCH("04/"&amp;LEFT(A92,2),'Google Drive Map'!$A$4:$A$33,0)),"04 Trades &amp; Tenders/"&amp;A92))</f>
        <v/>
      </c>
      <c r="Z92" s="7">
        <f>IF(Y92="","",IF(IFERROR(INDEX('Google Drive Map'!$G$4:$G$33,MATCH(Y92,'Google Drive Map'!$B$4:$B$33,0))&amp;"","")="","",HYPERLINK(INDEX('Google Drive Map'!$G$4:$G$33,MATCH(Y92,'Google Drive Map'!$B$4:$B$33,0)),"Open")))</f>
        <v/>
      </c>
      <c r="AA92" s="23" t="n"/>
    </row>
    <row r="93">
      <c r="A93" s="22" t="n"/>
      <c r="B93" s="22" t="n"/>
      <c r="C93" s="22" t="n"/>
      <c r="D93" s="35" t="n"/>
      <c r="E93" s="22" t="n"/>
      <c r="F93" s="35" t="n"/>
      <c r="G93" s="22" t="n"/>
      <c r="H93" s="22" t="n"/>
      <c r="I93" s="35" t="n"/>
      <c r="J93" s="24" t="n"/>
      <c r="K93" s="22" t="n"/>
      <c r="L93" s="24" t="n"/>
      <c r="M93" s="22" t="n"/>
      <c r="N93" s="22" t="n"/>
      <c r="O93" s="22" t="n"/>
      <c r="P93" s="22" t="n"/>
      <c r="Q93" s="22" t="n"/>
      <c r="R93" s="22" t="n"/>
      <c r="S93" s="22" t="n"/>
      <c r="T93" s="33" t="n"/>
      <c r="U93" s="33" t="n"/>
      <c r="V93" s="7">
        <f>IF(OR(N(T93)=0,N(U93)=0),"",IF(U93&gt;T93*IF(T93&lt;Settings!$B$5,Settings!$B$4,Settings!$B$6),"Over statutory cap","OK"))</f>
        <v/>
      </c>
      <c r="W93" s="7">
        <f>IF(B93="","",IF(OR(AND(J93&lt;&gt;"",NOT(ISNUMBER(J93))),AND(L93&lt;&gt;"",NOT(ISNUMBER(L93)))),"Check date: typed as text",IF(OR(AND(ISNUMBER(J93),J93&lt;TODAY()),AND(ISNUMBER(L93),L93&lt;TODAY())),"Expired",IF(OR(AND(ISNUMBER(J93),J93-TODAY()&lt;=Settings!$B$11),AND(ISNUMBER(L93),L93-TODAY()&lt;=Settings!$B$11)),"Expires within "&amp;Settings!$B$11&amp;" days",IF(AND(OR(Q93="Engaged",S93="Yes"),OR(J93="",L93="")),"Missing expiry date","OK")))))</f>
        <v/>
      </c>
      <c r="X93" s="36">
        <f>IF(B93="","",TRIM(IF(COUNTIF(B$4:B$103,B93)&gt;1,"Duplicate business name. ","")&amp;IF(AND(N(T93)&gt;Settings!$B$7,H93=""),"Over "&amp;TEXT(Settings!$B$7,"$#,##0")&amp;": record the builder registration (or exemption) and use a written major domestic building contract. ","")&amp;IF(AND(N(T93)&gt;Settings!$B$8,N93&lt;&gt;"Yes"),"Home warranty cover needed over "&amp;TEXT(Settings!$B$8,"$#,##0")&amp;". ","")))</f>
        <v/>
      </c>
      <c r="Y93" s="7">
        <f>IF(A93="","",IFERROR(INDEX('Google Drive Map'!$B$4:$B$33,MATCH("04/"&amp;LEFT(A93,2),'Google Drive Map'!$A$4:$A$33,0)),"04 Trades &amp; Tenders/"&amp;A93))</f>
        <v/>
      </c>
      <c r="Z93" s="7">
        <f>IF(Y93="","",IF(IFERROR(INDEX('Google Drive Map'!$G$4:$G$33,MATCH(Y93,'Google Drive Map'!$B$4:$B$33,0))&amp;"","")="","",HYPERLINK(INDEX('Google Drive Map'!$G$4:$G$33,MATCH(Y93,'Google Drive Map'!$B$4:$B$33,0)),"Open")))</f>
        <v/>
      </c>
      <c r="AA93" s="23" t="n"/>
    </row>
    <row r="94">
      <c r="A94" s="22" t="n"/>
      <c r="B94" s="22" t="n"/>
      <c r="C94" s="22" t="n"/>
      <c r="D94" s="35" t="n"/>
      <c r="E94" s="22" t="n"/>
      <c r="F94" s="35" t="n"/>
      <c r="G94" s="22" t="n"/>
      <c r="H94" s="22" t="n"/>
      <c r="I94" s="35" t="n"/>
      <c r="J94" s="24" t="n"/>
      <c r="K94" s="22" t="n"/>
      <c r="L94" s="24" t="n"/>
      <c r="M94" s="22" t="n"/>
      <c r="N94" s="22" t="n"/>
      <c r="O94" s="22" t="n"/>
      <c r="P94" s="22" t="n"/>
      <c r="Q94" s="22" t="n"/>
      <c r="R94" s="22" t="n"/>
      <c r="S94" s="22" t="n"/>
      <c r="T94" s="33" t="n"/>
      <c r="U94" s="33" t="n"/>
      <c r="V94" s="7">
        <f>IF(OR(N(T94)=0,N(U94)=0),"",IF(U94&gt;T94*IF(T94&lt;Settings!$B$5,Settings!$B$4,Settings!$B$6),"Over statutory cap","OK"))</f>
        <v/>
      </c>
      <c r="W94" s="7">
        <f>IF(B94="","",IF(OR(AND(J94&lt;&gt;"",NOT(ISNUMBER(J94))),AND(L94&lt;&gt;"",NOT(ISNUMBER(L94)))),"Check date: typed as text",IF(OR(AND(ISNUMBER(J94),J94&lt;TODAY()),AND(ISNUMBER(L94),L94&lt;TODAY())),"Expired",IF(OR(AND(ISNUMBER(J94),J94-TODAY()&lt;=Settings!$B$11),AND(ISNUMBER(L94),L94-TODAY()&lt;=Settings!$B$11)),"Expires within "&amp;Settings!$B$11&amp;" days",IF(AND(OR(Q94="Engaged",S94="Yes"),OR(J94="",L94="")),"Missing expiry date","OK")))))</f>
        <v/>
      </c>
      <c r="X94" s="36">
        <f>IF(B94="","",TRIM(IF(COUNTIF(B$4:B$103,B94)&gt;1,"Duplicate business name. ","")&amp;IF(AND(N(T94)&gt;Settings!$B$7,H94=""),"Over "&amp;TEXT(Settings!$B$7,"$#,##0")&amp;": record the builder registration (or exemption) and use a written major domestic building contract. ","")&amp;IF(AND(N(T94)&gt;Settings!$B$8,N94&lt;&gt;"Yes"),"Home warranty cover needed over "&amp;TEXT(Settings!$B$8,"$#,##0")&amp;". ","")))</f>
        <v/>
      </c>
      <c r="Y94" s="7">
        <f>IF(A94="","",IFERROR(INDEX('Google Drive Map'!$B$4:$B$33,MATCH("04/"&amp;LEFT(A94,2),'Google Drive Map'!$A$4:$A$33,0)),"04 Trades &amp; Tenders/"&amp;A94))</f>
        <v/>
      </c>
      <c r="Z94" s="7">
        <f>IF(Y94="","",IF(IFERROR(INDEX('Google Drive Map'!$G$4:$G$33,MATCH(Y94,'Google Drive Map'!$B$4:$B$33,0))&amp;"","")="","",HYPERLINK(INDEX('Google Drive Map'!$G$4:$G$33,MATCH(Y94,'Google Drive Map'!$B$4:$B$33,0)),"Open")))</f>
        <v/>
      </c>
      <c r="AA94" s="23" t="n"/>
    </row>
    <row r="95">
      <c r="A95" s="22" t="n"/>
      <c r="B95" s="22" t="n"/>
      <c r="C95" s="22" t="n"/>
      <c r="D95" s="35" t="n"/>
      <c r="E95" s="22" t="n"/>
      <c r="F95" s="35" t="n"/>
      <c r="G95" s="22" t="n"/>
      <c r="H95" s="22" t="n"/>
      <c r="I95" s="35" t="n"/>
      <c r="J95" s="24" t="n"/>
      <c r="K95" s="22" t="n"/>
      <c r="L95" s="24" t="n"/>
      <c r="M95" s="22" t="n"/>
      <c r="N95" s="22" t="n"/>
      <c r="O95" s="22" t="n"/>
      <c r="P95" s="22" t="n"/>
      <c r="Q95" s="22" t="n"/>
      <c r="R95" s="22" t="n"/>
      <c r="S95" s="22" t="n"/>
      <c r="T95" s="33" t="n"/>
      <c r="U95" s="33" t="n"/>
      <c r="V95" s="7">
        <f>IF(OR(N(T95)=0,N(U95)=0),"",IF(U95&gt;T95*IF(T95&lt;Settings!$B$5,Settings!$B$4,Settings!$B$6),"Over statutory cap","OK"))</f>
        <v/>
      </c>
      <c r="W95" s="7">
        <f>IF(B95="","",IF(OR(AND(J95&lt;&gt;"",NOT(ISNUMBER(J95))),AND(L95&lt;&gt;"",NOT(ISNUMBER(L95)))),"Check date: typed as text",IF(OR(AND(ISNUMBER(J95),J95&lt;TODAY()),AND(ISNUMBER(L95),L95&lt;TODAY())),"Expired",IF(OR(AND(ISNUMBER(J95),J95-TODAY()&lt;=Settings!$B$11),AND(ISNUMBER(L95),L95-TODAY()&lt;=Settings!$B$11)),"Expires within "&amp;Settings!$B$11&amp;" days",IF(AND(OR(Q95="Engaged",S95="Yes"),OR(J95="",L95="")),"Missing expiry date","OK")))))</f>
        <v/>
      </c>
      <c r="X95" s="36">
        <f>IF(B95="","",TRIM(IF(COUNTIF(B$4:B$103,B95)&gt;1,"Duplicate business name. ","")&amp;IF(AND(N(T95)&gt;Settings!$B$7,H95=""),"Over "&amp;TEXT(Settings!$B$7,"$#,##0")&amp;": record the builder registration (or exemption) and use a written major domestic building contract. ","")&amp;IF(AND(N(T95)&gt;Settings!$B$8,N95&lt;&gt;"Yes"),"Home warranty cover needed over "&amp;TEXT(Settings!$B$8,"$#,##0")&amp;". ","")))</f>
        <v/>
      </c>
      <c r="Y95" s="7">
        <f>IF(A95="","",IFERROR(INDEX('Google Drive Map'!$B$4:$B$33,MATCH("04/"&amp;LEFT(A95,2),'Google Drive Map'!$A$4:$A$33,0)),"04 Trades &amp; Tenders/"&amp;A95))</f>
        <v/>
      </c>
      <c r="Z95" s="7">
        <f>IF(Y95="","",IF(IFERROR(INDEX('Google Drive Map'!$G$4:$G$33,MATCH(Y95,'Google Drive Map'!$B$4:$B$33,0))&amp;"","")="","",HYPERLINK(INDEX('Google Drive Map'!$G$4:$G$33,MATCH(Y95,'Google Drive Map'!$B$4:$B$33,0)),"Open")))</f>
        <v/>
      </c>
      <c r="AA95" s="23" t="n"/>
    </row>
    <row r="96">
      <c r="A96" s="22" t="n"/>
      <c r="B96" s="22" t="n"/>
      <c r="C96" s="22" t="n"/>
      <c r="D96" s="35" t="n"/>
      <c r="E96" s="22" t="n"/>
      <c r="F96" s="35" t="n"/>
      <c r="G96" s="22" t="n"/>
      <c r="H96" s="22" t="n"/>
      <c r="I96" s="35" t="n"/>
      <c r="J96" s="24" t="n"/>
      <c r="K96" s="22" t="n"/>
      <c r="L96" s="24" t="n"/>
      <c r="M96" s="22" t="n"/>
      <c r="N96" s="22" t="n"/>
      <c r="O96" s="22" t="n"/>
      <c r="P96" s="22" t="n"/>
      <c r="Q96" s="22" t="n"/>
      <c r="R96" s="22" t="n"/>
      <c r="S96" s="22" t="n"/>
      <c r="T96" s="33" t="n"/>
      <c r="U96" s="33" t="n"/>
      <c r="V96" s="7">
        <f>IF(OR(N(T96)=0,N(U96)=0),"",IF(U96&gt;T96*IF(T96&lt;Settings!$B$5,Settings!$B$4,Settings!$B$6),"Over statutory cap","OK"))</f>
        <v/>
      </c>
      <c r="W96" s="7">
        <f>IF(B96="","",IF(OR(AND(J96&lt;&gt;"",NOT(ISNUMBER(J96))),AND(L96&lt;&gt;"",NOT(ISNUMBER(L96)))),"Check date: typed as text",IF(OR(AND(ISNUMBER(J96),J96&lt;TODAY()),AND(ISNUMBER(L96),L96&lt;TODAY())),"Expired",IF(OR(AND(ISNUMBER(J96),J96-TODAY()&lt;=Settings!$B$11),AND(ISNUMBER(L96),L96-TODAY()&lt;=Settings!$B$11)),"Expires within "&amp;Settings!$B$11&amp;" days",IF(AND(OR(Q96="Engaged",S96="Yes"),OR(J96="",L96="")),"Missing expiry date","OK")))))</f>
        <v/>
      </c>
      <c r="X96" s="36">
        <f>IF(B96="","",TRIM(IF(COUNTIF(B$4:B$103,B96)&gt;1,"Duplicate business name. ","")&amp;IF(AND(N(T96)&gt;Settings!$B$7,H96=""),"Over "&amp;TEXT(Settings!$B$7,"$#,##0")&amp;": record the builder registration (or exemption) and use a written major domestic building contract. ","")&amp;IF(AND(N(T96)&gt;Settings!$B$8,N96&lt;&gt;"Yes"),"Home warranty cover needed over "&amp;TEXT(Settings!$B$8,"$#,##0")&amp;". ","")))</f>
        <v/>
      </c>
      <c r="Y96" s="7">
        <f>IF(A96="","",IFERROR(INDEX('Google Drive Map'!$B$4:$B$33,MATCH("04/"&amp;LEFT(A96,2),'Google Drive Map'!$A$4:$A$33,0)),"04 Trades &amp; Tenders/"&amp;A96))</f>
        <v/>
      </c>
      <c r="Z96" s="7">
        <f>IF(Y96="","",IF(IFERROR(INDEX('Google Drive Map'!$G$4:$G$33,MATCH(Y96,'Google Drive Map'!$B$4:$B$33,0))&amp;"","")="","",HYPERLINK(INDEX('Google Drive Map'!$G$4:$G$33,MATCH(Y96,'Google Drive Map'!$B$4:$B$33,0)),"Open")))</f>
        <v/>
      </c>
      <c r="AA96" s="23" t="n"/>
    </row>
    <row r="97">
      <c r="A97" s="22" t="n"/>
      <c r="B97" s="22" t="n"/>
      <c r="C97" s="22" t="n"/>
      <c r="D97" s="35" t="n"/>
      <c r="E97" s="22" t="n"/>
      <c r="F97" s="35" t="n"/>
      <c r="G97" s="22" t="n"/>
      <c r="H97" s="22" t="n"/>
      <c r="I97" s="35" t="n"/>
      <c r="J97" s="24" t="n"/>
      <c r="K97" s="22" t="n"/>
      <c r="L97" s="24" t="n"/>
      <c r="M97" s="22" t="n"/>
      <c r="N97" s="22" t="n"/>
      <c r="O97" s="22" t="n"/>
      <c r="P97" s="22" t="n"/>
      <c r="Q97" s="22" t="n"/>
      <c r="R97" s="22" t="n"/>
      <c r="S97" s="22" t="n"/>
      <c r="T97" s="33" t="n"/>
      <c r="U97" s="33" t="n"/>
      <c r="V97" s="7">
        <f>IF(OR(N(T97)=0,N(U97)=0),"",IF(U97&gt;T97*IF(T97&lt;Settings!$B$5,Settings!$B$4,Settings!$B$6),"Over statutory cap","OK"))</f>
        <v/>
      </c>
      <c r="W97" s="7">
        <f>IF(B97="","",IF(OR(AND(J97&lt;&gt;"",NOT(ISNUMBER(J97))),AND(L97&lt;&gt;"",NOT(ISNUMBER(L97)))),"Check date: typed as text",IF(OR(AND(ISNUMBER(J97),J97&lt;TODAY()),AND(ISNUMBER(L97),L97&lt;TODAY())),"Expired",IF(OR(AND(ISNUMBER(J97),J97-TODAY()&lt;=Settings!$B$11),AND(ISNUMBER(L97),L97-TODAY()&lt;=Settings!$B$11)),"Expires within "&amp;Settings!$B$11&amp;" days",IF(AND(OR(Q97="Engaged",S97="Yes"),OR(J97="",L97="")),"Missing expiry date","OK")))))</f>
        <v/>
      </c>
      <c r="X97" s="36">
        <f>IF(B97="","",TRIM(IF(COUNTIF(B$4:B$103,B97)&gt;1,"Duplicate business name. ","")&amp;IF(AND(N(T97)&gt;Settings!$B$7,H97=""),"Over "&amp;TEXT(Settings!$B$7,"$#,##0")&amp;": record the builder registration (or exemption) and use a written major domestic building contract. ","")&amp;IF(AND(N(T97)&gt;Settings!$B$8,N97&lt;&gt;"Yes"),"Home warranty cover needed over "&amp;TEXT(Settings!$B$8,"$#,##0")&amp;". ","")))</f>
        <v/>
      </c>
      <c r="Y97" s="7">
        <f>IF(A97="","",IFERROR(INDEX('Google Drive Map'!$B$4:$B$33,MATCH("04/"&amp;LEFT(A97,2),'Google Drive Map'!$A$4:$A$33,0)),"04 Trades &amp; Tenders/"&amp;A97))</f>
        <v/>
      </c>
      <c r="Z97" s="7">
        <f>IF(Y97="","",IF(IFERROR(INDEX('Google Drive Map'!$G$4:$G$33,MATCH(Y97,'Google Drive Map'!$B$4:$B$33,0))&amp;"","")="","",HYPERLINK(INDEX('Google Drive Map'!$G$4:$G$33,MATCH(Y97,'Google Drive Map'!$B$4:$B$33,0)),"Open")))</f>
        <v/>
      </c>
      <c r="AA97" s="23" t="n"/>
    </row>
    <row r="98">
      <c r="A98" s="22" t="n"/>
      <c r="B98" s="22" t="n"/>
      <c r="C98" s="22" t="n"/>
      <c r="D98" s="35" t="n"/>
      <c r="E98" s="22" t="n"/>
      <c r="F98" s="35" t="n"/>
      <c r="G98" s="22" t="n"/>
      <c r="H98" s="22" t="n"/>
      <c r="I98" s="35" t="n"/>
      <c r="J98" s="24" t="n"/>
      <c r="K98" s="22" t="n"/>
      <c r="L98" s="24" t="n"/>
      <c r="M98" s="22" t="n"/>
      <c r="N98" s="22" t="n"/>
      <c r="O98" s="22" t="n"/>
      <c r="P98" s="22" t="n"/>
      <c r="Q98" s="22" t="n"/>
      <c r="R98" s="22" t="n"/>
      <c r="S98" s="22" t="n"/>
      <c r="T98" s="33" t="n"/>
      <c r="U98" s="33" t="n"/>
      <c r="V98" s="7">
        <f>IF(OR(N(T98)=0,N(U98)=0),"",IF(U98&gt;T98*IF(T98&lt;Settings!$B$5,Settings!$B$4,Settings!$B$6),"Over statutory cap","OK"))</f>
        <v/>
      </c>
      <c r="W98" s="7">
        <f>IF(B98="","",IF(OR(AND(J98&lt;&gt;"",NOT(ISNUMBER(J98))),AND(L98&lt;&gt;"",NOT(ISNUMBER(L98)))),"Check date: typed as text",IF(OR(AND(ISNUMBER(J98),J98&lt;TODAY()),AND(ISNUMBER(L98),L98&lt;TODAY())),"Expired",IF(OR(AND(ISNUMBER(J98),J98-TODAY()&lt;=Settings!$B$11),AND(ISNUMBER(L98),L98-TODAY()&lt;=Settings!$B$11)),"Expires within "&amp;Settings!$B$11&amp;" days",IF(AND(OR(Q98="Engaged",S98="Yes"),OR(J98="",L98="")),"Missing expiry date","OK")))))</f>
        <v/>
      </c>
      <c r="X98" s="36">
        <f>IF(B98="","",TRIM(IF(COUNTIF(B$4:B$103,B98)&gt;1,"Duplicate business name. ","")&amp;IF(AND(N(T98)&gt;Settings!$B$7,H98=""),"Over "&amp;TEXT(Settings!$B$7,"$#,##0")&amp;": record the builder registration (or exemption) and use a written major domestic building contract. ","")&amp;IF(AND(N(T98)&gt;Settings!$B$8,N98&lt;&gt;"Yes"),"Home warranty cover needed over "&amp;TEXT(Settings!$B$8,"$#,##0")&amp;". ","")))</f>
        <v/>
      </c>
      <c r="Y98" s="7">
        <f>IF(A98="","",IFERROR(INDEX('Google Drive Map'!$B$4:$B$33,MATCH("04/"&amp;LEFT(A98,2),'Google Drive Map'!$A$4:$A$33,0)),"04 Trades &amp; Tenders/"&amp;A98))</f>
        <v/>
      </c>
      <c r="Z98" s="7">
        <f>IF(Y98="","",IF(IFERROR(INDEX('Google Drive Map'!$G$4:$G$33,MATCH(Y98,'Google Drive Map'!$B$4:$B$33,0))&amp;"","")="","",HYPERLINK(INDEX('Google Drive Map'!$G$4:$G$33,MATCH(Y98,'Google Drive Map'!$B$4:$B$33,0)),"Open")))</f>
        <v/>
      </c>
      <c r="AA98" s="23" t="n"/>
    </row>
    <row r="99">
      <c r="A99" s="22" t="n"/>
      <c r="B99" s="22" t="n"/>
      <c r="C99" s="22" t="n"/>
      <c r="D99" s="35" t="n"/>
      <c r="E99" s="22" t="n"/>
      <c r="F99" s="35" t="n"/>
      <c r="G99" s="22" t="n"/>
      <c r="H99" s="22" t="n"/>
      <c r="I99" s="35" t="n"/>
      <c r="J99" s="24" t="n"/>
      <c r="K99" s="22" t="n"/>
      <c r="L99" s="24" t="n"/>
      <c r="M99" s="22" t="n"/>
      <c r="N99" s="22" t="n"/>
      <c r="O99" s="22" t="n"/>
      <c r="P99" s="22" t="n"/>
      <c r="Q99" s="22" t="n"/>
      <c r="R99" s="22" t="n"/>
      <c r="S99" s="22" t="n"/>
      <c r="T99" s="33" t="n"/>
      <c r="U99" s="33" t="n"/>
      <c r="V99" s="7">
        <f>IF(OR(N(T99)=0,N(U99)=0),"",IF(U99&gt;T99*IF(T99&lt;Settings!$B$5,Settings!$B$4,Settings!$B$6),"Over statutory cap","OK"))</f>
        <v/>
      </c>
      <c r="W99" s="7">
        <f>IF(B99="","",IF(OR(AND(J99&lt;&gt;"",NOT(ISNUMBER(J99))),AND(L99&lt;&gt;"",NOT(ISNUMBER(L99)))),"Check date: typed as text",IF(OR(AND(ISNUMBER(J99),J99&lt;TODAY()),AND(ISNUMBER(L99),L99&lt;TODAY())),"Expired",IF(OR(AND(ISNUMBER(J99),J99-TODAY()&lt;=Settings!$B$11),AND(ISNUMBER(L99),L99-TODAY()&lt;=Settings!$B$11)),"Expires within "&amp;Settings!$B$11&amp;" days",IF(AND(OR(Q99="Engaged",S99="Yes"),OR(J99="",L99="")),"Missing expiry date","OK")))))</f>
        <v/>
      </c>
      <c r="X99" s="36">
        <f>IF(B99="","",TRIM(IF(COUNTIF(B$4:B$103,B99)&gt;1,"Duplicate business name. ","")&amp;IF(AND(N(T99)&gt;Settings!$B$7,H99=""),"Over "&amp;TEXT(Settings!$B$7,"$#,##0")&amp;": record the builder registration (or exemption) and use a written major domestic building contract. ","")&amp;IF(AND(N(T99)&gt;Settings!$B$8,N99&lt;&gt;"Yes"),"Home warranty cover needed over "&amp;TEXT(Settings!$B$8,"$#,##0")&amp;". ","")))</f>
        <v/>
      </c>
      <c r="Y99" s="7">
        <f>IF(A99="","",IFERROR(INDEX('Google Drive Map'!$B$4:$B$33,MATCH("04/"&amp;LEFT(A99,2),'Google Drive Map'!$A$4:$A$33,0)),"04 Trades &amp; Tenders/"&amp;A99))</f>
        <v/>
      </c>
      <c r="Z99" s="7">
        <f>IF(Y99="","",IF(IFERROR(INDEX('Google Drive Map'!$G$4:$G$33,MATCH(Y99,'Google Drive Map'!$B$4:$B$33,0))&amp;"","")="","",HYPERLINK(INDEX('Google Drive Map'!$G$4:$G$33,MATCH(Y99,'Google Drive Map'!$B$4:$B$33,0)),"Open")))</f>
        <v/>
      </c>
      <c r="AA99" s="23" t="n"/>
    </row>
    <row r="100">
      <c r="A100" s="22" t="n"/>
      <c r="B100" s="22" t="n"/>
      <c r="C100" s="22" t="n"/>
      <c r="D100" s="35" t="n"/>
      <c r="E100" s="22" t="n"/>
      <c r="F100" s="35" t="n"/>
      <c r="G100" s="22" t="n"/>
      <c r="H100" s="22" t="n"/>
      <c r="I100" s="35" t="n"/>
      <c r="J100" s="24" t="n"/>
      <c r="K100" s="22" t="n"/>
      <c r="L100" s="24" t="n"/>
      <c r="M100" s="22" t="n"/>
      <c r="N100" s="22" t="n"/>
      <c r="O100" s="22" t="n"/>
      <c r="P100" s="22" t="n"/>
      <c r="Q100" s="22" t="n"/>
      <c r="R100" s="22" t="n"/>
      <c r="S100" s="22" t="n"/>
      <c r="T100" s="33" t="n"/>
      <c r="U100" s="33" t="n"/>
      <c r="V100" s="7">
        <f>IF(OR(N(T100)=0,N(U100)=0),"",IF(U100&gt;T100*IF(T100&lt;Settings!$B$5,Settings!$B$4,Settings!$B$6),"Over statutory cap","OK"))</f>
        <v/>
      </c>
      <c r="W100" s="7">
        <f>IF(B100="","",IF(OR(AND(J100&lt;&gt;"",NOT(ISNUMBER(J100))),AND(L100&lt;&gt;"",NOT(ISNUMBER(L100)))),"Check date: typed as text",IF(OR(AND(ISNUMBER(J100),J100&lt;TODAY()),AND(ISNUMBER(L100),L100&lt;TODAY())),"Expired",IF(OR(AND(ISNUMBER(J100),J100-TODAY()&lt;=Settings!$B$11),AND(ISNUMBER(L100),L100-TODAY()&lt;=Settings!$B$11)),"Expires within "&amp;Settings!$B$11&amp;" days",IF(AND(OR(Q100="Engaged",S100="Yes"),OR(J100="",L100="")),"Missing expiry date","OK")))))</f>
        <v/>
      </c>
      <c r="X100" s="36">
        <f>IF(B100="","",TRIM(IF(COUNTIF(B$4:B$103,B100)&gt;1,"Duplicate business name. ","")&amp;IF(AND(N(T100)&gt;Settings!$B$7,H100=""),"Over "&amp;TEXT(Settings!$B$7,"$#,##0")&amp;": record the builder registration (or exemption) and use a written major domestic building contract. ","")&amp;IF(AND(N(T100)&gt;Settings!$B$8,N100&lt;&gt;"Yes"),"Home warranty cover needed over "&amp;TEXT(Settings!$B$8,"$#,##0")&amp;". ","")))</f>
        <v/>
      </c>
      <c r="Y100" s="7">
        <f>IF(A100="","",IFERROR(INDEX('Google Drive Map'!$B$4:$B$33,MATCH("04/"&amp;LEFT(A100,2),'Google Drive Map'!$A$4:$A$33,0)),"04 Trades &amp; Tenders/"&amp;A100))</f>
        <v/>
      </c>
      <c r="Z100" s="7">
        <f>IF(Y100="","",IF(IFERROR(INDEX('Google Drive Map'!$G$4:$G$33,MATCH(Y100,'Google Drive Map'!$B$4:$B$33,0))&amp;"","")="","",HYPERLINK(INDEX('Google Drive Map'!$G$4:$G$33,MATCH(Y100,'Google Drive Map'!$B$4:$B$33,0)),"Open")))</f>
        <v/>
      </c>
      <c r="AA100" s="23" t="n"/>
    </row>
    <row r="101">
      <c r="A101" s="22" t="n"/>
      <c r="B101" s="22" t="n"/>
      <c r="C101" s="22" t="n"/>
      <c r="D101" s="35" t="n"/>
      <c r="E101" s="22" t="n"/>
      <c r="F101" s="35" t="n"/>
      <c r="G101" s="22" t="n"/>
      <c r="H101" s="22" t="n"/>
      <c r="I101" s="35" t="n"/>
      <c r="J101" s="24" t="n"/>
      <c r="K101" s="22" t="n"/>
      <c r="L101" s="24" t="n"/>
      <c r="M101" s="22" t="n"/>
      <c r="N101" s="22" t="n"/>
      <c r="O101" s="22" t="n"/>
      <c r="P101" s="22" t="n"/>
      <c r="Q101" s="22" t="n"/>
      <c r="R101" s="22" t="n"/>
      <c r="S101" s="22" t="n"/>
      <c r="T101" s="33" t="n"/>
      <c r="U101" s="33" t="n"/>
      <c r="V101" s="7">
        <f>IF(OR(N(T101)=0,N(U101)=0),"",IF(U101&gt;T101*IF(T101&lt;Settings!$B$5,Settings!$B$4,Settings!$B$6),"Over statutory cap","OK"))</f>
        <v/>
      </c>
      <c r="W101" s="7">
        <f>IF(B101="","",IF(OR(AND(J101&lt;&gt;"",NOT(ISNUMBER(J101))),AND(L101&lt;&gt;"",NOT(ISNUMBER(L101)))),"Check date: typed as text",IF(OR(AND(ISNUMBER(J101),J101&lt;TODAY()),AND(ISNUMBER(L101),L101&lt;TODAY())),"Expired",IF(OR(AND(ISNUMBER(J101),J101-TODAY()&lt;=Settings!$B$11),AND(ISNUMBER(L101),L101-TODAY()&lt;=Settings!$B$11)),"Expires within "&amp;Settings!$B$11&amp;" days",IF(AND(OR(Q101="Engaged",S101="Yes"),OR(J101="",L101="")),"Missing expiry date","OK")))))</f>
        <v/>
      </c>
      <c r="X101" s="36">
        <f>IF(B101="","",TRIM(IF(COUNTIF(B$4:B$103,B101)&gt;1,"Duplicate business name. ","")&amp;IF(AND(N(T101)&gt;Settings!$B$7,H101=""),"Over "&amp;TEXT(Settings!$B$7,"$#,##0")&amp;": record the builder registration (or exemption) and use a written major domestic building contract. ","")&amp;IF(AND(N(T101)&gt;Settings!$B$8,N101&lt;&gt;"Yes"),"Home warranty cover needed over "&amp;TEXT(Settings!$B$8,"$#,##0")&amp;". ","")))</f>
        <v/>
      </c>
      <c r="Y101" s="7">
        <f>IF(A101="","",IFERROR(INDEX('Google Drive Map'!$B$4:$B$33,MATCH("04/"&amp;LEFT(A101,2),'Google Drive Map'!$A$4:$A$33,0)),"04 Trades &amp; Tenders/"&amp;A101))</f>
        <v/>
      </c>
      <c r="Z101" s="7">
        <f>IF(Y101="","",IF(IFERROR(INDEX('Google Drive Map'!$G$4:$G$33,MATCH(Y101,'Google Drive Map'!$B$4:$B$33,0))&amp;"","")="","",HYPERLINK(INDEX('Google Drive Map'!$G$4:$G$33,MATCH(Y101,'Google Drive Map'!$B$4:$B$33,0)),"Open")))</f>
        <v/>
      </c>
      <c r="AA101" s="23" t="n"/>
    </row>
    <row r="102">
      <c r="A102" s="22" t="n"/>
      <c r="B102" s="22" t="n"/>
      <c r="C102" s="22" t="n"/>
      <c r="D102" s="35" t="n"/>
      <c r="E102" s="22" t="n"/>
      <c r="F102" s="35" t="n"/>
      <c r="G102" s="22" t="n"/>
      <c r="H102" s="22" t="n"/>
      <c r="I102" s="35" t="n"/>
      <c r="J102" s="24" t="n"/>
      <c r="K102" s="22" t="n"/>
      <c r="L102" s="24" t="n"/>
      <c r="M102" s="22" t="n"/>
      <c r="N102" s="22" t="n"/>
      <c r="O102" s="22" t="n"/>
      <c r="P102" s="22" t="n"/>
      <c r="Q102" s="22" t="n"/>
      <c r="R102" s="22" t="n"/>
      <c r="S102" s="22" t="n"/>
      <c r="T102" s="33" t="n"/>
      <c r="U102" s="33" t="n"/>
      <c r="V102" s="7">
        <f>IF(OR(N(T102)=0,N(U102)=0),"",IF(U102&gt;T102*IF(T102&lt;Settings!$B$5,Settings!$B$4,Settings!$B$6),"Over statutory cap","OK"))</f>
        <v/>
      </c>
      <c r="W102" s="7">
        <f>IF(B102="","",IF(OR(AND(J102&lt;&gt;"",NOT(ISNUMBER(J102))),AND(L102&lt;&gt;"",NOT(ISNUMBER(L102)))),"Check date: typed as text",IF(OR(AND(ISNUMBER(J102),J102&lt;TODAY()),AND(ISNUMBER(L102),L102&lt;TODAY())),"Expired",IF(OR(AND(ISNUMBER(J102),J102-TODAY()&lt;=Settings!$B$11),AND(ISNUMBER(L102),L102-TODAY()&lt;=Settings!$B$11)),"Expires within "&amp;Settings!$B$11&amp;" days",IF(AND(OR(Q102="Engaged",S102="Yes"),OR(J102="",L102="")),"Missing expiry date","OK")))))</f>
        <v/>
      </c>
      <c r="X102" s="36">
        <f>IF(B102="","",TRIM(IF(COUNTIF(B$4:B$103,B102)&gt;1,"Duplicate business name. ","")&amp;IF(AND(N(T102)&gt;Settings!$B$7,H102=""),"Over "&amp;TEXT(Settings!$B$7,"$#,##0")&amp;": record the builder registration (or exemption) and use a written major domestic building contract. ","")&amp;IF(AND(N(T102)&gt;Settings!$B$8,N102&lt;&gt;"Yes"),"Home warranty cover needed over "&amp;TEXT(Settings!$B$8,"$#,##0")&amp;". ","")))</f>
        <v/>
      </c>
      <c r="Y102" s="7">
        <f>IF(A102="","",IFERROR(INDEX('Google Drive Map'!$B$4:$B$33,MATCH("04/"&amp;LEFT(A102,2),'Google Drive Map'!$A$4:$A$33,0)),"04 Trades &amp; Tenders/"&amp;A102))</f>
        <v/>
      </c>
      <c r="Z102" s="7">
        <f>IF(Y102="","",IF(IFERROR(INDEX('Google Drive Map'!$G$4:$G$33,MATCH(Y102,'Google Drive Map'!$B$4:$B$33,0))&amp;"","")="","",HYPERLINK(INDEX('Google Drive Map'!$G$4:$G$33,MATCH(Y102,'Google Drive Map'!$B$4:$B$33,0)),"Open")))</f>
        <v/>
      </c>
      <c r="AA102" s="23" t="n"/>
    </row>
    <row r="103">
      <c r="A103" s="22" t="n"/>
      <c r="B103" s="22" t="n"/>
      <c r="C103" s="22" t="n"/>
      <c r="D103" s="35" t="n"/>
      <c r="E103" s="22" t="n"/>
      <c r="F103" s="35" t="n"/>
      <c r="G103" s="22" t="n"/>
      <c r="H103" s="22" t="n"/>
      <c r="I103" s="35" t="n"/>
      <c r="J103" s="24" t="n"/>
      <c r="K103" s="22" t="n"/>
      <c r="L103" s="24" t="n"/>
      <c r="M103" s="22" t="n"/>
      <c r="N103" s="22" t="n"/>
      <c r="O103" s="22" t="n"/>
      <c r="P103" s="22" t="n"/>
      <c r="Q103" s="22" t="n"/>
      <c r="R103" s="22" t="n"/>
      <c r="S103" s="22" t="n"/>
      <c r="T103" s="33" t="n"/>
      <c r="U103" s="33" t="n"/>
      <c r="V103" s="7">
        <f>IF(OR(N(T103)=0,N(U103)=0),"",IF(U103&gt;T103*IF(T103&lt;Settings!$B$5,Settings!$B$4,Settings!$B$6),"Over statutory cap","OK"))</f>
        <v/>
      </c>
      <c r="W103" s="7">
        <f>IF(B103="","",IF(OR(AND(J103&lt;&gt;"",NOT(ISNUMBER(J103))),AND(L103&lt;&gt;"",NOT(ISNUMBER(L103)))),"Check date: typed as text",IF(OR(AND(ISNUMBER(J103),J103&lt;TODAY()),AND(ISNUMBER(L103),L103&lt;TODAY())),"Expired",IF(OR(AND(ISNUMBER(J103),J103-TODAY()&lt;=Settings!$B$11),AND(ISNUMBER(L103),L103-TODAY()&lt;=Settings!$B$11)),"Expires within "&amp;Settings!$B$11&amp;" days",IF(AND(OR(Q103="Engaged",S103="Yes"),OR(J103="",L103="")),"Missing expiry date","OK")))))</f>
        <v/>
      </c>
      <c r="X103" s="36">
        <f>IF(B103="","",TRIM(IF(COUNTIF(B$4:B$103,B103)&gt;1,"Duplicate business name. ","")&amp;IF(AND(N(T103)&gt;Settings!$B$7,H103=""),"Over "&amp;TEXT(Settings!$B$7,"$#,##0")&amp;": record the builder registration (or exemption) and use a written major domestic building contract. ","")&amp;IF(AND(N(T103)&gt;Settings!$B$8,N103&lt;&gt;"Yes"),"Home warranty cover needed over "&amp;TEXT(Settings!$B$8,"$#,##0")&amp;". ","")))</f>
        <v/>
      </c>
      <c r="Y103" s="7">
        <f>IF(A103="","",IFERROR(INDEX('Google Drive Map'!$B$4:$B$33,MATCH("04/"&amp;LEFT(A103,2),'Google Drive Map'!$A$4:$A$33,0)),"04 Trades &amp; Tenders/"&amp;A103))</f>
        <v/>
      </c>
      <c r="Z103" s="7">
        <f>IF(Y103="","",IF(IFERROR(INDEX('Google Drive Map'!$G$4:$G$33,MATCH(Y103,'Google Drive Map'!$B$4:$B$33,0))&amp;"","")="","",HYPERLINK(INDEX('Google Drive Map'!$G$4:$G$33,MATCH(Y103,'Google Drive Map'!$B$4:$B$33,0)),"Open")))</f>
        <v/>
      </c>
      <c r="AA103" s="23" t="n"/>
    </row>
  </sheetData>
  <sheetProtection selectLockedCells="0" selectUnlockedCells="0" sheet="1" objects="0" insertRows="0" insertHyperlinks="0" autoFilter="0" scenarios="0" formatColumns="0" deleteColumns="1" insertColumns="1" pivotTables="1" deleteRows="0" formatCells="0" formatRows="0" sort="0"/>
  <autoFilter ref="A3:AA103"/>
  <conditionalFormatting sqref="W4:W103">
    <cfRule type="cellIs" priority="1" operator="equal" dxfId="2">
      <formula>"Expired"</formula>
    </cfRule>
    <cfRule type="expression" priority="2" dxfId="1">
      <formula>LEFT(W4,7)="Expires"</formula>
    </cfRule>
    <cfRule type="expression" priority="3" dxfId="2">
      <formula>LEFT(W4,10)="Check date"</formula>
    </cfRule>
    <cfRule type="expression" priority="4" dxfId="1">
      <formula>LEFT(W4,7)="Missing"</formula>
    </cfRule>
  </conditionalFormatting>
  <conditionalFormatting sqref="V4:V103">
    <cfRule type="cellIs" priority="5" operator="equal" dxfId="2">
      <formula>"Over statutory cap"</formula>
    </cfRule>
  </conditionalFormatting>
  <conditionalFormatting sqref="X4:X103">
    <cfRule type="expression" priority="6" dxfId="1">
      <formula>LEN(X4)&gt;0</formula>
    </cfRule>
  </conditionalFormatting>
  <dataValidations count="9">
    <dataValidation sqref="A4:A103" showDropDown="0" showInputMessage="0" showErrorMessage="0" allowBlank="1" error="Pick a value from the list." type="list" errorStyle="warning">
      <formula1>='Packages'!$B$4:$B$33</formula1>
    </dataValidation>
    <dataValidation sqref="G4:G103" showDropDown="0" showInputMessage="0" showErrorMessage="0" allowBlank="1" error="Pick a value from the list." type="list" errorStyle="warning">
      <formula1>=Lists!$B$2:$B$3</formula1>
    </dataValidation>
    <dataValidation sqref="M4:M103" showDropDown="0" showInputMessage="0" showErrorMessage="0" allowBlank="1" error="Pick a value from the list." type="list" errorStyle="warning">
      <formula1>=Lists!$C$2:$C$4</formula1>
    </dataValidation>
    <dataValidation sqref="N4:N103" showDropDown="0" showInputMessage="0" showErrorMessage="0" allowBlank="1" error="Pick a value from the list." type="list" errorStyle="warning">
      <formula1>=Lists!$C$2:$C$4</formula1>
    </dataValidation>
    <dataValidation sqref="O4:O103" showDropDown="0" showInputMessage="0" showErrorMessage="0" allowBlank="1" error="Pick a value from the list." type="list" errorStyle="warning">
      <formula1>=Lists!$C$2:$C$4</formula1>
    </dataValidation>
    <dataValidation sqref="P4:P103" showDropDown="0" showInputMessage="0" showErrorMessage="0" allowBlank="1" error="Pick a value from the list." type="list" errorStyle="warning">
      <formula1>=Lists!$B$2:$B$3</formula1>
    </dataValidation>
    <dataValidation sqref="Q4:Q103" showDropDown="0" showInputMessage="0" showErrorMessage="0" allowBlank="1" error="Pick a value from the list." type="list" errorStyle="warning">
      <formula1>=Lists!$O$2:$O$6</formula1>
    </dataValidation>
    <dataValidation sqref="R4:R103" showDropDown="0" showInputMessage="0" showErrorMessage="0" allowBlank="1" error="Pick a value from the list." type="list" errorStyle="warning">
      <formula1>=Lists!$X$2:$X$7</formula1>
    </dataValidation>
    <dataValidation sqref="S4:S103" showDropDown="0" showInputMessage="0" showErrorMessage="0" allowBlank="1" error="Pick a value from the list." type="list" errorStyle="warning">
      <formula1>=Lists!$B$2:$B$3</formula1>
    </dataValidation>
  </dataValidation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O303"/>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22" customWidth="1" min="3" max="3"/>
    <col width="12" customWidth="1" min="4" max="4"/>
    <col width="16" customWidth="1" min="5" max="5"/>
    <col width="13" customWidth="1" min="6" max="6"/>
    <col width="9" customWidth="1" min="7" max="7"/>
    <col width="10" customWidth="1" min="8" max="8"/>
    <col width="16" customWidth="1" min="9" max="9"/>
    <col width="12" customWidth="1" min="10" max="10"/>
    <col width="8" customWidth="1" min="11" max="11"/>
    <col width="12" customWidth="1" min="12" max="12"/>
    <col width="12" customWidth="1" min="13" max="13"/>
    <col width="15" customWidth="1" min="14" max="14"/>
    <col width="28" customWidth="1" min="15" max="15"/>
  </cols>
  <sheetData>
    <row r="1" ht="24" customHeight="1">
      <c r="A1" s="1" t="inlineStr">
        <is>
          <t>Invoices &amp; payments</t>
        </is>
      </c>
    </row>
    <row r="2">
      <c r="A2" s="2" t="inlineStr">
        <is>
          <t>Every invoice and claim. Only rows marked Paid count towards spent to date. Don't release final payment until you have that trade's certificates.</t>
        </is>
      </c>
    </row>
    <row r="3" ht="32" customHeight="1">
      <c r="A3" s="20" t="inlineStr">
        <is>
          <t>Invoice date</t>
        </is>
      </c>
      <c r="B3" s="20" t="inlineStr">
        <is>
          <t>Package</t>
        </is>
      </c>
      <c r="C3" s="20" t="inlineStr">
        <is>
          <t>Trade</t>
        </is>
      </c>
      <c r="D3" s="20" t="inlineStr">
        <is>
          <t>Invoice no.</t>
        </is>
      </c>
      <c r="E3" s="20" t="inlineStr">
        <is>
          <t>Stage / claim</t>
        </is>
      </c>
      <c r="F3" s="20" t="inlineStr">
        <is>
          <t>Amount inc GST ($)</t>
        </is>
      </c>
      <c r="G3" s="20" t="inlineStr">
        <is>
          <t>GST charged?</t>
        </is>
      </c>
      <c r="H3" s="21" t="inlineStr">
        <is>
          <t>Trade GST registered</t>
        </is>
      </c>
      <c r="I3" s="21" t="inlineStr">
        <is>
          <t>GST check</t>
        </is>
      </c>
      <c r="J3" s="20" t="inlineStr">
        <is>
          <t>Due</t>
        </is>
      </c>
      <c r="K3" s="20" t="inlineStr">
        <is>
          <t>Paid?</t>
        </is>
      </c>
      <c r="L3" s="20" t="inlineStr">
        <is>
          <t>Paid date</t>
        </is>
      </c>
      <c r="M3" s="20" t="inlineStr">
        <is>
          <t>Retention held ($)</t>
        </is>
      </c>
      <c r="N3" s="20" t="inlineStr">
        <is>
          <t>Invoice Doc ID</t>
        </is>
      </c>
      <c r="O3" s="20" t="inlineStr">
        <is>
          <t>Notes</t>
        </is>
      </c>
    </row>
    <row r="4">
      <c r="A4" s="32" t="n"/>
      <c r="B4" s="27" t="inlineStr">
        <is>
          <t>08 Roofing</t>
        </is>
      </c>
      <c r="C4" s="27" t="inlineStr">
        <is>
          <t>Ridgeline Metal Roofs</t>
        </is>
      </c>
      <c r="D4" s="34" t="inlineStr">
        <is>
          <t>1042</t>
        </is>
      </c>
      <c r="E4" s="27" t="inlineStr">
        <is>
          <t>Deposit</t>
        </is>
      </c>
      <c r="F4" s="31" t="n">
        <v>1845</v>
      </c>
      <c r="G4" s="27" t="inlineStr">
        <is>
          <t>Yes</t>
        </is>
      </c>
      <c r="H4" s="7">
        <f>IF(C4="","",IFERROR(INDEX('Trades'!$G$4:$G$103,MATCH(C4,'Trades'!$B$4:$B$103,0))&amp;"",""))</f>
        <v/>
      </c>
      <c r="I4" s="7">
        <f>IF(AND(G4="Yes",H4="No"),"GST charged, not registered","")</f>
        <v/>
      </c>
      <c r="J4" s="32" t="n"/>
      <c r="K4" s="27" t="inlineStr">
        <is>
          <t>Yes</t>
        </is>
      </c>
      <c r="L4" s="32" t="n"/>
      <c r="M4" s="31" t="n"/>
      <c r="N4" s="27" t="n"/>
      <c r="O4" s="29" t="inlineStr">
        <is>
          <t>EXAMPLE: delete this row</t>
        </is>
      </c>
    </row>
    <row r="5">
      <c r="A5" s="24" t="n"/>
      <c r="B5" s="22" t="n"/>
      <c r="C5" s="22" t="n"/>
      <c r="D5" s="35" t="n"/>
      <c r="E5" s="22" t="n"/>
      <c r="F5" s="33" t="n"/>
      <c r="G5" s="22" t="n"/>
      <c r="H5" s="7">
        <f>IF(C5="","",IFERROR(INDEX('Trades'!$G$4:$G$103,MATCH(C5,'Trades'!$B$4:$B$103,0))&amp;"",""))</f>
        <v/>
      </c>
      <c r="I5" s="7">
        <f>IF(AND(G5="Yes",H5="No"),"GST charged, not registered","")</f>
        <v/>
      </c>
      <c r="J5" s="24" t="n"/>
      <c r="K5" s="22" t="n"/>
      <c r="L5" s="24" t="n"/>
      <c r="M5" s="33" t="n"/>
      <c r="N5" s="22" t="n"/>
      <c r="O5" s="23" t="n"/>
    </row>
    <row r="6">
      <c r="A6" s="24" t="n"/>
      <c r="B6" s="22" t="n"/>
      <c r="C6" s="22" t="n"/>
      <c r="D6" s="35" t="n"/>
      <c r="E6" s="22" t="n"/>
      <c r="F6" s="33" t="n"/>
      <c r="G6" s="22" t="n"/>
      <c r="H6" s="7">
        <f>IF(C6="","",IFERROR(INDEX('Trades'!$G$4:$G$103,MATCH(C6,'Trades'!$B$4:$B$103,0))&amp;"",""))</f>
        <v/>
      </c>
      <c r="I6" s="7">
        <f>IF(AND(G6="Yes",H6="No"),"GST charged, not registered","")</f>
        <v/>
      </c>
      <c r="J6" s="24" t="n"/>
      <c r="K6" s="22" t="n"/>
      <c r="L6" s="24" t="n"/>
      <c r="M6" s="33" t="n"/>
      <c r="N6" s="22" t="n"/>
      <c r="O6" s="23" t="n"/>
    </row>
    <row r="7">
      <c r="A7" s="24" t="n"/>
      <c r="B7" s="22" t="n"/>
      <c r="C7" s="22" t="n"/>
      <c r="D7" s="35" t="n"/>
      <c r="E7" s="22" t="n"/>
      <c r="F7" s="33" t="n"/>
      <c r="G7" s="22" t="n"/>
      <c r="H7" s="7">
        <f>IF(C7="","",IFERROR(INDEX('Trades'!$G$4:$G$103,MATCH(C7,'Trades'!$B$4:$B$103,0))&amp;"",""))</f>
        <v/>
      </c>
      <c r="I7" s="7">
        <f>IF(AND(G7="Yes",H7="No"),"GST charged, not registered","")</f>
        <v/>
      </c>
      <c r="J7" s="24" t="n"/>
      <c r="K7" s="22" t="n"/>
      <c r="L7" s="24" t="n"/>
      <c r="M7" s="33" t="n"/>
      <c r="N7" s="22" t="n"/>
      <c r="O7" s="23" t="n"/>
    </row>
    <row r="8">
      <c r="A8" s="24" t="n"/>
      <c r="B8" s="22" t="n"/>
      <c r="C8" s="22" t="n"/>
      <c r="D8" s="35" t="n"/>
      <c r="E8" s="22" t="n"/>
      <c r="F8" s="33" t="n"/>
      <c r="G8" s="22" t="n"/>
      <c r="H8" s="7">
        <f>IF(C8="","",IFERROR(INDEX('Trades'!$G$4:$G$103,MATCH(C8,'Trades'!$B$4:$B$103,0))&amp;"",""))</f>
        <v/>
      </c>
      <c r="I8" s="7">
        <f>IF(AND(G8="Yes",H8="No"),"GST charged, not registered","")</f>
        <v/>
      </c>
      <c r="J8" s="24" t="n"/>
      <c r="K8" s="22" t="n"/>
      <c r="L8" s="24" t="n"/>
      <c r="M8" s="33" t="n"/>
      <c r="N8" s="22" t="n"/>
      <c r="O8" s="23" t="n"/>
    </row>
    <row r="9">
      <c r="A9" s="24" t="n"/>
      <c r="B9" s="22" t="n"/>
      <c r="C9" s="22" t="n"/>
      <c r="D9" s="35" t="n"/>
      <c r="E9" s="22" t="n"/>
      <c r="F9" s="33" t="n"/>
      <c r="G9" s="22" t="n"/>
      <c r="H9" s="7">
        <f>IF(C9="","",IFERROR(INDEX('Trades'!$G$4:$G$103,MATCH(C9,'Trades'!$B$4:$B$103,0))&amp;"",""))</f>
        <v/>
      </c>
      <c r="I9" s="7">
        <f>IF(AND(G9="Yes",H9="No"),"GST charged, not registered","")</f>
        <v/>
      </c>
      <c r="J9" s="24" t="n"/>
      <c r="K9" s="22" t="n"/>
      <c r="L9" s="24" t="n"/>
      <c r="M9" s="33" t="n"/>
      <c r="N9" s="22" t="n"/>
      <c r="O9" s="23" t="n"/>
    </row>
    <row r="10">
      <c r="A10" s="24" t="n"/>
      <c r="B10" s="22" t="n"/>
      <c r="C10" s="22" t="n"/>
      <c r="D10" s="35" t="n"/>
      <c r="E10" s="22" t="n"/>
      <c r="F10" s="33" t="n"/>
      <c r="G10" s="22" t="n"/>
      <c r="H10" s="7">
        <f>IF(C10="","",IFERROR(INDEX('Trades'!$G$4:$G$103,MATCH(C10,'Trades'!$B$4:$B$103,0))&amp;"",""))</f>
        <v/>
      </c>
      <c r="I10" s="7">
        <f>IF(AND(G10="Yes",H10="No"),"GST charged, not registered","")</f>
        <v/>
      </c>
      <c r="J10" s="24" t="n"/>
      <c r="K10" s="22" t="n"/>
      <c r="L10" s="24" t="n"/>
      <c r="M10" s="33" t="n"/>
      <c r="N10" s="22" t="n"/>
      <c r="O10" s="23" t="n"/>
    </row>
    <row r="11">
      <c r="A11" s="24" t="n"/>
      <c r="B11" s="22" t="n"/>
      <c r="C11" s="22" t="n"/>
      <c r="D11" s="35" t="n"/>
      <c r="E11" s="22" t="n"/>
      <c r="F11" s="33" t="n"/>
      <c r="G11" s="22" t="n"/>
      <c r="H11" s="7">
        <f>IF(C11="","",IFERROR(INDEX('Trades'!$G$4:$G$103,MATCH(C11,'Trades'!$B$4:$B$103,0))&amp;"",""))</f>
        <v/>
      </c>
      <c r="I11" s="7">
        <f>IF(AND(G11="Yes",H11="No"),"GST charged, not registered","")</f>
        <v/>
      </c>
      <c r="J11" s="24" t="n"/>
      <c r="K11" s="22" t="n"/>
      <c r="L11" s="24" t="n"/>
      <c r="M11" s="33" t="n"/>
      <c r="N11" s="22" t="n"/>
      <c r="O11" s="23" t="n"/>
    </row>
    <row r="12">
      <c r="A12" s="24" t="n"/>
      <c r="B12" s="22" t="n"/>
      <c r="C12" s="22" t="n"/>
      <c r="D12" s="35" t="n"/>
      <c r="E12" s="22" t="n"/>
      <c r="F12" s="33" t="n"/>
      <c r="G12" s="22" t="n"/>
      <c r="H12" s="7">
        <f>IF(C12="","",IFERROR(INDEX('Trades'!$G$4:$G$103,MATCH(C12,'Trades'!$B$4:$B$103,0))&amp;"",""))</f>
        <v/>
      </c>
      <c r="I12" s="7">
        <f>IF(AND(G12="Yes",H12="No"),"GST charged, not registered","")</f>
        <v/>
      </c>
      <c r="J12" s="24" t="n"/>
      <c r="K12" s="22" t="n"/>
      <c r="L12" s="24" t="n"/>
      <c r="M12" s="33" t="n"/>
      <c r="N12" s="22" t="n"/>
      <c r="O12" s="23" t="n"/>
    </row>
    <row r="13">
      <c r="A13" s="24" t="n"/>
      <c r="B13" s="22" t="n"/>
      <c r="C13" s="22" t="n"/>
      <c r="D13" s="35" t="n"/>
      <c r="E13" s="22" t="n"/>
      <c r="F13" s="33" t="n"/>
      <c r="G13" s="22" t="n"/>
      <c r="H13" s="7">
        <f>IF(C13="","",IFERROR(INDEX('Trades'!$G$4:$G$103,MATCH(C13,'Trades'!$B$4:$B$103,0))&amp;"",""))</f>
        <v/>
      </c>
      <c r="I13" s="7">
        <f>IF(AND(G13="Yes",H13="No"),"GST charged, not registered","")</f>
        <v/>
      </c>
      <c r="J13" s="24" t="n"/>
      <c r="K13" s="22" t="n"/>
      <c r="L13" s="24" t="n"/>
      <c r="M13" s="33" t="n"/>
      <c r="N13" s="22" t="n"/>
      <c r="O13" s="23" t="n"/>
    </row>
    <row r="14">
      <c r="A14" s="24" t="n"/>
      <c r="B14" s="22" t="n"/>
      <c r="C14" s="22" t="n"/>
      <c r="D14" s="35" t="n"/>
      <c r="E14" s="22" t="n"/>
      <c r="F14" s="33" t="n"/>
      <c r="G14" s="22" t="n"/>
      <c r="H14" s="7">
        <f>IF(C14="","",IFERROR(INDEX('Trades'!$G$4:$G$103,MATCH(C14,'Trades'!$B$4:$B$103,0))&amp;"",""))</f>
        <v/>
      </c>
      <c r="I14" s="7">
        <f>IF(AND(G14="Yes",H14="No"),"GST charged, not registered","")</f>
        <v/>
      </c>
      <c r="J14" s="24" t="n"/>
      <c r="K14" s="22" t="n"/>
      <c r="L14" s="24" t="n"/>
      <c r="M14" s="33" t="n"/>
      <c r="N14" s="22" t="n"/>
      <c r="O14" s="23" t="n"/>
    </row>
    <row r="15">
      <c r="A15" s="24" t="n"/>
      <c r="B15" s="22" t="n"/>
      <c r="C15" s="22" t="n"/>
      <c r="D15" s="35" t="n"/>
      <c r="E15" s="22" t="n"/>
      <c r="F15" s="33" t="n"/>
      <c r="G15" s="22" t="n"/>
      <c r="H15" s="7">
        <f>IF(C15="","",IFERROR(INDEX('Trades'!$G$4:$G$103,MATCH(C15,'Trades'!$B$4:$B$103,0))&amp;"",""))</f>
        <v/>
      </c>
      <c r="I15" s="7">
        <f>IF(AND(G15="Yes",H15="No"),"GST charged, not registered","")</f>
        <v/>
      </c>
      <c r="J15" s="24" t="n"/>
      <c r="K15" s="22" t="n"/>
      <c r="L15" s="24" t="n"/>
      <c r="M15" s="33" t="n"/>
      <c r="N15" s="22" t="n"/>
      <c r="O15" s="23" t="n"/>
    </row>
    <row r="16">
      <c r="A16" s="24" t="n"/>
      <c r="B16" s="22" t="n"/>
      <c r="C16" s="22" t="n"/>
      <c r="D16" s="35" t="n"/>
      <c r="E16" s="22" t="n"/>
      <c r="F16" s="33" t="n"/>
      <c r="G16" s="22" t="n"/>
      <c r="H16" s="7">
        <f>IF(C16="","",IFERROR(INDEX('Trades'!$G$4:$G$103,MATCH(C16,'Trades'!$B$4:$B$103,0))&amp;"",""))</f>
        <v/>
      </c>
      <c r="I16" s="7">
        <f>IF(AND(G16="Yes",H16="No"),"GST charged, not registered","")</f>
        <v/>
      </c>
      <c r="J16" s="24" t="n"/>
      <c r="K16" s="22" t="n"/>
      <c r="L16" s="24" t="n"/>
      <c r="M16" s="33" t="n"/>
      <c r="N16" s="22" t="n"/>
      <c r="O16" s="23" t="n"/>
    </row>
    <row r="17">
      <c r="A17" s="24" t="n"/>
      <c r="B17" s="22" t="n"/>
      <c r="C17" s="22" t="n"/>
      <c r="D17" s="35" t="n"/>
      <c r="E17" s="22" t="n"/>
      <c r="F17" s="33" t="n"/>
      <c r="G17" s="22" t="n"/>
      <c r="H17" s="7">
        <f>IF(C17="","",IFERROR(INDEX('Trades'!$G$4:$G$103,MATCH(C17,'Trades'!$B$4:$B$103,0))&amp;"",""))</f>
        <v/>
      </c>
      <c r="I17" s="7">
        <f>IF(AND(G17="Yes",H17="No"),"GST charged, not registered","")</f>
        <v/>
      </c>
      <c r="J17" s="24" t="n"/>
      <c r="K17" s="22" t="n"/>
      <c r="L17" s="24" t="n"/>
      <c r="M17" s="33" t="n"/>
      <c r="N17" s="22" t="n"/>
      <c r="O17" s="23" t="n"/>
    </row>
    <row r="18">
      <c r="A18" s="24" t="n"/>
      <c r="B18" s="22" t="n"/>
      <c r="C18" s="22" t="n"/>
      <c r="D18" s="35" t="n"/>
      <c r="E18" s="22" t="n"/>
      <c r="F18" s="33" t="n"/>
      <c r="G18" s="22" t="n"/>
      <c r="H18" s="7">
        <f>IF(C18="","",IFERROR(INDEX('Trades'!$G$4:$G$103,MATCH(C18,'Trades'!$B$4:$B$103,0))&amp;"",""))</f>
        <v/>
      </c>
      <c r="I18" s="7">
        <f>IF(AND(G18="Yes",H18="No"),"GST charged, not registered","")</f>
        <v/>
      </c>
      <c r="J18" s="24" t="n"/>
      <c r="K18" s="22" t="n"/>
      <c r="L18" s="24" t="n"/>
      <c r="M18" s="33" t="n"/>
      <c r="N18" s="22" t="n"/>
      <c r="O18" s="23" t="n"/>
    </row>
    <row r="19">
      <c r="A19" s="24" t="n"/>
      <c r="B19" s="22" t="n"/>
      <c r="C19" s="22" t="n"/>
      <c r="D19" s="35" t="n"/>
      <c r="E19" s="22" t="n"/>
      <c r="F19" s="33" t="n"/>
      <c r="G19" s="22" t="n"/>
      <c r="H19" s="7">
        <f>IF(C19="","",IFERROR(INDEX('Trades'!$G$4:$G$103,MATCH(C19,'Trades'!$B$4:$B$103,0))&amp;"",""))</f>
        <v/>
      </c>
      <c r="I19" s="7">
        <f>IF(AND(G19="Yes",H19="No"),"GST charged, not registered","")</f>
        <v/>
      </c>
      <c r="J19" s="24" t="n"/>
      <c r="K19" s="22" t="n"/>
      <c r="L19" s="24" t="n"/>
      <c r="M19" s="33" t="n"/>
      <c r="N19" s="22" t="n"/>
      <c r="O19" s="23" t="n"/>
    </row>
    <row r="20">
      <c r="A20" s="24" t="n"/>
      <c r="B20" s="22" t="n"/>
      <c r="C20" s="22" t="n"/>
      <c r="D20" s="35" t="n"/>
      <c r="E20" s="22" t="n"/>
      <c r="F20" s="33" t="n"/>
      <c r="G20" s="22" t="n"/>
      <c r="H20" s="7">
        <f>IF(C20="","",IFERROR(INDEX('Trades'!$G$4:$G$103,MATCH(C20,'Trades'!$B$4:$B$103,0))&amp;"",""))</f>
        <v/>
      </c>
      <c r="I20" s="7">
        <f>IF(AND(G20="Yes",H20="No"),"GST charged, not registered","")</f>
        <v/>
      </c>
      <c r="J20" s="24" t="n"/>
      <c r="K20" s="22" t="n"/>
      <c r="L20" s="24" t="n"/>
      <c r="M20" s="33" t="n"/>
      <c r="N20" s="22" t="n"/>
      <c r="O20" s="23" t="n"/>
    </row>
    <row r="21">
      <c r="A21" s="24" t="n"/>
      <c r="B21" s="22" t="n"/>
      <c r="C21" s="22" t="n"/>
      <c r="D21" s="35" t="n"/>
      <c r="E21" s="22" t="n"/>
      <c r="F21" s="33" t="n"/>
      <c r="G21" s="22" t="n"/>
      <c r="H21" s="7">
        <f>IF(C21="","",IFERROR(INDEX('Trades'!$G$4:$G$103,MATCH(C21,'Trades'!$B$4:$B$103,0))&amp;"",""))</f>
        <v/>
      </c>
      <c r="I21" s="7">
        <f>IF(AND(G21="Yes",H21="No"),"GST charged, not registered","")</f>
        <v/>
      </c>
      <c r="J21" s="24" t="n"/>
      <c r="K21" s="22" t="n"/>
      <c r="L21" s="24" t="n"/>
      <c r="M21" s="33" t="n"/>
      <c r="N21" s="22" t="n"/>
      <c r="O21" s="23" t="n"/>
    </row>
    <row r="22">
      <c r="A22" s="24" t="n"/>
      <c r="B22" s="22" t="n"/>
      <c r="C22" s="22" t="n"/>
      <c r="D22" s="35" t="n"/>
      <c r="E22" s="22" t="n"/>
      <c r="F22" s="33" t="n"/>
      <c r="G22" s="22" t="n"/>
      <c r="H22" s="7">
        <f>IF(C22="","",IFERROR(INDEX('Trades'!$G$4:$G$103,MATCH(C22,'Trades'!$B$4:$B$103,0))&amp;"",""))</f>
        <v/>
      </c>
      <c r="I22" s="7">
        <f>IF(AND(G22="Yes",H22="No"),"GST charged, not registered","")</f>
        <v/>
      </c>
      <c r="J22" s="24" t="n"/>
      <c r="K22" s="22" t="n"/>
      <c r="L22" s="24" t="n"/>
      <c r="M22" s="33" t="n"/>
      <c r="N22" s="22" t="n"/>
      <c r="O22" s="23" t="n"/>
    </row>
    <row r="23">
      <c r="A23" s="24" t="n"/>
      <c r="B23" s="22" t="n"/>
      <c r="C23" s="22" t="n"/>
      <c r="D23" s="35" t="n"/>
      <c r="E23" s="22" t="n"/>
      <c r="F23" s="33" t="n"/>
      <c r="G23" s="22" t="n"/>
      <c r="H23" s="7">
        <f>IF(C23="","",IFERROR(INDEX('Trades'!$G$4:$G$103,MATCH(C23,'Trades'!$B$4:$B$103,0))&amp;"",""))</f>
        <v/>
      </c>
      <c r="I23" s="7">
        <f>IF(AND(G23="Yes",H23="No"),"GST charged, not registered","")</f>
        <v/>
      </c>
      <c r="J23" s="24" t="n"/>
      <c r="K23" s="22" t="n"/>
      <c r="L23" s="24" t="n"/>
      <c r="M23" s="33" t="n"/>
      <c r="N23" s="22" t="n"/>
      <c r="O23" s="23" t="n"/>
    </row>
    <row r="24">
      <c r="A24" s="24" t="n"/>
      <c r="B24" s="22" t="n"/>
      <c r="C24" s="22" t="n"/>
      <c r="D24" s="35" t="n"/>
      <c r="E24" s="22" t="n"/>
      <c r="F24" s="33" t="n"/>
      <c r="G24" s="22" t="n"/>
      <c r="H24" s="7">
        <f>IF(C24="","",IFERROR(INDEX('Trades'!$G$4:$G$103,MATCH(C24,'Trades'!$B$4:$B$103,0))&amp;"",""))</f>
        <v/>
      </c>
      <c r="I24" s="7">
        <f>IF(AND(G24="Yes",H24="No"),"GST charged, not registered","")</f>
        <v/>
      </c>
      <c r="J24" s="24" t="n"/>
      <c r="K24" s="22" t="n"/>
      <c r="L24" s="24" t="n"/>
      <c r="M24" s="33" t="n"/>
      <c r="N24" s="22" t="n"/>
      <c r="O24" s="23" t="n"/>
    </row>
    <row r="25">
      <c r="A25" s="24" t="n"/>
      <c r="B25" s="22" t="n"/>
      <c r="C25" s="22" t="n"/>
      <c r="D25" s="35" t="n"/>
      <c r="E25" s="22" t="n"/>
      <c r="F25" s="33" t="n"/>
      <c r="G25" s="22" t="n"/>
      <c r="H25" s="7">
        <f>IF(C25="","",IFERROR(INDEX('Trades'!$G$4:$G$103,MATCH(C25,'Trades'!$B$4:$B$103,0))&amp;"",""))</f>
        <v/>
      </c>
      <c r="I25" s="7">
        <f>IF(AND(G25="Yes",H25="No"),"GST charged, not registered","")</f>
        <v/>
      </c>
      <c r="J25" s="24" t="n"/>
      <c r="K25" s="22" t="n"/>
      <c r="L25" s="24" t="n"/>
      <c r="M25" s="33" t="n"/>
      <c r="N25" s="22" t="n"/>
      <c r="O25" s="23" t="n"/>
    </row>
    <row r="26">
      <c r="A26" s="24" t="n"/>
      <c r="B26" s="22" t="n"/>
      <c r="C26" s="22" t="n"/>
      <c r="D26" s="35" t="n"/>
      <c r="E26" s="22" t="n"/>
      <c r="F26" s="33" t="n"/>
      <c r="G26" s="22" t="n"/>
      <c r="H26" s="7">
        <f>IF(C26="","",IFERROR(INDEX('Trades'!$G$4:$G$103,MATCH(C26,'Trades'!$B$4:$B$103,0))&amp;"",""))</f>
        <v/>
      </c>
      <c r="I26" s="7">
        <f>IF(AND(G26="Yes",H26="No"),"GST charged, not registered","")</f>
        <v/>
      </c>
      <c r="J26" s="24" t="n"/>
      <c r="K26" s="22" t="n"/>
      <c r="L26" s="24" t="n"/>
      <c r="M26" s="33" t="n"/>
      <c r="N26" s="22" t="n"/>
      <c r="O26" s="23" t="n"/>
    </row>
    <row r="27">
      <c r="A27" s="24" t="n"/>
      <c r="B27" s="22" t="n"/>
      <c r="C27" s="22" t="n"/>
      <c r="D27" s="35" t="n"/>
      <c r="E27" s="22" t="n"/>
      <c r="F27" s="33" t="n"/>
      <c r="G27" s="22" t="n"/>
      <c r="H27" s="7">
        <f>IF(C27="","",IFERROR(INDEX('Trades'!$G$4:$G$103,MATCH(C27,'Trades'!$B$4:$B$103,0))&amp;"",""))</f>
        <v/>
      </c>
      <c r="I27" s="7">
        <f>IF(AND(G27="Yes",H27="No"),"GST charged, not registered","")</f>
        <v/>
      </c>
      <c r="J27" s="24" t="n"/>
      <c r="K27" s="22" t="n"/>
      <c r="L27" s="24" t="n"/>
      <c r="M27" s="33" t="n"/>
      <c r="N27" s="22" t="n"/>
      <c r="O27" s="23" t="n"/>
    </row>
    <row r="28">
      <c r="A28" s="24" t="n"/>
      <c r="B28" s="22" t="n"/>
      <c r="C28" s="22" t="n"/>
      <c r="D28" s="35" t="n"/>
      <c r="E28" s="22" t="n"/>
      <c r="F28" s="33" t="n"/>
      <c r="G28" s="22" t="n"/>
      <c r="H28" s="7">
        <f>IF(C28="","",IFERROR(INDEX('Trades'!$G$4:$G$103,MATCH(C28,'Trades'!$B$4:$B$103,0))&amp;"",""))</f>
        <v/>
      </c>
      <c r="I28" s="7">
        <f>IF(AND(G28="Yes",H28="No"),"GST charged, not registered","")</f>
        <v/>
      </c>
      <c r="J28" s="24" t="n"/>
      <c r="K28" s="22" t="n"/>
      <c r="L28" s="24" t="n"/>
      <c r="M28" s="33" t="n"/>
      <c r="N28" s="22" t="n"/>
      <c r="O28" s="23" t="n"/>
    </row>
    <row r="29">
      <c r="A29" s="24" t="n"/>
      <c r="B29" s="22" t="n"/>
      <c r="C29" s="22" t="n"/>
      <c r="D29" s="35" t="n"/>
      <c r="E29" s="22" t="n"/>
      <c r="F29" s="33" t="n"/>
      <c r="G29" s="22" t="n"/>
      <c r="H29" s="7">
        <f>IF(C29="","",IFERROR(INDEX('Trades'!$G$4:$G$103,MATCH(C29,'Trades'!$B$4:$B$103,0))&amp;"",""))</f>
        <v/>
      </c>
      <c r="I29" s="7">
        <f>IF(AND(G29="Yes",H29="No"),"GST charged, not registered","")</f>
        <v/>
      </c>
      <c r="J29" s="24" t="n"/>
      <c r="K29" s="22" t="n"/>
      <c r="L29" s="24" t="n"/>
      <c r="M29" s="33" t="n"/>
      <c r="N29" s="22" t="n"/>
      <c r="O29" s="23" t="n"/>
    </row>
    <row r="30">
      <c r="A30" s="24" t="n"/>
      <c r="B30" s="22" t="n"/>
      <c r="C30" s="22" t="n"/>
      <c r="D30" s="35" t="n"/>
      <c r="E30" s="22" t="n"/>
      <c r="F30" s="33" t="n"/>
      <c r="G30" s="22" t="n"/>
      <c r="H30" s="7">
        <f>IF(C30="","",IFERROR(INDEX('Trades'!$G$4:$G$103,MATCH(C30,'Trades'!$B$4:$B$103,0))&amp;"",""))</f>
        <v/>
      </c>
      <c r="I30" s="7">
        <f>IF(AND(G30="Yes",H30="No"),"GST charged, not registered","")</f>
        <v/>
      </c>
      <c r="J30" s="24" t="n"/>
      <c r="K30" s="22" t="n"/>
      <c r="L30" s="24" t="n"/>
      <c r="M30" s="33" t="n"/>
      <c r="N30" s="22" t="n"/>
      <c r="O30" s="23" t="n"/>
    </row>
    <row r="31">
      <c r="A31" s="24" t="n"/>
      <c r="B31" s="22" t="n"/>
      <c r="C31" s="22" t="n"/>
      <c r="D31" s="35" t="n"/>
      <c r="E31" s="22" t="n"/>
      <c r="F31" s="33" t="n"/>
      <c r="G31" s="22" t="n"/>
      <c r="H31" s="7">
        <f>IF(C31="","",IFERROR(INDEX('Trades'!$G$4:$G$103,MATCH(C31,'Trades'!$B$4:$B$103,0))&amp;"",""))</f>
        <v/>
      </c>
      <c r="I31" s="7">
        <f>IF(AND(G31="Yes",H31="No"),"GST charged, not registered","")</f>
        <v/>
      </c>
      <c r="J31" s="24" t="n"/>
      <c r="K31" s="22" t="n"/>
      <c r="L31" s="24" t="n"/>
      <c r="M31" s="33" t="n"/>
      <c r="N31" s="22" t="n"/>
      <c r="O31" s="23" t="n"/>
    </row>
    <row r="32">
      <c r="A32" s="24" t="n"/>
      <c r="B32" s="22" t="n"/>
      <c r="C32" s="22" t="n"/>
      <c r="D32" s="35" t="n"/>
      <c r="E32" s="22" t="n"/>
      <c r="F32" s="33" t="n"/>
      <c r="G32" s="22" t="n"/>
      <c r="H32" s="7">
        <f>IF(C32="","",IFERROR(INDEX('Trades'!$G$4:$G$103,MATCH(C32,'Trades'!$B$4:$B$103,0))&amp;"",""))</f>
        <v/>
      </c>
      <c r="I32" s="7">
        <f>IF(AND(G32="Yes",H32="No"),"GST charged, not registered","")</f>
        <v/>
      </c>
      <c r="J32" s="24" t="n"/>
      <c r="K32" s="22" t="n"/>
      <c r="L32" s="24" t="n"/>
      <c r="M32" s="33" t="n"/>
      <c r="N32" s="22" t="n"/>
      <c r="O32" s="23" t="n"/>
    </row>
    <row r="33">
      <c r="A33" s="24" t="n"/>
      <c r="B33" s="22" t="n"/>
      <c r="C33" s="22" t="n"/>
      <c r="D33" s="35" t="n"/>
      <c r="E33" s="22" t="n"/>
      <c r="F33" s="33" t="n"/>
      <c r="G33" s="22" t="n"/>
      <c r="H33" s="7">
        <f>IF(C33="","",IFERROR(INDEX('Trades'!$G$4:$G$103,MATCH(C33,'Trades'!$B$4:$B$103,0))&amp;"",""))</f>
        <v/>
      </c>
      <c r="I33" s="7">
        <f>IF(AND(G33="Yes",H33="No"),"GST charged, not registered","")</f>
        <v/>
      </c>
      <c r="J33" s="24" t="n"/>
      <c r="K33" s="22" t="n"/>
      <c r="L33" s="24" t="n"/>
      <c r="M33" s="33" t="n"/>
      <c r="N33" s="22" t="n"/>
      <c r="O33" s="23" t="n"/>
    </row>
    <row r="34">
      <c r="A34" s="24" t="n"/>
      <c r="B34" s="22" t="n"/>
      <c r="C34" s="22" t="n"/>
      <c r="D34" s="35" t="n"/>
      <c r="E34" s="22" t="n"/>
      <c r="F34" s="33" t="n"/>
      <c r="G34" s="22" t="n"/>
      <c r="H34" s="7">
        <f>IF(C34="","",IFERROR(INDEX('Trades'!$G$4:$G$103,MATCH(C34,'Trades'!$B$4:$B$103,0))&amp;"",""))</f>
        <v/>
      </c>
      <c r="I34" s="7">
        <f>IF(AND(G34="Yes",H34="No"),"GST charged, not registered","")</f>
        <v/>
      </c>
      <c r="J34" s="24" t="n"/>
      <c r="K34" s="22" t="n"/>
      <c r="L34" s="24" t="n"/>
      <c r="M34" s="33" t="n"/>
      <c r="N34" s="22" t="n"/>
      <c r="O34" s="23" t="n"/>
    </row>
    <row r="35">
      <c r="A35" s="24" t="n"/>
      <c r="B35" s="22" t="n"/>
      <c r="C35" s="22" t="n"/>
      <c r="D35" s="35" t="n"/>
      <c r="E35" s="22" t="n"/>
      <c r="F35" s="33" t="n"/>
      <c r="G35" s="22" t="n"/>
      <c r="H35" s="7">
        <f>IF(C35="","",IFERROR(INDEX('Trades'!$G$4:$G$103,MATCH(C35,'Trades'!$B$4:$B$103,0))&amp;"",""))</f>
        <v/>
      </c>
      <c r="I35" s="7">
        <f>IF(AND(G35="Yes",H35="No"),"GST charged, not registered","")</f>
        <v/>
      </c>
      <c r="J35" s="24" t="n"/>
      <c r="K35" s="22" t="n"/>
      <c r="L35" s="24" t="n"/>
      <c r="M35" s="33" t="n"/>
      <c r="N35" s="22" t="n"/>
      <c r="O35" s="23" t="n"/>
    </row>
    <row r="36">
      <c r="A36" s="24" t="n"/>
      <c r="B36" s="22" t="n"/>
      <c r="C36" s="22" t="n"/>
      <c r="D36" s="35" t="n"/>
      <c r="E36" s="22" t="n"/>
      <c r="F36" s="33" t="n"/>
      <c r="G36" s="22" t="n"/>
      <c r="H36" s="7">
        <f>IF(C36="","",IFERROR(INDEX('Trades'!$G$4:$G$103,MATCH(C36,'Trades'!$B$4:$B$103,0))&amp;"",""))</f>
        <v/>
      </c>
      <c r="I36" s="7">
        <f>IF(AND(G36="Yes",H36="No"),"GST charged, not registered","")</f>
        <v/>
      </c>
      <c r="J36" s="24" t="n"/>
      <c r="K36" s="22" t="n"/>
      <c r="L36" s="24" t="n"/>
      <c r="M36" s="33" t="n"/>
      <c r="N36" s="22" t="n"/>
      <c r="O36" s="23" t="n"/>
    </row>
    <row r="37">
      <c r="A37" s="24" t="n"/>
      <c r="B37" s="22" t="n"/>
      <c r="C37" s="22" t="n"/>
      <c r="D37" s="35" t="n"/>
      <c r="E37" s="22" t="n"/>
      <c r="F37" s="33" t="n"/>
      <c r="G37" s="22" t="n"/>
      <c r="H37" s="7">
        <f>IF(C37="","",IFERROR(INDEX('Trades'!$G$4:$G$103,MATCH(C37,'Trades'!$B$4:$B$103,0))&amp;"",""))</f>
        <v/>
      </c>
      <c r="I37" s="7">
        <f>IF(AND(G37="Yes",H37="No"),"GST charged, not registered","")</f>
        <v/>
      </c>
      <c r="J37" s="24" t="n"/>
      <c r="K37" s="22" t="n"/>
      <c r="L37" s="24" t="n"/>
      <c r="M37" s="33" t="n"/>
      <c r="N37" s="22" t="n"/>
      <c r="O37" s="23" t="n"/>
    </row>
    <row r="38">
      <c r="A38" s="24" t="n"/>
      <c r="B38" s="22" t="n"/>
      <c r="C38" s="22" t="n"/>
      <c r="D38" s="35" t="n"/>
      <c r="E38" s="22" t="n"/>
      <c r="F38" s="33" t="n"/>
      <c r="G38" s="22" t="n"/>
      <c r="H38" s="7">
        <f>IF(C38="","",IFERROR(INDEX('Trades'!$G$4:$G$103,MATCH(C38,'Trades'!$B$4:$B$103,0))&amp;"",""))</f>
        <v/>
      </c>
      <c r="I38" s="7">
        <f>IF(AND(G38="Yes",H38="No"),"GST charged, not registered","")</f>
        <v/>
      </c>
      <c r="J38" s="24" t="n"/>
      <c r="K38" s="22" t="n"/>
      <c r="L38" s="24" t="n"/>
      <c r="M38" s="33" t="n"/>
      <c r="N38" s="22" t="n"/>
      <c r="O38" s="23" t="n"/>
    </row>
    <row r="39">
      <c r="A39" s="24" t="n"/>
      <c r="B39" s="22" t="n"/>
      <c r="C39" s="22" t="n"/>
      <c r="D39" s="35" t="n"/>
      <c r="E39" s="22" t="n"/>
      <c r="F39" s="33" t="n"/>
      <c r="G39" s="22" t="n"/>
      <c r="H39" s="7">
        <f>IF(C39="","",IFERROR(INDEX('Trades'!$G$4:$G$103,MATCH(C39,'Trades'!$B$4:$B$103,0))&amp;"",""))</f>
        <v/>
      </c>
      <c r="I39" s="7">
        <f>IF(AND(G39="Yes",H39="No"),"GST charged, not registered","")</f>
        <v/>
      </c>
      <c r="J39" s="24" t="n"/>
      <c r="K39" s="22" t="n"/>
      <c r="L39" s="24" t="n"/>
      <c r="M39" s="33" t="n"/>
      <c r="N39" s="22" t="n"/>
      <c r="O39" s="23" t="n"/>
    </row>
    <row r="40">
      <c r="A40" s="24" t="n"/>
      <c r="B40" s="22" t="n"/>
      <c r="C40" s="22" t="n"/>
      <c r="D40" s="35" t="n"/>
      <c r="E40" s="22" t="n"/>
      <c r="F40" s="33" t="n"/>
      <c r="G40" s="22" t="n"/>
      <c r="H40" s="7">
        <f>IF(C40="","",IFERROR(INDEX('Trades'!$G$4:$G$103,MATCH(C40,'Trades'!$B$4:$B$103,0))&amp;"",""))</f>
        <v/>
      </c>
      <c r="I40" s="7">
        <f>IF(AND(G40="Yes",H40="No"),"GST charged, not registered","")</f>
        <v/>
      </c>
      <c r="J40" s="24" t="n"/>
      <c r="K40" s="22" t="n"/>
      <c r="L40" s="24" t="n"/>
      <c r="M40" s="33" t="n"/>
      <c r="N40" s="22" t="n"/>
      <c r="O40" s="23" t="n"/>
    </row>
    <row r="41">
      <c r="A41" s="24" t="n"/>
      <c r="B41" s="22" t="n"/>
      <c r="C41" s="22" t="n"/>
      <c r="D41" s="35" t="n"/>
      <c r="E41" s="22" t="n"/>
      <c r="F41" s="33" t="n"/>
      <c r="G41" s="22" t="n"/>
      <c r="H41" s="7">
        <f>IF(C41="","",IFERROR(INDEX('Trades'!$G$4:$G$103,MATCH(C41,'Trades'!$B$4:$B$103,0))&amp;"",""))</f>
        <v/>
      </c>
      <c r="I41" s="7">
        <f>IF(AND(G41="Yes",H41="No"),"GST charged, not registered","")</f>
        <v/>
      </c>
      <c r="J41" s="24" t="n"/>
      <c r="K41" s="22" t="n"/>
      <c r="L41" s="24" t="n"/>
      <c r="M41" s="33" t="n"/>
      <c r="N41" s="22" t="n"/>
      <c r="O41" s="23" t="n"/>
    </row>
    <row r="42">
      <c r="A42" s="24" t="n"/>
      <c r="B42" s="22" t="n"/>
      <c r="C42" s="22" t="n"/>
      <c r="D42" s="35" t="n"/>
      <c r="E42" s="22" t="n"/>
      <c r="F42" s="33" t="n"/>
      <c r="G42" s="22" t="n"/>
      <c r="H42" s="7">
        <f>IF(C42="","",IFERROR(INDEX('Trades'!$G$4:$G$103,MATCH(C42,'Trades'!$B$4:$B$103,0))&amp;"",""))</f>
        <v/>
      </c>
      <c r="I42" s="7">
        <f>IF(AND(G42="Yes",H42="No"),"GST charged, not registered","")</f>
        <v/>
      </c>
      <c r="J42" s="24" t="n"/>
      <c r="K42" s="22" t="n"/>
      <c r="L42" s="24" t="n"/>
      <c r="M42" s="33" t="n"/>
      <c r="N42" s="22" t="n"/>
      <c r="O42" s="23" t="n"/>
    </row>
    <row r="43">
      <c r="A43" s="24" t="n"/>
      <c r="B43" s="22" t="n"/>
      <c r="C43" s="22" t="n"/>
      <c r="D43" s="35" t="n"/>
      <c r="E43" s="22" t="n"/>
      <c r="F43" s="33" t="n"/>
      <c r="G43" s="22" t="n"/>
      <c r="H43" s="7">
        <f>IF(C43="","",IFERROR(INDEX('Trades'!$G$4:$G$103,MATCH(C43,'Trades'!$B$4:$B$103,0))&amp;"",""))</f>
        <v/>
      </c>
      <c r="I43" s="7">
        <f>IF(AND(G43="Yes",H43="No"),"GST charged, not registered","")</f>
        <v/>
      </c>
      <c r="J43" s="24" t="n"/>
      <c r="K43" s="22" t="n"/>
      <c r="L43" s="24" t="n"/>
      <c r="M43" s="33" t="n"/>
      <c r="N43" s="22" t="n"/>
      <c r="O43" s="23" t="n"/>
    </row>
    <row r="44">
      <c r="A44" s="24" t="n"/>
      <c r="B44" s="22" t="n"/>
      <c r="C44" s="22" t="n"/>
      <c r="D44" s="35" t="n"/>
      <c r="E44" s="22" t="n"/>
      <c r="F44" s="33" t="n"/>
      <c r="G44" s="22" t="n"/>
      <c r="H44" s="7">
        <f>IF(C44="","",IFERROR(INDEX('Trades'!$G$4:$G$103,MATCH(C44,'Trades'!$B$4:$B$103,0))&amp;"",""))</f>
        <v/>
      </c>
      <c r="I44" s="7">
        <f>IF(AND(G44="Yes",H44="No"),"GST charged, not registered","")</f>
        <v/>
      </c>
      <c r="J44" s="24" t="n"/>
      <c r="K44" s="22" t="n"/>
      <c r="L44" s="24" t="n"/>
      <c r="M44" s="33" t="n"/>
      <c r="N44" s="22" t="n"/>
      <c r="O44" s="23" t="n"/>
    </row>
    <row r="45">
      <c r="A45" s="24" t="n"/>
      <c r="B45" s="22" t="n"/>
      <c r="C45" s="22" t="n"/>
      <c r="D45" s="35" t="n"/>
      <c r="E45" s="22" t="n"/>
      <c r="F45" s="33" t="n"/>
      <c r="G45" s="22" t="n"/>
      <c r="H45" s="7">
        <f>IF(C45="","",IFERROR(INDEX('Trades'!$G$4:$G$103,MATCH(C45,'Trades'!$B$4:$B$103,0))&amp;"",""))</f>
        <v/>
      </c>
      <c r="I45" s="7">
        <f>IF(AND(G45="Yes",H45="No"),"GST charged, not registered","")</f>
        <v/>
      </c>
      <c r="J45" s="24" t="n"/>
      <c r="K45" s="22" t="n"/>
      <c r="L45" s="24" t="n"/>
      <c r="M45" s="33" t="n"/>
      <c r="N45" s="22" t="n"/>
      <c r="O45" s="23" t="n"/>
    </row>
    <row r="46">
      <c r="A46" s="24" t="n"/>
      <c r="B46" s="22" t="n"/>
      <c r="C46" s="22" t="n"/>
      <c r="D46" s="35" t="n"/>
      <c r="E46" s="22" t="n"/>
      <c r="F46" s="33" t="n"/>
      <c r="G46" s="22" t="n"/>
      <c r="H46" s="7">
        <f>IF(C46="","",IFERROR(INDEX('Trades'!$G$4:$G$103,MATCH(C46,'Trades'!$B$4:$B$103,0))&amp;"",""))</f>
        <v/>
      </c>
      <c r="I46" s="7">
        <f>IF(AND(G46="Yes",H46="No"),"GST charged, not registered","")</f>
        <v/>
      </c>
      <c r="J46" s="24" t="n"/>
      <c r="K46" s="22" t="n"/>
      <c r="L46" s="24" t="n"/>
      <c r="M46" s="33" t="n"/>
      <c r="N46" s="22" t="n"/>
      <c r="O46" s="23" t="n"/>
    </row>
    <row r="47">
      <c r="A47" s="24" t="n"/>
      <c r="B47" s="22" t="n"/>
      <c r="C47" s="22" t="n"/>
      <c r="D47" s="35" t="n"/>
      <c r="E47" s="22" t="n"/>
      <c r="F47" s="33" t="n"/>
      <c r="G47" s="22" t="n"/>
      <c r="H47" s="7">
        <f>IF(C47="","",IFERROR(INDEX('Trades'!$G$4:$G$103,MATCH(C47,'Trades'!$B$4:$B$103,0))&amp;"",""))</f>
        <v/>
      </c>
      <c r="I47" s="7">
        <f>IF(AND(G47="Yes",H47="No"),"GST charged, not registered","")</f>
        <v/>
      </c>
      <c r="J47" s="24" t="n"/>
      <c r="K47" s="22" t="n"/>
      <c r="L47" s="24" t="n"/>
      <c r="M47" s="33" t="n"/>
      <c r="N47" s="22" t="n"/>
      <c r="O47" s="23" t="n"/>
    </row>
    <row r="48">
      <c r="A48" s="24" t="n"/>
      <c r="B48" s="22" t="n"/>
      <c r="C48" s="22" t="n"/>
      <c r="D48" s="35" t="n"/>
      <c r="E48" s="22" t="n"/>
      <c r="F48" s="33" t="n"/>
      <c r="G48" s="22" t="n"/>
      <c r="H48" s="7">
        <f>IF(C48="","",IFERROR(INDEX('Trades'!$G$4:$G$103,MATCH(C48,'Trades'!$B$4:$B$103,0))&amp;"",""))</f>
        <v/>
      </c>
      <c r="I48" s="7">
        <f>IF(AND(G48="Yes",H48="No"),"GST charged, not registered","")</f>
        <v/>
      </c>
      <c r="J48" s="24" t="n"/>
      <c r="K48" s="22" t="n"/>
      <c r="L48" s="24" t="n"/>
      <c r="M48" s="33" t="n"/>
      <c r="N48" s="22" t="n"/>
      <c r="O48" s="23" t="n"/>
    </row>
    <row r="49">
      <c r="A49" s="24" t="n"/>
      <c r="B49" s="22" t="n"/>
      <c r="C49" s="22" t="n"/>
      <c r="D49" s="35" t="n"/>
      <c r="E49" s="22" t="n"/>
      <c r="F49" s="33" t="n"/>
      <c r="G49" s="22" t="n"/>
      <c r="H49" s="7">
        <f>IF(C49="","",IFERROR(INDEX('Trades'!$G$4:$G$103,MATCH(C49,'Trades'!$B$4:$B$103,0))&amp;"",""))</f>
        <v/>
      </c>
      <c r="I49" s="7">
        <f>IF(AND(G49="Yes",H49="No"),"GST charged, not registered","")</f>
        <v/>
      </c>
      <c r="J49" s="24" t="n"/>
      <c r="K49" s="22" t="n"/>
      <c r="L49" s="24" t="n"/>
      <c r="M49" s="33" t="n"/>
      <c r="N49" s="22" t="n"/>
      <c r="O49" s="23" t="n"/>
    </row>
    <row r="50">
      <c r="A50" s="24" t="n"/>
      <c r="B50" s="22" t="n"/>
      <c r="C50" s="22" t="n"/>
      <c r="D50" s="35" t="n"/>
      <c r="E50" s="22" t="n"/>
      <c r="F50" s="33" t="n"/>
      <c r="G50" s="22" t="n"/>
      <c r="H50" s="7">
        <f>IF(C50="","",IFERROR(INDEX('Trades'!$G$4:$G$103,MATCH(C50,'Trades'!$B$4:$B$103,0))&amp;"",""))</f>
        <v/>
      </c>
      <c r="I50" s="7">
        <f>IF(AND(G50="Yes",H50="No"),"GST charged, not registered","")</f>
        <v/>
      </c>
      <c r="J50" s="24" t="n"/>
      <c r="K50" s="22" t="n"/>
      <c r="L50" s="24" t="n"/>
      <c r="M50" s="33" t="n"/>
      <c r="N50" s="22" t="n"/>
      <c r="O50" s="23" t="n"/>
    </row>
    <row r="51">
      <c r="A51" s="24" t="n"/>
      <c r="B51" s="22" t="n"/>
      <c r="C51" s="22" t="n"/>
      <c r="D51" s="35" t="n"/>
      <c r="E51" s="22" t="n"/>
      <c r="F51" s="33" t="n"/>
      <c r="G51" s="22" t="n"/>
      <c r="H51" s="7">
        <f>IF(C51="","",IFERROR(INDEX('Trades'!$G$4:$G$103,MATCH(C51,'Trades'!$B$4:$B$103,0))&amp;"",""))</f>
        <v/>
      </c>
      <c r="I51" s="7">
        <f>IF(AND(G51="Yes",H51="No"),"GST charged, not registered","")</f>
        <v/>
      </c>
      <c r="J51" s="24" t="n"/>
      <c r="K51" s="22" t="n"/>
      <c r="L51" s="24" t="n"/>
      <c r="M51" s="33" t="n"/>
      <c r="N51" s="22" t="n"/>
      <c r="O51" s="23" t="n"/>
    </row>
    <row r="52">
      <c r="A52" s="24" t="n"/>
      <c r="B52" s="22" t="n"/>
      <c r="C52" s="22" t="n"/>
      <c r="D52" s="35" t="n"/>
      <c r="E52" s="22" t="n"/>
      <c r="F52" s="33" t="n"/>
      <c r="G52" s="22" t="n"/>
      <c r="H52" s="7">
        <f>IF(C52="","",IFERROR(INDEX('Trades'!$G$4:$G$103,MATCH(C52,'Trades'!$B$4:$B$103,0))&amp;"",""))</f>
        <v/>
      </c>
      <c r="I52" s="7">
        <f>IF(AND(G52="Yes",H52="No"),"GST charged, not registered","")</f>
        <v/>
      </c>
      <c r="J52" s="24" t="n"/>
      <c r="K52" s="22" t="n"/>
      <c r="L52" s="24" t="n"/>
      <c r="M52" s="33" t="n"/>
      <c r="N52" s="22" t="n"/>
      <c r="O52" s="23" t="n"/>
    </row>
    <row r="53">
      <c r="A53" s="24" t="n"/>
      <c r="B53" s="22" t="n"/>
      <c r="C53" s="22" t="n"/>
      <c r="D53" s="35" t="n"/>
      <c r="E53" s="22" t="n"/>
      <c r="F53" s="33" t="n"/>
      <c r="G53" s="22" t="n"/>
      <c r="H53" s="7">
        <f>IF(C53="","",IFERROR(INDEX('Trades'!$G$4:$G$103,MATCH(C53,'Trades'!$B$4:$B$103,0))&amp;"",""))</f>
        <v/>
      </c>
      <c r="I53" s="7">
        <f>IF(AND(G53="Yes",H53="No"),"GST charged, not registered","")</f>
        <v/>
      </c>
      <c r="J53" s="24" t="n"/>
      <c r="K53" s="22" t="n"/>
      <c r="L53" s="24" t="n"/>
      <c r="M53" s="33" t="n"/>
      <c r="N53" s="22" t="n"/>
      <c r="O53" s="23" t="n"/>
    </row>
    <row r="54">
      <c r="A54" s="24" t="n"/>
      <c r="B54" s="22" t="n"/>
      <c r="C54" s="22" t="n"/>
      <c r="D54" s="35" t="n"/>
      <c r="E54" s="22" t="n"/>
      <c r="F54" s="33" t="n"/>
      <c r="G54" s="22" t="n"/>
      <c r="H54" s="7">
        <f>IF(C54="","",IFERROR(INDEX('Trades'!$G$4:$G$103,MATCH(C54,'Trades'!$B$4:$B$103,0))&amp;"",""))</f>
        <v/>
      </c>
      <c r="I54" s="7">
        <f>IF(AND(G54="Yes",H54="No"),"GST charged, not registered","")</f>
        <v/>
      </c>
      <c r="J54" s="24" t="n"/>
      <c r="K54" s="22" t="n"/>
      <c r="L54" s="24" t="n"/>
      <c r="M54" s="33" t="n"/>
      <c r="N54" s="22" t="n"/>
      <c r="O54" s="23" t="n"/>
    </row>
    <row r="55">
      <c r="A55" s="24" t="n"/>
      <c r="B55" s="22" t="n"/>
      <c r="C55" s="22" t="n"/>
      <c r="D55" s="35" t="n"/>
      <c r="E55" s="22" t="n"/>
      <c r="F55" s="33" t="n"/>
      <c r="G55" s="22" t="n"/>
      <c r="H55" s="7">
        <f>IF(C55="","",IFERROR(INDEX('Trades'!$G$4:$G$103,MATCH(C55,'Trades'!$B$4:$B$103,0))&amp;"",""))</f>
        <v/>
      </c>
      <c r="I55" s="7">
        <f>IF(AND(G55="Yes",H55="No"),"GST charged, not registered","")</f>
        <v/>
      </c>
      <c r="J55" s="24" t="n"/>
      <c r="K55" s="22" t="n"/>
      <c r="L55" s="24" t="n"/>
      <c r="M55" s="33" t="n"/>
      <c r="N55" s="22" t="n"/>
      <c r="O55" s="23" t="n"/>
    </row>
    <row r="56">
      <c r="A56" s="24" t="n"/>
      <c r="B56" s="22" t="n"/>
      <c r="C56" s="22" t="n"/>
      <c r="D56" s="35" t="n"/>
      <c r="E56" s="22" t="n"/>
      <c r="F56" s="33" t="n"/>
      <c r="G56" s="22" t="n"/>
      <c r="H56" s="7">
        <f>IF(C56="","",IFERROR(INDEX('Trades'!$G$4:$G$103,MATCH(C56,'Trades'!$B$4:$B$103,0))&amp;"",""))</f>
        <v/>
      </c>
      <c r="I56" s="7">
        <f>IF(AND(G56="Yes",H56="No"),"GST charged, not registered","")</f>
        <v/>
      </c>
      <c r="J56" s="24" t="n"/>
      <c r="K56" s="22" t="n"/>
      <c r="L56" s="24" t="n"/>
      <c r="M56" s="33" t="n"/>
      <c r="N56" s="22" t="n"/>
      <c r="O56" s="23" t="n"/>
    </row>
    <row r="57">
      <c r="A57" s="24" t="n"/>
      <c r="B57" s="22" t="n"/>
      <c r="C57" s="22" t="n"/>
      <c r="D57" s="35" t="n"/>
      <c r="E57" s="22" t="n"/>
      <c r="F57" s="33" t="n"/>
      <c r="G57" s="22" t="n"/>
      <c r="H57" s="7">
        <f>IF(C57="","",IFERROR(INDEX('Trades'!$G$4:$G$103,MATCH(C57,'Trades'!$B$4:$B$103,0))&amp;"",""))</f>
        <v/>
      </c>
      <c r="I57" s="7">
        <f>IF(AND(G57="Yes",H57="No"),"GST charged, not registered","")</f>
        <v/>
      </c>
      <c r="J57" s="24" t="n"/>
      <c r="K57" s="22" t="n"/>
      <c r="L57" s="24" t="n"/>
      <c r="M57" s="33" t="n"/>
      <c r="N57" s="22" t="n"/>
      <c r="O57" s="23" t="n"/>
    </row>
    <row r="58">
      <c r="A58" s="24" t="n"/>
      <c r="B58" s="22" t="n"/>
      <c r="C58" s="22" t="n"/>
      <c r="D58" s="35" t="n"/>
      <c r="E58" s="22" t="n"/>
      <c r="F58" s="33" t="n"/>
      <c r="G58" s="22" t="n"/>
      <c r="H58" s="7">
        <f>IF(C58="","",IFERROR(INDEX('Trades'!$G$4:$G$103,MATCH(C58,'Trades'!$B$4:$B$103,0))&amp;"",""))</f>
        <v/>
      </c>
      <c r="I58" s="7">
        <f>IF(AND(G58="Yes",H58="No"),"GST charged, not registered","")</f>
        <v/>
      </c>
      <c r="J58" s="24" t="n"/>
      <c r="K58" s="22" t="n"/>
      <c r="L58" s="24" t="n"/>
      <c r="M58" s="33" t="n"/>
      <c r="N58" s="22" t="n"/>
      <c r="O58" s="23" t="n"/>
    </row>
    <row r="59">
      <c r="A59" s="24" t="n"/>
      <c r="B59" s="22" t="n"/>
      <c r="C59" s="22" t="n"/>
      <c r="D59" s="35" t="n"/>
      <c r="E59" s="22" t="n"/>
      <c r="F59" s="33" t="n"/>
      <c r="G59" s="22" t="n"/>
      <c r="H59" s="7">
        <f>IF(C59="","",IFERROR(INDEX('Trades'!$G$4:$G$103,MATCH(C59,'Trades'!$B$4:$B$103,0))&amp;"",""))</f>
        <v/>
      </c>
      <c r="I59" s="7">
        <f>IF(AND(G59="Yes",H59="No"),"GST charged, not registered","")</f>
        <v/>
      </c>
      <c r="J59" s="24" t="n"/>
      <c r="K59" s="22" t="n"/>
      <c r="L59" s="24" t="n"/>
      <c r="M59" s="33" t="n"/>
      <c r="N59" s="22" t="n"/>
      <c r="O59" s="23" t="n"/>
    </row>
    <row r="60">
      <c r="A60" s="24" t="n"/>
      <c r="B60" s="22" t="n"/>
      <c r="C60" s="22" t="n"/>
      <c r="D60" s="35" t="n"/>
      <c r="E60" s="22" t="n"/>
      <c r="F60" s="33" t="n"/>
      <c r="G60" s="22" t="n"/>
      <c r="H60" s="7">
        <f>IF(C60="","",IFERROR(INDEX('Trades'!$G$4:$G$103,MATCH(C60,'Trades'!$B$4:$B$103,0))&amp;"",""))</f>
        <v/>
      </c>
      <c r="I60" s="7">
        <f>IF(AND(G60="Yes",H60="No"),"GST charged, not registered","")</f>
        <v/>
      </c>
      <c r="J60" s="24" t="n"/>
      <c r="K60" s="22" t="n"/>
      <c r="L60" s="24" t="n"/>
      <c r="M60" s="33" t="n"/>
      <c r="N60" s="22" t="n"/>
      <c r="O60" s="23" t="n"/>
    </row>
    <row r="61">
      <c r="A61" s="24" t="n"/>
      <c r="B61" s="22" t="n"/>
      <c r="C61" s="22" t="n"/>
      <c r="D61" s="35" t="n"/>
      <c r="E61" s="22" t="n"/>
      <c r="F61" s="33" t="n"/>
      <c r="G61" s="22" t="n"/>
      <c r="H61" s="7">
        <f>IF(C61="","",IFERROR(INDEX('Trades'!$G$4:$G$103,MATCH(C61,'Trades'!$B$4:$B$103,0))&amp;"",""))</f>
        <v/>
      </c>
      <c r="I61" s="7">
        <f>IF(AND(G61="Yes",H61="No"),"GST charged, not registered","")</f>
        <v/>
      </c>
      <c r="J61" s="24" t="n"/>
      <c r="K61" s="22" t="n"/>
      <c r="L61" s="24" t="n"/>
      <c r="M61" s="33" t="n"/>
      <c r="N61" s="22" t="n"/>
      <c r="O61" s="23" t="n"/>
    </row>
    <row r="62">
      <c r="A62" s="24" t="n"/>
      <c r="B62" s="22" t="n"/>
      <c r="C62" s="22" t="n"/>
      <c r="D62" s="35" t="n"/>
      <c r="E62" s="22" t="n"/>
      <c r="F62" s="33" t="n"/>
      <c r="G62" s="22" t="n"/>
      <c r="H62" s="7">
        <f>IF(C62="","",IFERROR(INDEX('Trades'!$G$4:$G$103,MATCH(C62,'Trades'!$B$4:$B$103,0))&amp;"",""))</f>
        <v/>
      </c>
      <c r="I62" s="7">
        <f>IF(AND(G62="Yes",H62="No"),"GST charged, not registered","")</f>
        <v/>
      </c>
      <c r="J62" s="24" t="n"/>
      <c r="K62" s="22" t="n"/>
      <c r="L62" s="24" t="n"/>
      <c r="M62" s="33" t="n"/>
      <c r="N62" s="22" t="n"/>
      <c r="O62" s="23" t="n"/>
    </row>
    <row r="63">
      <c r="A63" s="24" t="n"/>
      <c r="B63" s="22" t="n"/>
      <c r="C63" s="22" t="n"/>
      <c r="D63" s="35" t="n"/>
      <c r="E63" s="22" t="n"/>
      <c r="F63" s="33" t="n"/>
      <c r="G63" s="22" t="n"/>
      <c r="H63" s="7">
        <f>IF(C63="","",IFERROR(INDEX('Trades'!$G$4:$G$103,MATCH(C63,'Trades'!$B$4:$B$103,0))&amp;"",""))</f>
        <v/>
      </c>
      <c r="I63" s="7">
        <f>IF(AND(G63="Yes",H63="No"),"GST charged, not registered","")</f>
        <v/>
      </c>
      <c r="J63" s="24" t="n"/>
      <c r="K63" s="22" t="n"/>
      <c r="L63" s="24" t="n"/>
      <c r="M63" s="33" t="n"/>
      <c r="N63" s="22" t="n"/>
      <c r="O63" s="23" t="n"/>
    </row>
    <row r="64">
      <c r="A64" s="24" t="n"/>
      <c r="B64" s="22" t="n"/>
      <c r="C64" s="22" t="n"/>
      <c r="D64" s="35" t="n"/>
      <c r="E64" s="22" t="n"/>
      <c r="F64" s="33" t="n"/>
      <c r="G64" s="22" t="n"/>
      <c r="H64" s="7">
        <f>IF(C64="","",IFERROR(INDEX('Trades'!$G$4:$G$103,MATCH(C64,'Trades'!$B$4:$B$103,0))&amp;"",""))</f>
        <v/>
      </c>
      <c r="I64" s="7">
        <f>IF(AND(G64="Yes",H64="No"),"GST charged, not registered","")</f>
        <v/>
      </c>
      <c r="J64" s="24" t="n"/>
      <c r="K64" s="22" t="n"/>
      <c r="L64" s="24" t="n"/>
      <c r="M64" s="33" t="n"/>
      <c r="N64" s="22" t="n"/>
      <c r="O64" s="23" t="n"/>
    </row>
    <row r="65">
      <c r="A65" s="24" t="n"/>
      <c r="B65" s="22" t="n"/>
      <c r="C65" s="22" t="n"/>
      <c r="D65" s="35" t="n"/>
      <c r="E65" s="22" t="n"/>
      <c r="F65" s="33" t="n"/>
      <c r="G65" s="22" t="n"/>
      <c r="H65" s="7">
        <f>IF(C65="","",IFERROR(INDEX('Trades'!$G$4:$G$103,MATCH(C65,'Trades'!$B$4:$B$103,0))&amp;"",""))</f>
        <v/>
      </c>
      <c r="I65" s="7">
        <f>IF(AND(G65="Yes",H65="No"),"GST charged, not registered","")</f>
        <v/>
      </c>
      <c r="J65" s="24" t="n"/>
      <c r="K65" s="22" t="n"/>
      <c r="L65" s="24" t="n"/>
      <c r="M65" s="33" t="n"/>
      <c r="N65" s="22" t="n"/>
      <c r="O65" s="23" t="n"/>
    </row>
    <row r="66">
      <c r="A66" s="24" t="n"/>
      <c r="B66" s="22" t="n"/>
      <c r="C66" s="22" t="n"/>
      <c r="D66" s="35" t="n"/>
      <c r="E66" s="22" t="n"/>
      <c r="F66" s="33" t="n"/>
      <c r="G66" s="22" t="n"/>
      <c r="H66" s="7">
        <f>IF(C66="","",IFERROR(INDEX('Trades'!$G$4:$G$103,MATCH(C66,'Trades'!$B$4:$B$103,0))&amp;"",""))</f>
        <v/>
      </c>
      <c r="I66" s="7">
        <f>IF(AND(G66="Yes",H66="No"),"GST charged, not registered","")</f>
        <v/>
      </c>
      <c r="J66" s="24" t="n"/>
      <c r="K66" s="22" t="n"/>
      <c r="L66" s="24" t="n"/>
      <c r="M66" s="33" t="n"/>
      <c r="N66" s="22" t="n"/>
      <c r="O66" s="23" t="n"/>
    </row>
    <row r="67">
      <c r="A67" s="24" t="n"/>
      <c r="B67" s="22" t="n"/>
      <c r="C67" s="22" t="n"/>
      <c r="D67" s="35" t="n"/>
      <c r="E67" s="22" t="n"/>
      <c r="F67" s="33" t="n"/>
      <c r="G67" s="22" t="n"/>
      <c r="H67" s="7">
        <f>IF(C67="","",IFERROR(INDEX('Trades'!$G$4:$G$103,MATCH(C67,'Trades'!$B$4:$B$103,0))&amp;"",""))</f>
        <v/>
      </c>
      <c r="I67" s="7">
        <f>IF(AND(G67="Yes",H67="No"),"GST charged, not registered","")</f>
        <v/>
      </c>
      <c r="J67" s="24" t="n"/>
      <c r="K67" s="22" t="n"/>
      <c r="L67" s="24" t="n"/>
      <c r="M67" s="33" t="n"/>
      <c r="N67" s="22" t="n"/>
      <c r="O67" s="23" t="n"/>
    </row>
    <row r="68">
      <c r="A68" s="24" t="n"/>
      <c r="B68" s="22" t="n"/>
      <c r="C68" s="22" t="n"/>
      <c r="D68" s="35" t="n"/>
      <c r="E68" s="22" t="n"/>
      <c r="F68" s="33" t="n"/>
      <c r="G68" s="22" t="n"/>
      <c r="H68" s="7">
        <f>IF(C68="","",IFERROR(INDEX('Trades'!$G$4:$G$103,MATCH(C68,'Trades'!$B$4:$B$103,0))&amp;"",""))</f>
        <v/>
      </c>
      <c r="I68" s="7">
        <f>IF(AND(G68="Yes",H68="No"),"GST charged, not registered","")</f>
        <v/>
      </c>
      <c r="J68" s="24" t="n"/>
      <c r="K68" s="22" t="n"/>
      <c r="L68" s="24" t="n"/>
      <c r="M68" s="33" t="n"/>
      <c r="N68" s="22" t="n"/>
      <c r="O68" s="23" t="n"/>
    </row>
    <row r="69">
      <c r="A69" s="24" t="n"/>
      <c r="B69" s="22" t="n"/>
      <c r="C69" s="22" t="n"/>
      <c r="D69" s="35" t="n"/>
      <c r="E69" s="22" t="n"/>
      <c r="F69" s="33" t="n"/>
      <c r="G69" s="22" t="n"/>
      <c r="H69" s="7">
        <f>IF(C69="","",IFERROR(INDEX('Trades'!$G$4:$G$103,MATCH(C69,'Trades'!$B$4:$B$103,0))&amp;"",""))</f>
        <v/>
      </c>
      <c r="I69" s="7">
        <f>IF(AND(G69="Yes",H69="No"),"GST charged, not registered","")</f>
        <v/>
      </c>
      <c r="J69" s="24" t="n"/>
      <c r="K69" s="22" t="n"/>
      <c r="L69" s="24" t="n"/>
      <c r="M69" s="33" t="n"/>
      <c r="N69" s="22" t="n"/>
      <c r="O69" s="23" t="n"/>
    </row>
    <row r="70">
      <c r="A70" s="24" t="n"/>
      <c r="B70" s="22" t="n"/>
      <c r="C70" s="22" t="n"/>
      <c r="D70" s="35" t="n"/>
      <c r="E70" s="22" t="n"/>
      <c r="F70" s="33" t="n"/>
      <c r="G70" s="22" t="n"/>
      <c r="H70" s="7">
        <f>IF(C70="","",IFERROR(INDEX('Trades'!$G$4:$G$103,MATCH(C70,'Trades'!$B$4:$B$103,0))&amp;"",""))</f>
        <v/>
      </c>
      <c r="I70" s="7">
        <f>IF(AND(G70="Yes",H70="No"),"GST charged, not registered","")</f>
        <v/>
      </c>
      <c r="J70" s="24" t="n"/>
      <c r="K70" s="22" t="n"/>
      <c r="L70" s="24" t="n"/>
      <c r="M70" s="33" t="n"/>
      <c r="N70" s="22" t="n"/>
      <c r="O70" s="23" t="n"/>
    </row>
    <row r="71">
      <c r="A71" s="24" t="n"/>
      <c r="B71" s="22" t="n"/>
      <c r="C71" s="22" t="n"/>
      <c r="D71" s="35" t="n"/>
      <c r="E71" s="22" t="n"/>
      <c r="F71" s="33" t="n"/>
      <c r="G71" s="22" t="n"/>
      <c r="H71" s="7">
        <f>IF(C71="","",IFERROR(INDEX('Trades'!$G$4:$G$103,MATCH(C71,'Trades'!$B$4:$B$103,0))&amp;"",""))</f>
        <v/>
      </c>
      <c r="I71" s="7">
        <f>IF(AND(G71="Yes",H71="No"),"GST charged, not registered","")</f>
        <v/>
      </c>
      <c r="J71" s="24" t="n"/>
      <c r="K71" s="22" t="n"/>
      <c r="L71" s="24" t="n"/>
      <c r="M71" s="33" t="n"/>
      <c r="N71" s="22" t="n"/>
      <c r="O71" s="23" t="n"/>
    </row>
    <row r="72">
      <c r="A72" s="24" t="n"/>
      <c r="B72" s="22" t="n"/>
      <c r="C72" s="22" t="n"/>
      <c r="D72" s="35" t="n"/>
      <c r="E72" s="22" t="n"/>
      <c r="F72" s="33" t="n"/>
      <c r="G72" s="22" t="n"/>
      <c r="H72" s="7">
        <f>IF(C72="","",IFERROR(INDEX('Trades'!$G$4:$G$103,MATCH(C72,'Trades'!$B$4:$B$103,0))&amp;"",""))</f>
        <v/>
      </c>
      <c r="I72" s="7">
        <f>IF(AND(G72="Yes",H72="No"),"GST charged, not registered","")</f>
        <v/>
      </c>
      <c r="J72" s="24" t="n"/>
      <c r="K72" s="22" t="n"/>
      <c r="L72" s="24" t="n"/>
      <c r="M72" s="33" t="n"/>
      <c r="N72" s="22" t="n"/>
      <c r="O72" s="23" t="n"/>
    </row>
    <row r="73">
      <c r="A73" s="24" t="n"/>
      <c r="B73" s="22" t="n"/>
      <c r="C73" s="22" t="n"/>
      <c r="D73" s="35" t="n"/>
      <c r="E73" s="22" t="n"/>
      <c r="F73" s="33" t="n"/>
      <c r="G73" s="22" t="n"/>
      <c r="H73" s="7">
        <f>IF(C73="","",IFERROR(INDEX('Trades'!$G$4:$G$103,MATCH(C73,'Trades'!$B$4:$B$103,0))&amp;"",""))</f>
        <v/>
      </c>
      <c r="I73" s="7">
        <f>IF(AND(G73="Yes",H73="No"),"GST charged, not registered","")</f>
        <v/>
      </c>
      <c r="J73" s="24" t="n"/>
      <c r="K73" s="22" t="n"/>
      <c r="L73" s="24" t="n"/>
      <c r="M73" s="33" t="n"/>
      <c r="N73" s="22" t="n"/>
      <c r="O73" s="23" t="n"/>
    </row>
    <row r="74">
      <c r="A74" s="24" t="n"/>
      <c r="B74" s="22" t="n"/>
      <c r="C74" s="22" t="n"/>
      <c r="D74" s="35" t="n"/>
      <c r="E74" s="22" t="n"/>
      <c r="F74" s="33" t="n"/>
      <c r="G74" s="22" t="n"/>
      <c r="H74" s="7">
        <f>IF(C74="","",IFERROR(INDEX('Trades'!$G$4:$G$103,MATCH(C74,'Trades'!$B$4:$B$103,0))&amp;"",""))</f>
        <v/>
      </c>
      <c r="I74" s="7">
        <f>IF(AND(G74="Yes",H74="No"),"GST charged, not registered","")</f>
        <v/>
      </c>
      <c r="J74" s="24" t="n"/>
      <c r="K74" s="22" t="n"/>
      <c r="L74" s="24" t="n"/>
      <c r="M74" s="33" t="n"/>
      <c r="N74" s="22" t="n"/>
      <c r="O74" s="23" t="n"/>
    </row>
    <row r="75">
      <c r="A75" s="24" t="n"/>
      <c r="B75" s="22" t="n"/>
      <c r="C75" s="22" t="n"/>
      <c r="D75" s="35" t="n"/>
      <c r="E75" s="22" t="n"/>
      <c r="F75" s="33" t="n"/>
      <c r="G75" s="22" t="n"/>
      <c r="H75" s="7">
        <f>IF(C75="","",IFERROR(INDEX('Trades'!$G$4:$G$103,MATCH(C75,'Trades'!$B$4:$B$103,0))&amp;"",""))</f>
        <v/>
      </c>
      <c r="I75" s="7">
        <f>IF(AND(G75="Yes",H75="No"),"GST charged, not registered","")</f>
        <v/>
      </c>
      <c r="J75" s="24" t="n"/>
      <c r="K75" s="22" t="n"/>
      <c r="L75" s="24" t="n"/>
      <c r="M75" s="33" t="n"/>
      <c r="N75" s="22" t="n"/>
      <c r="O75" s="23" t="n"/>
    </row>
    <row r="76">
      <c r="A76" s="24" t="n"/>
      <c r="B76" s="22" t="n"/>
      <c r="C76" s="22" t="n"/>
      <c r="D76" s="35" t="n"/>
      <c r="E76" s="22" t="n"/>
      <c r="F76" s="33" t="n"/>
      <c r="G76" s="22" t="n"/>
      <c r="H76" s="7">
        <f>IF(C76="","",IFERROR(INDEX('Trades'!$G$4:$G$103,MATCH(C76,'Trades'!$B$4:$B$103,0))&amp;"",""))</f>
        <v/>
      </c>
      <c r="I76" s="7">
        <f>IF(AND(G76="Yes",H76="No"),"GST charged, not registered","")</f>
        <v/>
      </c>
      <c r="J76" s="24" t="n"/>
      <c r="K76" s="22" t="n"/>
      <c r="L76" s="24" t="n"/>
      <c r="M76" s="33" t="n"/>
      <c r="N76" s="22" t="n"/>
      <c r="O76" s="23" t="n"/>
    </row>
    <row r="77">
      <c r="A77" s="24" t="n"/>
      <c r="B77" s="22" t="n"/>
      <c r="C77" s="22" t="n"/>
      <c r="D77" s="35" t="n"/>
      <c r="E77" s="22" t="n"/>
      <c r="F77" s="33" t="n"/>
      <c r="G77" s="22" t="n"/>
      <c r="H77" s="7">
        <f>IF(C77="","",IFERROR(INDEX('Trades'!$G$4:$G$103,MATCH(C77,'Trades'!$B$4:$B$103,0))&amp;"",""))</f>
        <v/>
      </c>
      <c r="I77" s="7">
        <f>IF(AND(G77="Yes",H77="No"),"GST charged, not registered","")</f>
        <v/>
      </c>
      <c r="J77" s="24" t="n"/>
      <c r="K77" s="22" t="n"/>
      <c r="L77" s="24" t="n"/>
      <c r="M77" s="33" t="n"/>
      <c r="N77" s="22" t="n"/>
      <c r="O77" s="23" t="n"/>
    </row>
    <row r="78">
      <c r="A78" s="24" t="n"/>
      <c r="B78" s="22" t="n"/>
      <c r="C78" s="22" t="n"/>
      <c r="D78" s="35" t="n"/>
      <c r="E78" s="22" t="n"/>
      <c r="F78" s="33" t="n"/>
      <c r="G78" s="22" t="n"/>
      <c r="H78" s="7">
        <f>IF(C78="","",IFERROR(INDEX('Trades'!$G$4:$G$103,MATCH(C78,'Trades'!$B$4:$B$103,0))&amp;"",""))</f>
        <v/>
      </c>
      <c r="I78" s="7">
        <f>IF(AND(G78="Yes",H78="No"),"GST charged, not registered","")</f>
        <v/>
      </c>
      <c r="J78" s="24" t="n"/>
      <c r="K78" s="22" t="n"/>
      <c r="L78" s="24" t="n"/>
      <c r="M78" s="33" t="n"/>
      <c r="N78" s="22" t="n"/>
      <c r="O78" s="23" t="n"/>
    </row>
    <row r="79">
      <c r="A79" s="24" t="n"/>
      <c r="B79" s="22" t="n"/>
      <c r="C79" s="22" t="n"/>
      <c r="D79" s="35" t="n"/>
      <c r="E79" s="22" t="n"/>
      <c r="F79" s="33" t="n"/>
      <c r="G79" s="22" t="n"/>
      <c r="H79" s="7">
        <f>IF(C79="","",IFERROR(INDEX('Trades'!$G$4:$G$103,MATCH(C79,'Trades'!$B$4:$B$103,0))&amp;"",""))</f>
        <v/>
      </c>
      <c r="I79" s="7">
        <f>IF(AND(G79="Yes",H79="No"),"GST charged, not registered","")</f>
        <v/>
      </c>
      <c r="J79" s="24" t="n"/>
      <c r="K79" s="22" t="n"/>
      <c r="L79" s="24" t="n"/>
      <c r="M79" s="33" t="n"/>
      <c r="N79" s="22" t="n"/>
      <c r="O79" s="23" t="n"/>
    </row>
    <row r="80">
      <c r="A80" s="24" t="n"/>
      <c r="B80" s="22" t="n"/>
      <c r="C80" s="22" t="n"/>
      <c r="D80" s="35" t="n"/>
      <c r="E80" s="22" t="n"/>
      <c r="F80" s="33" t="n"/>
      <c r="G80" s="22" t="n"/>
      <c r="H80" s="7">
        <f>IF(C80="","",IFERROR(INDEX('Trades'!$G$4:$G$103,MATCH(C80,'Trades'!$B$4:$B$103,0))&amp;"",""))</f>
        <v/>
      </c>
      <c r="I80" s="7">
        <f>IF(AND(G80="Yes",H80="No"),"GST charged, not registered","")</f>
        <v/>
      </c>
      <c r="J80" s="24" t="n"/>
      <c r="K80" s="22" t="n"/>
      <c r="L80" s="24" t="n"/>
      <c r="M80" s="33" t="n"/>
      <c r="N80" s="22" t="n"/>
      <c r="O80" s="23" t="n"/>
    </row>
    <row r="81">
      <c r="A81" s="24" t="n"/>
      <c r="B81" s="22" t="n"/>
      <c r="C81" s="22" t="n"/>
      <c r="D81" s="35" t="n"/>
      <c r="E81" s="22" t="n"/>
      <c r="F81" s="33" t="n"/>
      <c r="G81" s="22" t="n"/>
      <c r="H81" s="7">
        <f>IF(C81="","",IFERROR(INDEX('Trades'!$G$4:$G$103,MATCH(C81,'Trades'!$B$4:$B$103,0))&amp;"",""))</f>
        <v/>
      </c>
      <c r="I81" s="7">
        <f>IF(AND(G81="Yes",H81="No"),"GST charged, not registered","")</f>
        <v/>
      </c>
      <c r="J81" s="24" t="n"/>
      <c r="K81" s="22" t="n"/>
      <c r="L81" s="24" t="n"/>
      <c r="M81" s="33" t="n"/>
      <c r="N81" s="22" t="n"/>
      <c r="O81" s="23" t="n"/>
    </row>
    <row r="82">
      <c r="A82" s="24" t="n"/>
      <c r="B82" s="22" t="n"/>
      <c r="C82" s="22" t="n"/>
      <c r="D82" s="35" t="n"/>
      <c r="E82" s="22" t="n"/>
      <c r="F82" s="33" t="n"/>
      <c r="G82" s="22" t="n"/>
      <c r="H82" s="7">
        <f>IF(C82="","",IFERROR(INDEX('Trades'!$G$4:$G$103,MATCH(C82,'Trades'!$B$4:$B$103,0))&amp;"",""))</f>
        <v/>
      </c>
      <c r="I82" s="7">
        <f>IF(AND(G82="Yes",H82="No"),"GST charged, not registered","")</f>
        <v/>
      </c>
      <c r="J82" s="24" t="n"/>
      <c r="K82" s="22" t="n"/>
      <c r="L82" s="24" t="n"/>
      <c r="M82" s="33" t="n"/>
      <c r="N82" s="22" t="n"/>
      <c r="O82" s="23" t="n"/>
    </row>
    <row r="83">
      <c r="A83" s="24" t="n"/>
      <c r="B83" s="22" t="n"/>
      <c r="C83" s="22" t="n"/>
      <c r="D83" s="35" t="n"/>
      <c r="E83" s="22" t="n"/>
      <c r="F83" s="33" t="n"/>
      <c r="G83" s="22" t="n"/>
      <c r="H83" s="7">
        <f>IF(C83="","",IFERROR(INDEX('Trades'!$G$4:$G$103,MATCH(C83,'Trades'!$B$4:$B$103,0))&amp;"",""))</f>
        <v/>
      </c>
      <c r="I83" s="7">
        <f>IF(AND(G83="Yes",H83="No"),"GST charged, not registered","")</f>
        <v/>
      </c>
      <c r="J83" s="24" t="n"/>
      <c r="K83" s="22" t="n"/>
      <c r="L83" s="24" t="n"/>
      <c r="M83" s="33" t="n"/>
      <c r="N83" s="22" t="n"/>
      <c r="O83" s="23" t="n"/>
    </row>
    <row r="84">
      <c r="A84" s="24" t="n"/>
      <c r="B84" s="22" t="n"/>
      <c r="C84" s="22" t="n"/>
      <c r="D84" s="35" t="n"/>
      <c r="E84" s="22" t="n"/>
      <c r="F84" s="33" t="n"/>
      <c r="G84" s="22" t="n"/>
      <c r="H84" s="7">
        <f>IF(C84="","",IFERROR(INDEX('Trades'!$G$4:$G$103,MATCH(C84,'Trades'!$B$4:$B$103,0))&amp;"",""))</f>
        <v/>
      </c>
      <c r="I84" s="7">
        <f>IF(AND(G84="Yes",H84="No"),"GST charged, not registered","")</f>
        <v/>
      </c>
      <c r="J84" s="24" t="n"/>
      <c r="K84" s="22" t="n"/>
      <c r="L84" s="24" t="n"/>
      <c r="M84" s="33" t="n"/>
      <c r="N84" s="22" t="n"/>
      <c r="O84" s="23" t="n"/>
    </row>
    <row r="85">
      <c r="A85" s="24" t="n"/>
      <c r="B85" s="22" t="n"/>
      <c r="C85" s="22" t="n"/>
      <c r="D85" s="35" t="n"/>
      <c r="E85" s="22" t="n"/>
      <c r="F85" s="33" t="n"/>
      <c r="G85" s="22" t="n"/>
      <c r="H85" s="7">
        <f>IF(C85="","",IFERROR(INDEX('Trades'!$G$4:$G$103,MATCH(C85,'Trades'!$B$4:$B$103,0))&amp;"",""))</f>
        <v/>
      </c>
      <c r="I85" s="7">
        <f>IF(AND(G85="Yes",H85="No"),"GST charged, not registered","")</f>
        <v/>
      </c>
      <c r="J85" s="24" t="n"/>
      <c r="K85" s="22" t="n"/>
      <c r="L85" s="24" t="n"/>
      <c r="M85" s="33" t="n"/>
      <c r="N85" s="22" t="n"/>
      <c r="O85" s="23" t="n"/>
    </row>
    <row r="86">
      <c r="A86" s="24" t="n"/>
      <c r="B86" s="22" t="n"/>
      <c r="C86" s="22" t="n"/>
      <c r="D86" s="35" t="n"/>
      <c r="E86" s="22" t="n"/>
      <c r="F86" s="33" t="n"/>
      <c r="G86" s="22" t="n"/>
      <c r="H86" s="7">
        <f>IF(C86="","",IFERROR(INDEX('Trades'!$G$4:$G$103,MATCH(C86,'Trades'!$B$4:$B$103,0))&amp;"",""))</f>
        <v/>
      </c>
      <c r="I86" s="7">
        <f>IF(AND(G86="Yes",H86="No"),"GST charged, not registered","")</f>
        <v/>
      </c>
      <c r="J86" s="24" t="n"/>
      <c r="K86" s="22" t="n"/>
      <c r="L86" s="24" t="n"/>
      <c r="M86" s="33" t="n"/>
      <c r="N86" s="22" t="n"/>
      <c r="O86" s="23" t="n"/>
    </row>
    <row r="87">
      <c r="A87" s="24" t="n"/>
      <c r="B87" s="22" t="n"/>
      <c r="C87" s="22" t="n"/>
      <c r="D87" s="35" t="n"/>
      <c r="E87" s="22" t="n"/>
      <c r="F87" s="33" t="n"/>
      <c r="G87" s="22" t="n"/>
      <c r="H87" s="7">
        <f>IF(C87="","",IFERROR(INDEX('Trades'!$G$4:$G$103,MATCH(C87,'Trades'!$B$4:$B$103,0))&amp;"",""))</f>
        <v/>
      </c>
      <c r="I87" s="7">
        <f>IF(AND(G87="Yes",H87="No"),"GST charged, not registered","")</f>
        <v/>
      </c>
      <c r="J87" s="24" t="n"/>
      <c r="K87" s="22" t="n"/>
      <c r="L87" s="24" t="n"/>
      <c r="M87" s="33" t="n"/>
      <c r="N87" s="22" t="n"/>
      <c r="O87" s="23" t="n"/>
    </row>
    <row r="88">
      <c r="A88" s="24" t="n"/>
      <c r="B88" s="22" t="n"/>
      <c r="C88" s="22" t="n"/>
      <c r="D88" s="35" t="n"/>
      <c r="E88" s="22" t="n"/>
      <c r="F88" s="33" t="n"/>
      <c r="G88" s="22" t="n"/>
      <c r="H88" s="7">
        <f>IF(C88="","",IFERROR(INDEX('Trades'!$G$4:$G$103,MATCH(C88,'Trades'!$B$4:$B$103,0))&amp;"",""))</f>
        <v/>
      </c>
      <c r="I88" s="7">
        <f>IF(AND(G88="Yes",H88="No"),"GST charged, not registered","")</f>
        <v/>
      </c>
      <c r="J88" s="24" t="n"/>
      <c r="K88" s="22" t="n"/>
      <c r="L88" s="24" t="n"/>
      <c r="M88" s="33" t="n"/>
      <c r="N88" s="22" t="n"/>
      <c r="O88" s="23" t="n"/>
    </row>
    <row r="89">
      <c r="A89" s="24" t="n"/>
      <c r="B89" s="22" t="n"/>
      <c r="C89" s="22" t="n"/>
      <c r="D89" s="35" t="n"/>
      <c r="E89" s="22" t="n"/>
      <c r="F89" s="33" t="n"/>
      <c r="G89" s="22" t="n"/>
      <c r="H89" s="7">
        <f>IF(C89="","",IFERROR(INDEX('Trades'!$G$4:$G$103,MATCH(C89,'Trades'!$B$4:$B$103,0))&amp;"",""))</f>
        <v/>
      </c>
      <c r="I89" s="7">
        <f>IF(AND(G89="Yes",H89="No"),"GST charged, not registered","")</f>
        <v/>
      </c>
      <c r="J89" s="24" t="n"/>
      <c r="K89" s="22" t="n"/>
      <c r="L89" s="24" t="n"/>
      <c r="M89" s="33" t="n"/>
      <c r="N89" s="22" t="n"/>
      <c r="O89" s="23" t="n"/>
    </row>
    <row r="90">
      <c r="A90" s="24" t="n"/>
      <c r="B90" s="22" t="n"/>
      <c r="C90" s="22" t="n"/>
      <c r="D90" s="35" t="n"/>
      <c r="E90" s="22" t="n"/>
      <c r="F90" s="33" t="n"/>
      <c r="G90" s="22" t="n"/>
      <c r="H90" s="7">
        <f>IF(C90="","",IFERROR(INDEX('Trades'!$G$4:$G$103,MATCH(C90,'Trades'!$B$4:$B$103,0))&amp;"",""))</f>
        <v/>
      </c>
      <c r="I90" s="7">
        <f>IF(AND(G90="Yes",H90="No"),"GST charged, not registered","")</f>
        <v/>
      </c>
      <c r="J90" s="24" t="n"/>
      <c r="K90" s="22" t="n"/>
      <c r="L90" s="24" t="n"/>
      <c r="M90" s="33" t="n"/>
      <c r="N90" s="22" t="n"/>
      <c r="O90" s="23" t="n"/>
    </row>
    <row r="91">
      <c r="A91" s="24" t="n"/>
      <c r="B91" s="22" t="n"/>
      <c r="C91" s="22" t="n"/>
      <c r="D91" s="35" t="n"/>
      <c r="E91" s="22" t="n"/>
      <c r="F91" s="33" t="n"/>
      <c r="G91" s="22" t="n"/>
      <c r="H91" s="7">
        <f>IF(C91="","",IFERROR(INDEX('Trades'!$G$4:$G$103,MATCH(C91,'Trades'!$B$4:$B$103,0))&amp;"",""))</f>
        <v/>
      </c>
      <c r="I91" s="7">
        <f>IF(AND(G91="Yes",H91="No"),"GST charged, not registered","")</f>
        <v/>
      </c>
      <c r="J91" s="24" t="n"/>
      <c r="K91" s="22" t="n"/>
      <c r="L91" s="24" t="n"/>
      <c r="M91" s="33" t="n"/>
      <c r="N91" s="22" t="n"/>
      <c r="O91" s="23" t="n"/>
    </row>
    <row r="92">
      <c r="A92" s="24" t="n"/>
      <c r="B92" s="22" t="n"/>
      <c r="C92" s="22" t="n"/>
      <c r="D92" s="35" t="n"/>
      <c r="E92" s="22" t="n"/>
      <c r="F92" s="33" t="n"/>
      <c r="G92" s="22" t="n"/>
      <c r="H92" s="7">
        <f>IF(C92="","",IFERROR(INDEX('Trades'!$G$4:$G$103,MATCH(C92,'Trades'!$B$4:$B$103,0))&amp;"",""))</f>
        <v/>
      </c>
      <c r="I92" s="7">
        <f>IF(AND(G92="Yes",H92="No"),"GST charged, not registered","")</f>
        <v/>
      </c>
      <c r="J92" s="24" t="n"/>
      <c r="K92" s="22" t="n"/>
      <c r="L92" s="24" t="n"/>
      <c r="M92" s="33" t="n"/>
      <c r="N92" s="22" t="n"/>
      <c r="O92" s="23" t="n"/>
    </row>
    <row r="93">
      <c r="A93" s="24" t="n"/>
      <c r="B93" s="22" t="n"/>
      <c r="C93" s="22" t="n"/>
      <c r="D93" s="35" t="n"/>
      <c r="E93" s="22" t="n"/>
      <c r="F93" s="33" t="n"/>
      <c r="G93" s="22" t="n"/>
      <c r="H93" s="7">
        <f>IF(C93="","",IFERROR(INDEX('Trades'!$G$4:$G$103,MATCH(C93,'Trades'!$B$4:$B$103,0))&amp;"",""))</f>
        <v/>
      </c>
      <c r="I93" s="7">
        <f>IF(AND(G93="Yes",H93="No"),"GST charged, not registered","")</f>
        <v/>
      </c>
      <c r="J93" s="24" t="n"/>
      <c r="K93" s="22" t="n"/>
      <c r="L93" s="24" t="n"/>
      <c r="M93" s="33" t="n"/>
      <c r="N93" s="22" t="n"/>
      <c r="O93" s="23" t="n"/>
    </row>
    <row r="94">
      <c r="A94" s="24" t="n"/>
      <c r="B94" s="22" t="n"/>
      <c r="C94" s="22" t="n"/>
      <c r="D94" s="35" t="n"/>
      <c r="E94" s="22" t="n"/>
      <c r="F94" s="33" t="n"/>
      <c r="G94" s="22" t="n"/>
      <c r="H94" s="7">
        <f>IF(C94="","",IFERROR(INDEX('Trades'!$G$4:$G$103,MATCH(C94,'Trades'!$B$4:$B$103,0))&amp;"",""))</f>
        <v/>
      </c>
      <c r="I94" s="7">
        <f>IF(AND(G94="Yes",H94="No"),"GST charged, not registered","")</f>
        <v/>
      </c>
      <c r="J94" s="24" t="n"/>
      <c r="K94" s="22" t="n"/>
      <c r="L94" s="24" t="n"/>
      <c r="M94" s="33" t="n"/>
      <c r="N94" s="22" t="n"/>
      <c r="O94" s="23" t="n"/>
    </row>
    <row r="95">
      <c r="A95" s="24" t="n"/>
      <c r="B95" s="22" t="n"/>
      <c r="C95" s="22" t="n"/>
      <c r="D95" s="35" t="n"/>
      <c r="E95" s="22" t="n"/>
      <c r="F95" s="33" t="n"/>
      <c r="G95" s="22" t="n"/>
      <c r="H95" s="7">
        <f>IF(C95="","",IFERROR(INDEX('Trades'!$G$4:$G$103,MATCH(C95,'Trades'!$B$4:$B$103,0))&amp;"",""))</f>
        <v/>
      </c>
      <c r="I95" s="7">
        <f>IF(AND(G95="Yes",H95="No"),"GST charged, not registered","")</f>
        <v/>
      </c>
      <c r="J95" s="24" t="n"/>
      <c r="K95" s="22" t="n"/>
      <c r="L95" s="24" t="n"/>
      <c r="M95" s="33" t="n"/>
      <c r="N95" s="22" t="n"/>
      <c r="O95" s="23" t="n"/>
    </row>
    <row r="96">
      <c r="A96" s="24" t="n"/>
      <c r="B96" s="22" t="n"/>
      <c r="C96" s="22" t="n"/>
      <c r="D96" s="35" t="n"/>
      <c r="E96" s="22" t="n"/>
      <c r="F96" s="33" t="n"/>
      <c r="G96" s="22" t="n"/>
      <c r="H96" s="7">
        <f>IF(C96="","",IFERROR(INDEX('Trades'!$G$4:$G$103,MATCH(C96,'Trades'!$B$4:$B$103,0))&amp;"",""))</f>
        <v/>
      </c>
      <c r="I96" s="7">
        <f>IF(AND(G96="Yes",H96="No"),"GST charged, not registered","")</f>
        <v/>
      </c>
      <c r="J96" s="24" t="n"/>
      <c r="K96" s="22" t="n"/>
      <c r="L96" s="24" t="n"/>
      <c r="M96" s="33" t="n"/>
      <c r="N96" s="22" t="n"/>
      <c r="O96" s="23" t="n"/>
    </row>
    <row r="97">
      <c r="A97" s="24" t="n"/>
      <c r="B97" s="22" t="n"/>
      <c r="C97" s="22" t="n"/>
      <c r="D97" s="35" t="n"/>
      <c r="E97" s="22" t="n"/>
      <c r="F97" s="33" t="n"/>
      <c r="G97" s="22" t="n"/>
      <c r="H97" s="7">
        <f>IF(C97="","",IFERROR(INDEX('Trades'!$G$4:$G$103,MATCH(C97,'Trades'!$B$4:$B$103,0))&amp;"",""))</f>
        <v/>
      </c>
      <c r="I97" s="7">
        <f>IF(AND(G97="Yes",H97="No"),"GST charged, not registered","")</f>
        <v/>
      </c>
      <c r="J97" s="24" t="n"/>
      <c r="K97" s="22" t="n"/>
      <c r="L97" s="24" t="n"/>
      <c r="M97" s="33" t="n"/>
      <c r="N97" s="22" t="n"/>
      <c r="O97" s="23" t="n"/>
    </row>
    <row r="98">
      <c r="A98" s="24" t="n"/>
      <c r="B98" s="22" t="n"/>
      <c r="C98" s="22" t="n"/>
      <c r="D98" s="35" t="n"/>
      <c r="E98" s="22" t="n"/>
      <c r="F98" s="33" t="n"/>
      <c r="G98" s="22" t="n"/>
      <c r="H98" s="7">
        <f>IF(C98="","",IFERROR(INDEX('Trades'!$G$4:$G$103,MATCH(C98,'Trades'!$B$4:$B$103,0))&amp;"",""))</f>
        <v/>
      </c>
      <c r="I98" s="7">
        <f>IF(AND(G98="Yes",H98="No"),"GST charged, not registered","")</f>
        <v/>
      </c>
      <c r="J98" s="24" t="n"/>
      <c r="K98" s="22" t="n"/>
      <c r="L98" s="24" t="n"/>
      <c r="M98" s="33" t="n"/>
      <c r="N98" s="22" t="n"/>
      <c r="O98" s="23" t="n"/>
    </row>
    <row r="99">
      <c r="A99" s="24" t="n"/>
      <c r="B99" s="22" t="n"/>
      <c r="C99" s="22" t="n"/>
      <c r="D99" s="35" t="n"/>
      <c r="E99" s="22" t="n"/>
      <c r="F99" s="33" t="n"/>
      <c r="G99" s="22" t="n"/>
      <c r="H99" s="7">
        <f>IF(C99="","",IFERROR(INDEX('Trades'!$G$4:$G$103,MATCH(C99,'Trades'!$B$4:$B$103,0))&amp;"",""))</f>
        <v/>
      </c>
      <c r="I99" s="7">
        <f>IF(AND(G99="Yes",H99="No"),"GST charged, not registered","")</f>
        <v/>
      </c>
      <c r="J99" s="24" t="n"/>
      <c r="K99" s="22" t="n"/>
      <c r="L99" s="24" t="n"/>
      <c r="M99" s="33" t="n"/>
      <c r="N99" s="22" t="n"/>
      <c r="O99" s="23" t="n"/>
    </row>
    <row r="100">
      <c r="A100" s="24" t="n"/>
      <c r="B100" s="22" t="n"/>
      <c r="C100" s="22" t="n"/>
      <c r="D100" s="35" t="n"/>
      <c r="E100" s="22" t="n"/>
      <c r="F100" s="33" t="n"/>
      <c r="G100" s="22" t="n"/>
      <c r="H100" s="7">
        <f>IF(C100="","",IFERROR(INDEX('Trades'!$G$4:$G$103,MATCH(C100,'Trades'!$B$4:$B$103,0))&amp;"",""))</f>
        <v/>
      </c>
      <c r="I100" s="7">
        <f>IF(AND(G100="Yes",H100="No"),"GST charged, not registered","")</f>
        <v/>
      </c>
      <c r="J100" s="24" t="n"/>
      <c r="K100" s="22" t="n"/>
      <c r="L100" s="24" t="n"/>
      <c r="M100" s="33" t="n"/>
      <c r="N100" s="22" t="n"/>
      <c r="O100" s="23" t="n"/>
    </row>
    <row r="101">
      <c r="A101" s="24" t="n"/>
      <c r="B101" s="22" t="n"/>
      <c r="C101" s="22" t="n"/>
      <c r="D101" s="35" t="n"/>
      <c r="E101" s="22" t="n"/>
      <c r="F101" s="33" t="n"/>
      <c r="G101" s="22" t="n"/>
      <c r="H101" s="7">
        <f>IF(C101="","",IFERROR(INDEX('Trades'!$G$4:$G$103,MATCH(C101,'Trades'!$B$4:$B$103,0))&amp;"",""))</f>
        <v/>
      </c>
      <c r="I101" s="7">
        <f>IF(AND(G101="Yes",H101="No"),"GST charged, not registered","")</f>
        <v/>
      </c>
      <c r="J101" s="24" t="n"/>
      <c r="K101" s="22" t="n"/>
      <c r="L101" s="24" t="n"/>
      <c r="M101" s="33" t="n"/>
      <c r="N101" s="22" t="n"/>
      <c r="O101" s="23" t="n"/>
    </row>
    <row r="102">
      <c r="A102" s="24" t="n"/>
      <c r="B102" s="22" t="n"/>
      <c r="C102" s="22" t="n"/>
      <c r="D102" s="35" t="n"/>
      <c r="E102" s="22" t="n"/>
      <c r="F102" s="33" t="n"/>
      <c r="G102" s="22" t="n"/>
      <c r="H102" s="7">
        <f>IF(C102="","",IFERROR(INDEX('Trades'!$G$4:$G$103,MATCH(C102,'Trades'!$B$4:$B$103,0))&amp;"",""))</f>
        <v/>
      </c>
      <c r="I102" s="7">
        <f>IF(AND(G102="Yes",H102="No"),"GST charged, not registered","")</f>
        <v/>
      </c>
      <c r="J102" s="24" t="n"/>
      <c r="K102" s="22" t="n"/>
      <c r="L102" s="24" t="n"/>
      <c r="M102" s="33" t="n"/>
      <c r="N102" s="22" t="n"/>
      <c r="O102" s="23" t="n"/>
    </row>
    <row r="103">
      <c r="A103" s="24" t="n"/>
      <c r="B103" s="22" t="n"/>
      <c r="C103" s="22" t="n"/>
      <c r="D103" s="35" t="n"/>
      <c r="E103" s="22" t="n"/>
      <c r="F103" s="33" t="n"/>
      <c r="G103" s="22" t="n"/>
      <c r="H103" s="7">
        <f>IF(C103="","",IFERROR(INDEX('Trades'!$G$4:$G$103,MATCH(C103,'Trades'!$B$4:$B$103,0))&amp;"",""))</f>
        <v/>
      </c>
      <c r="I103" s="7">
        <f>IF(AND(G103="Yes",H103="No"),"GST charged, not registered","")</f>
        <v/>
      </c>
      <c r="J103" s="24" t="n"/>
      <c r="K103" s="22" t="n"/>
      <c r="L103" s="24" t="n"/>
      <c r="M103" s="33" t="n"/>
      <c r="N103" s="22" t="n"/>
      <c r="O103" s="23" t="n"/>
    </row>
    <row r="104">
      <c r="A104" s="24" t="n"/>
      <c r="B104" s="22" t="n"/>
      <c r="C104" s="22" t="n"/>
      <c r="D104" s="35" t="n"/>
      <c r="E104" s="22" t="n"/>
      <c r="F104" s="33" t="n"/>
      <c r="G104" s="22" t="n"/>
      <c r="H104" s="7">
        <f>IF(C104="","",IFERROR(INDEX('Trades'!$G$4:$G$103,MATCH(C104,'Trades'!$B$4:$B$103,0))&amp;"",""))</f>
        <v/>
      </c>
      <c r="I104" s="7">
        <f>IF(AND(G104="Yes",H104="No"),"GST charged, not registered","")</f>
        <v/>
      </c>
      <c r="J104" s="24" t="n"/>
      <c r="K104" s="22" t="n"/>
      <c r="L104" s="24" t="n"/>
      <c r="M104" s="33" t="n"/>
      <c r="N104" s="22" t="n"/>
      <c r="O104" s="23" t="n"/>
    </row>
    <row r="105">
      <c r="A105" s="24" t="n"/>
      <c r="B105" s="22" t="n"/>
      <c r="C105" s="22" t="n"/>
      <c r="D105" s="35" t="n"/>
      <c r="E105" s="22" t="n"/>
      <c r="F105" s="33" t="n"/>
      <c r="G105" s="22" t="n"/>
      <c r="H105" s="7">
        <f>IF(C105="","",IFERROR(INDEX('Trades'!$G$4:$G$103,MATCH(C105,'Trades'!$B$4:$B$103,0))&amp;"",""))</f>
        <v/>
      </c>
      <c r="I105" s="7">
        <f>IF(AND(G105="Yes",H105="No"),"GST charged, not registered","")</f>
        <v/>
      </c>
      <c r="J105" s="24" t="n"/>
      <c r="K105" s="22" t="n"/>
      <c r="L105" s="24" t="n"/>
      <c r="M105" s="33" t="n"/>
      <c r="N105" s="22" t="n"/>
      <c r="O105" s="23" t="n"/>
    </row>
    <row r="106">
      <c r="A106" s="24" t="n"/>
      <c r="B106" s="22" t="n"/>
      <c r="C106" s="22" t="n"/>
      <c r="D106" s="35" t="n"/>
      <c r="E106" s="22" t="n"/>
      <c r="F106" s="33" t="n"/>
      <c r="G106" s="22" t="n"/>
      <c r="H106" s="7">
        <f>IF(C106="","",IFERROR(INDEX('Trades'!$G$4:$G$103,MATCH(C106,'Trades'!$B$4:$B$103,0))&amp;"",""))</f>
        <v/>
      </c>
      <c r="I106" s="7">
        <f>IF(AND(G106="Yes",H106="No"),"GST charged, not registered","")</f>
        <v/>
      </c>
      <c r="J106" s="24" t="n"/>
      <c r="K106" s="22" t="n"/>
      <c r="L106" s="24" t="n"/>
      <c r="M106" s="33" t="n"/>
      <c r="N106" s="22" t="n"/>
      <c r="O106" s="23" t="n"/>
    </row>
    <row r="107">
      <c r="A107" s="24" t="n"/>
      <c r="B107" s="22" t="n"/>
      <c r="C107" s="22" t="n"/>
      <c r="D107" s="35" t="n"/>
      <c r="E107" s="22" t="n"/>
      <c r="F107" s="33" t="n"/>
      <c r="G107" s="22" t="n"/>
      <c r="H107" s="7">
        <f>IF(C107="","",IFERROR(INDEX('Trades'!$G$4:$G$103,MATCH(C107,'Trades'!$B$4:$B$103,0))&amp;"",""))</f>
        <v/>
      </c>
      <c r="I107" s="7">
        <f>IF(AND(G107="Yes",H107="No"),"GST charged, not registered","")</f>
        <v/>
      </c>
      <c r="J107" s="24" t="n"/>
      <c r="K107" s="22" t="n"/>
      <c r="L107" s="24" t="n"/>
      <c r="M107" s="33" t="n"/>
      <c r="N107" s="22" t="n"/>
      <c r="O107" s="23" t="n"/>
    </row>
    <row r="108">
      <c r="A108" s="24" t="n"/>
      <c r="B108" s="22" t="n"/>
      <c r="C108" s="22" t="n"/>
      <c r="D108" s="35" t="n"/>
      <c r="E108" s="22" t="n"/>
      <c r="F108" s="33" t="n"/>
      <c r="G108" s="22" t="n"/>
      <c r="H108" s="7">
        <f>IF(C108="","",IFERROR(INDEX('Trades'!$G$4:$G$103,MATCH(C108,'Trades'!$B$4:$B$103,0))&amp;"",""))</f>
        <v/>
      </c>
      <c r="I108" s="7">
        <f>IF(AND(G108="Yes",H108="No"),"GST charged, not registered","")</f>
        <v/>
      </c>
      <c r="J108" s="24" t="n"/>
      <c r="K108" s="22" t="n"/>
      <c r="L108" s="24" t="n"/>
      <c r="M108" s="33" t="n"/>
      <c r="N108" s="22" t="n"/>
      <c r="O108" s="23" t="n"/>
    </row>
    <row r="109">
      <c r="A109" s="24" t="n"/>
      <c r="B109" s="22" t="n"/>
      <c r="C109" s="22" t="n"/>
      <c r="D109" s="35" t="n"/>
      <c r="E109" s="22" t="n"/>
      <c r="F109" s="33" t="n"/>
      <c r="G109" s="22" t="n"/>
      <c r="H109" s="7">
        <f>IF(C109="","",IFERROR(INDEX('Trades'!$G$4:$G$103,MATCH(C109,'Trades'!$B$4:$B$103,0))&amp;"",""))</f>
        <v/>
      </c>
      <c r="I109" s="7">
        <f>IF(AND(G109="Yes",H109="No"),"GST charged, not registered","")</f>
        <v/>
      </c>
      <c r="J109" s="24" t="n"/>
      <c r="K109" s="22" t="n"/>
      <c r="L109" s="24" t="n"/>
      <c r="M109" s="33" t="n"/>
      <c r="N109" s="22" t="n"/>
      <c r="O109" s="23" t="n"/>
    </row>
    <row r="110">
      <c r="A110" s="24" t="n"/>
      <c r="B110" s="22" t="n"/>
      <c r="C110" s="22" t="n"/>
      <c r="D110" s="35" t="n"/>
      <c r="E110" s="22" t="n"/>
      <c r="F110" s="33" t="n"/>
      <c r="G110" s="22" t="n"/>
      <c r="H110" s="7">
        <f>IF(C110="","",IFERROR(INDEX('Trades'!$G$4:$G$103,MATCH(C110,'Trades'!$B$4:$B$103,0))&amp;"",""))</f>
        <v/>
      </c>
      <c r="I110" s="7">
        <f>IF(AND(G110="Yes",H110="No"),"GST charged, not registered","")</f>
        <v/>
      </c>
      <c r="J110" s="24" t="n"/>
      <c r="K110" s="22" t="n"/>
      <c r="L110" s="24" t="n"/>
      <c r="M110" s="33" t="n"/>
      <c r="N110" s="22" t="n"/>
      <c r="O110" s="23" t="n"/>
    </row>
    <row r="111">
      <c r="A111" s="24" t="n"/>
      <c r="B111" s="22" t="n"/>
      <c r="C111" s="22" t="n"/>
      <c r="D111" s="35" t="n"/>
      <c r="E111" s="22" t="n"/>
      <c r="F111" s="33" t="n"/>
      <c r="G111" s="22" t="n"/>
      <c r="H111" s="7">
        <f>IF(C111="","",IFERROR(INDEX('Trades'!$G$4:$G$103,MATCH(C111,'Trades'!$B$4:$B$103,0))&amp;"",""))</f>
        <v/>
      </c>
      <c r="I111" s="7">
        <f>IF(AND(G111="Yes",H111="No"),"GST charged, not registered","")</f>
        <v/>
      </c>
      <c r="J111" s="24" t="n"/>
      <c r="K111" s="22" t="n"/>
      <c r="L111" s="24" t="n"/>
      <c r="M111" s="33" t="n"/>
      <c r="N111" s="22" t="n"/>
      <c r="O111" s="23" t="n"/>
    </row>
    <row r="112">
      <c r="A112" s="24" t="n"/>
      <c r="B112" s="22" t="n"/>
      <c r="C112" s="22" t="n"/>
      <c r="D112" s="35" t="n"/>
      <c r="E112" s="22" t="n"/>
      <c r="F112" s="33" t="n"/>
      <c r="G112" s="22" t="n"/>
      <c r="H112" s="7">
        <f>IF(C112="","",IFERROR(INDEX('Trades'!$G$4:$G$103,MATCH(C112,'Trades'!$B$4:$B$103,0))&amp;"",""))</f>
        <v/>
      </c>
      <c r="I112" s="7">
        <f>IF(AND(G112="Yes",H112="No"),"GST charged, not registered","")</f>
        <v/>
      </c>
      <c r="J112" s="24" t="n"/>
      <c r="K112" s="22" t="n"/>
      <c r="L112" s="24" t="n"/>
      <c r="M112" s="33" t="n"/>
      <c r="N112" s="22" t="n"/>
      <c r="O112" s="23" t="n"/>
    </row>
    <row r="113">
      <c r="A113" s="24" t="n"/>
      <c r="B113" s="22" t="n"/>
      <c r="C113" s="22" t="n"/>
      <c r="D113" s="35" t="n"/>
      <c r="E113" s="22" t="n"/>
      <c r="F113" s="33" t="n"/>
      <c r="G113" s="22" t="n"/>
      <c r="H113" s="7">
        <f>IF(C113="","",IFERROR(INDEX('Trades'!$G$4:$G$103,MATCH(C113,'Trades'!$B$4:$B$103,0))&amp;"",""))</f>
        <v/>
      </c>
      <c r="I113" s="7">
        <f>IF(AND(G113="Yes",H113="No"),"GST charged, not registered","")</f>
        <v/>
      </c>
      <c r="J113" s="24" t="n"/>
      <c r="K113" s="22" t="n"/>
      <c r="L113" s="24" t="n"/>
      <c r="M113" s="33" t="n"/>
      <c r="N113" s="22" t="n"/>
      <c r="O113" s="23" t="n"/>
    </row>
    <row r="114">
      <c r="A114" s="24" t="n"/>
      <c r="B114" s="22" t="n"/>
      <c r="C114" s="22" t="n"/>
      <c r="D114" s="35" t="n"/>
      <c r="E114" s="22" t="n"/>
      <c r="F114" s="33" t="n"/>
      <c r="G114" s="22" t="n"/>
      <c r="H114" s="7">
        <f>IF(C114="","",IFERROR(INDEX('Trades'!$G$4:$G$103,MATCH(C114,'Trades'!$B$4:$B$103,0))&amp;"",""))</f>
        <v/>
      </c>
      <c r="I114" s="7">
        <f>IF(AND(G114="Yes",H114="No"),"GST charged, not registered","")</f>
        <v/>
      </c>
      <c r="J114" s="24" t="n"/>
      <c r="K114" s="22" t="n"/>
      <c r="L114" s="24" t="n"/>
      <c r="M114" s="33" t="n"/>
      <c r="N114" s="22" t="n"/>
      <c r="O114" s="23" t="n"/>
    </row>
    <row r="115">
      <c r="A115" s="24" t="n"/>
      <c r="B115" s="22" t="n"/>
      <c r="C115" s="22" t="n"/>
      <c r="D115" s="35" t="n"/>
      <c r="E115" s="22" t="n"/>
      <c r="F115" s="33" t="n"/>
      <c r="G115" s="22" t="n"/>
      <c r="H115" s="7">
        <f>IF(C115="","",IFERROR(INDEX('Trades'!$G$4:$G$103,MATCH(C115,'Trades'!$B$4:$B$103,0))&amp;"",""))</f>
        <v/>
      </c>
      <c r="I115" s="7">
        <f>IF(AND(G115="Yes",H115="No"),"GST charged, not registered","")</f>
        <v/>
      </c>
      <c r="J115" s="24" t="n"/>
      <c r="K115" s="22" t="n"/>
      <c r="L115" s="24" t="n"/>
      <c r="M115" s="33" t="n"/>
      <c r="N115" s="22" t="n"/>
      <c r="O115" s="23" t="n"/>
    </row>
    <row r="116">
      <c r="A116" s="24" t="n"/>
      <c r="B116" s="22" t="n"/>
      <c r="C116" s="22" t="n"/>
      <c r="D116" s="35" t="n"/>
      <c r="E116" s="22" t="n"/>
      <c r="F116" s="33" t="n"/>
      <c r="G116" s="22" t="n"/>
      <c r="H116" s="7">
        <f>IF(C116="","",IFERROR(INDEX('Trades'!$G$4:$G$103,MATCH(C116,'Trades'!$B$4:$B$103,0))&amp;"",""))</f>
        <v/>
      </c>
      <c r="I116" s="7">
        <f>IF(AND(G116="Yes",H116="No"),"GST charged, not registered","")</f>
        <v/>
      </c>
      <c r="J116" s="24" t="n"/>
      <c r="K116" s="22" t="n"/>
      <c r="L116" s="24" t="n"/>
      <c r="M116" s="33" t="n"/>
      <c r="N116" s="22" t="n"/>
      <c r="O116" s="23" t="n"/>
    </row>
    <row r="117">
      <c r="A117" s="24" t="n"/>
      <c r="B117" s="22" t="n"/>
      <c r="C117" s="22" t="n"/>
      <c r="D117" s="35" t="n"/>
      <c r="E117" s="22" t="n"/>
      <c r="F117" s="33" t="n"/>
      <c r="G117" s="22" t="n"/>
      <c r="H117" s="7">
        <f>IF(C117="","",IFERROR(INDEX('Trades'!$G$4:$G$103,MATCH(C117,'Trades'!$B$4:$B$103,0))&amp;"",""))</f>
        <v/>
      </c>
      <c r="I117" s="7">
        <f>IF(AND(G117="Yes",H117="No"),"GST charged, not registered","")</f>
        <v/>
      </c>
      <c r="J117" s="24" t="n"/>
      <c r="K117" s="22" t="n"/>
      <c r="L117" s="24" t="n"/>
      <c r="M117" s="33" t="n"/>
      <c r="N117" s="22" t="n"/>
      <c r="O117" s="23" t="n"/>
    </row>
    <row r="118">
      <c r="A118" s="24" t="n"/>
      <c r="B118" s="22" t="n"/>
      <c r="C118" s="22" t="n"/>
      <c r="D118" s="35" t="n"/>
      <c r="E118" s="22" t="n"/>
      <c r="F118" s="33" t="n"/>
      <c r="G118" s="22" t="n"/>
      <c r="H118" s="7">
        <f>IF(C118="","",IFERROR(INDEX('Trades'!$G$4:$G$103,MATCH(C118,'Trades'!$B$4:$B$103,0))&amp;"",""))</f>
        <v/>
      </c>
      <c r="I118" s="7">
        <f>IF(AND(G118="Yes",H118="No"),"GST charged, not registered","")</f>
        <v/>
      </c>
      <c r="J118" s="24" t="n"/>
      <c r="K118" s="22" t="n"/>
      <c r="L118" s="24" t="n"/>
      <c r="M118" s="33" t="n"/>
      <c r="N118" s="22" t="n"/>
      <c r="O118" s="23" t="n"/>
    </row>
    <row r="119">
      <c r="A119" s="24" t="n"/>
      <c r="B119" s="22" t="n"/>
      <c r="C119" s="22" t="n"/>
      <c r="D119" s="35" t="n"/>
      <c r="E119" s="22" t="n"/>
      <c r="F119" s="33" t="n"/>
      <c r="G119" s="22" t="n"/>
      <c r="H119" s="7">
        <f>IF(C119="","",IFERROR(INDEX('Trades'!$G$4:$G$103,MATCH(C119,'Trades'!$B$4:$B$103,0))&amp;"",""))</f>
        <v/>
      </c>
      <c r="I119" s="7">
        <f>IF(AND(G119="Yes",H119="No"),"GST charged, not registered","")</f>
        <v/>
      </c>
      <c r="J119" s="24" t="n"/>
      <c r="K119" s="22" t="n"/>
      <c r="L119" s="24" t="n"/>
      <c r="M119" s="33" t="n"/>
      <c r="N119" s="22" t="n"/>
      <c r="O119" s="23" t="n"/>
    </row>
    <row r="120">
      <c r="A120" s="24" t="n"/>
      <c r="B120" s="22" t="n"/>
      <c r="C120" s="22" t="n"/>
      <c r="D120" s="35" t="n"/>
      <c r="E120" s="22" t="n"/>
      <c r="F120" s="33" t="n"/>
      <c r="G120" s="22" t="n"/>
      <c r="H120" s="7">
        <f>IF(C120="","",IFERROR(INDEX('Trades'!$G$4:$G$103,MATCH(C120,'Trades'!$B$4:$B$103,0))&amp;"",""))</f>
        <v/>
      </c>
      <c r="I120" s="7">
        <f>IF(AND(G120="Yes",H120="No"),"GST charged, not registered","")</f>
        <v/>
      </c>
      <c r="J120" s="24" t="n"/>
      <c r="K120" s="22" t="n"/>
      <c r="L120" s="24" t="n"/>
      <c r="M120" s="33" t="n"/>
      <c r="N120" s="22" t="n"/>
      <c r="O120" s="23" t="n"/>
    </row>
    <row r="121">
      <c r="A121" s="24" t="n"/>
      <c r="B121" s="22" t="n"/>
      <c r="C121" s="22" t="n"/>
      <c r="D121" s="35" t="n"/>
      <c r="E121" s="22" t="n"/>
      <c r="F121" s="33" t="n"/>
      <c r="G121" s="22" t="n"/>
      <c r="H121" s="7">
        <f>IF(C121="","",IFERROR(INDEX('Trades'!$G$4:$G$103,MATCH(C121,'Trades'!$B$4:$B$103,0))&amp;"",""))</f>
        <v/>
      </c>
      <c r="I121" s="7">
        <f>IF(AND(G121="Yes",H121="No"),"GST charged, not registered","")</f>
        <v/>
      </c>
      <c r="J121" s="24" t="n"/>
      <c r="K121" s="22" t="n"/>
      <c r="L121" s="24" t="n"/>
      <c r="M121" s="33" t="n"/>
      <c r="N121" s="22" t="n"/>
      <c r="O121" s="23" t="n"/>
    </row>
    <row r="122">
      <c r="A122" s="24" t="n"/>
      <c r="B122" s="22" t="n"/>
      <c r="C122" s="22" t="n"/>
      <c r="D122" s="35" t="n"/>
      <c r="E122" s="22" t="n"/>
      <c r="F122" s="33" t="n"/>
      <c r="G122" s="22" t="n"/>
      <c r="H122" s="7">
        <f>IF(C122="","",IFERROR(INDEX('Trades'!$G$4:$G$103,MATCH(C122,'Trades'!$B$4:$B$103,0))&amp;"",""))</f>
        <v/>
      </c>
      <c r="I122" s="7">
        <f>IF(AND(G122="Yes",H122="No"),"GST charged, not registered","")</f>
        <v/>
      </c>
      <c r="J122" s="24" t="n"/>
      <c r="K122" s="22" t="n"/>
      <c r="L122" s="24" t="n"/>
      <c r="M122" s="33" t="n"/>
      <c r="N122" s="22" t="n"/>
      <c r="O122" s="23" t="n"/>
    </row>
    <row r="123">
      <c r="A123" s="24" t="n"/>
      <c r="B123" s="22" t="n"/>
      <c r="C123" s="22" t="n"/>
      <c r="D123" s="35" t="n"/>
      <c r="E123" s="22" t="n"/>
      <c r="F123" s="33" t="n"/>
      <c r="G123" s="22" t="n"/>
      <c r="H123" s="7">
        <f>IF(C123="","",IFERROR(INDEX('Trades'!$G$4:$G$103,MATCH(C123,'Trades'!$B$4:$B$103,0))&amp;"",""))</f>
        <v/>
      </c>
      <c r="I123" s="7">
        <f>IF(AND(G123="Yes",H123="No"),"GST charged, not registered","")</f>
        <v/>
      </c>
      <c r="J123" s="24" t="n"/>
      <c r="K123" s="22" t="n"/>
      <c r="L123" s="24" t="n"/>
      <c r="M123" s="33" t="n"/>
      <c r="N123" s="22" t="n"/>
      <c r="O123" s="23" t="n"/>
    </row>
    <row r="124">
      <c r="A124" s="24" t="n"/>
      <c r="B124" s="22" t="n"/>
      <c r="C124" s="22" t="n"/>
      <c r="D124" s="35" t="n"/>
      <c r="E124" s="22" t="n"/>
      <c r="F124" s="33" t="n"/>
      <c r="G124" s="22" t="n"/>
      <c r="H124" s="7">
        <f>IF(C124="","",IFERROR(INDEX('Trades'!$G$4:$G$103,MATCH(C124,'Trades'!$B$4:$B$103,0))&amp;"",""))</f>
        <v/>
      </c>
      <c r="I124" s="7">
        <f>IF(AND(G124="Yes",H124="No"),"GST charged, not registered","")</f>
        <v/>
      </c>
      <c r="J124" s="24" t="n"/>
      <c r="K124" s="22" t="n"/>
      <c r="L124" s="24" t="n"/>
      <c r="M124" s="33" t="n"/>
      <c r="N124" s="22" t="n"/>
      <c r="O124" s="23" t="n"/>
    </row>
    <row r="125">
      <c r="A125" s="24" t="n"/>
      <c r="B125" s="22" t="n"/>
      <c r="C125" s="22" t="n"/>
      <c r="D125" s="35" t="n"/>
      <c r="E125" s="22" t="n"/>
      <c r="F125" s="33" t="n"/>
      <c r="G125" s="22" t="n"/>
      <c r="H125" s="7">
        <f>IF(C125="","",IFERROR(INDEX('Trades'!$G$4:$G$103,MATCH(C125,'Trades'!$B$4:$B$103,0))&amp;"",""))</f>
        <v/>
      </c>
      <c r="I125" s="7">
        <f>IF(AND(G125="Yes",H125="No"),"GST charged, not registered","")</f>
        <v/>
      </c>
      <c r="J125" s="24" t="n"/>
      <c r="K125" s="22" t="n"/>
      <c r="L125" s="24" t="n"/>
      <c r="M125" s="33" t="n"/>
      <c r="N125" s="22" t="n"/>
      <c r="O125" s="23" t="n"/>
    </row>
    <row r="126">
      <c r="A126" s="24" t="n"/>
      <c r="B126" s="22" t="n"/>
      <c r="C126" s="22" t="n"/>
      <c r="D126" s="35" t="n"/>
      <c r="E126" s="22" t="n"/>
      <c r="F126" s="33" t="n"/>
      <c r="G126" s="22" t="n"/>
      <c r="H126" s="7">
        <f>IF(C126="","",IFERROR(INDEX('Trades'!$G$4:$G$103,MATCH(C126,'Trades'!$B$4:$B$103,0))&amp;"",""))</f>
        <v/>
      </c>
      <c r="I126" s="7">
        <f>IF(AND(G126="Yes",H126="No"),"GST charged, not registered","")</f>
        <v/>
      </c>
      <c r="J126" s="24" t="n"/>
      <c r="K126" s="22" t="n"/>
      <c r="L126" s="24" t="n"/>
      <c r="M126" s="33" t="n"/>
      <c r="N126" s="22" t="n"/>
      <c r="O126" s="23" t="n"/>
    </row>
    <row r="127">
      <c r="A127" s="24" t="n"/>
      <c r="B127" s="22" t="n"/>
      <c r="C127" s="22" t="n"/>
      <c r="D127" s="35" t="n"/>
      <c r="E127" s="22" t="n"/>
      <c r="F127" s="33" t="n"/>
      <c r="G127" s="22" t="n"/>
      <c r="H127" s="7">
        <f>IF(C127="","",IFERROR(INDEX('Trades'!$G$4:$G$103,MATCH(C127,'Trades'!$B$4:$B$103,0))&amp;"",""))</f>
        <v/>
      </c>
      <c r="I127" s="7">
        <f>IF(AND(G127="Yes",H127="No"),"GST charged, not registered","")</f>
        <v/>
      </c>
      <c r="J127" s="24" t="n"/>
      <c r="K127" s="22" t="n"/>
      <c r="L127" s="24" t="n"/>
      <c r="M127" s="33" t="n"/>
      <c r="N127" s="22" t="n"/>
      <c r="O127" s="23" t="n"/>
    </row>
    <row r="128">
      <c r="A128" s="24" t="n"/>
      <c r="B128" s="22" t="n"/>
      <c r="C128" s="22" t="n"/>
      <c r="D128" s="35" t="n"/>
      <c r="E128" s="22" t="n"/>
      <c r="F128" s="33" t="n"/>
      <c r="G128" s="22" t="n"/>
      <c r="H128" s="7">
        <f>IF(C128="","",IFERROR(INDEX('Trades'!$G$4:$G$103,MATCH(C128,'Trades'!$B$4:$B$103,0))&amp;"",""))</f>
        <v/>
      </c>
      <c r="I128" s="7">
        <f>IF(AND(G128="Yes",H128="No"),"GST charged, not registered","")</f>
        <v/>
      </c>
      <c r="J128" s="24" t="n"/>
      <c r="K128" s="22" t="n"/>
      <c r="L128" s="24" t="n"/>
      <c r="M128" s="33" t="n"/>
      <c r="N128" s="22" t="n"/>
      <c r="O128" s="23" t="n"/>
    </row>
    <row r="129">
      <c r="A129" s="24" t="n"/>
      <c r="B129" s="22" t="n"/>
      <c r="C129" s="22" t="n"/>
      <c r="D129" s="35" t="n"/>
      <c r="E129" s="22" t="n"/>
      <c r="F129" s="33" t="n"/>
      <c r="G129" s="22" t="n"/>
      <c r="H129" s="7">
        <f>IF(C129="","",IFERROR(INDEX('Trades'!$G$4:$G$103,MATCH(C129,'Trades'!$B$4:$B$103,0))&amp;"",""))</f>
        <v/>
      </c>
      <c r="I129" s="7">
        <f>IF(AND(G129="Yes",H129="No"),"GST charged, not registered","")</f>
        <v/>
      </c>
      <c r="J129" s="24" t="n"/>
      <c r="K129" s="22" t="n"/>
      <c r="L129" s="24" t="n"/>
      <c r="M129" s="33" t="n"/>
      <c r="N129" s="22" t="n"/>
      <c r="O129" s="23" t="n"/>
    </row>
    <row r="130">
      <c r="A130" s="24" t="n"/>
      <c r="B130" s="22" t="n"/>
      <c r="C130" s="22" t="n"/>
      <c r="D130" s="35" t="n"/>
      <c r="E130" s="22" t="n"/>
      <c r="F130" s="33" t="n"/>
      <c r="G130" s="22" t="n"/>
      <c r="H130" s="7">
        <f>IF(C130="","",IFERROR(INDEX('Trades'!$G$4:$G$103,MATCH(C130,'Trades'!$B$4:$B$103,0))&amp;"",""))</f>
        <v/>
      </c>
      <c r="I130" s="7">
        <f>IF(AND(G130="Yes",H130="No"),"GST charged, not registered","")</f>
        <v/>
      </c>
      <c r="J130" s="24" t="n"/>
      <c r="K130" s="22" t="n"/>
      <c r="L130" s="24" t="n"/>
      <c r="M130" s="33" t="n"/>
      <c r="N130" s="22" t="n"/>
      <c r="O130" s="23" t="n"/>
    </row>
    <row r="131">
      <c r="A131" s="24" t="n"/>
      <c r="B131" s="22" t="n"/>
      <c r="C131" s="22" t="n"/>
      <c r="D131" s="35" t="n"/>
      <c r="E131" s="22" t="n"/>
      <c r="F131" s="33" t="n"/>
      <c r="G131" s="22" t="n"/>
      <c r="H131" s="7">
        <f>IF(C131="","",IFERROR(INDEX('Trades'!$G$4:$G$103,MATCH(C131,'Trades'!$B$4:$B$103,0))&amp;"",""))</f>
        <v/>
      </c>
      <c r="I131" s="7">
        <f>IF(AND(G131="Yes",H131="No"),"GST charged, not registered","")</f>
        <v/>
      </c>
      <c r="J131" s="24" t="n"/>
      <c r="K131" s="22" t="n"/>
      <c r="L131" s="24" t="n"/>
      <c r="M131" s="33" t="n"/>
      <c r="N131" s="22" t="n"/>
      <c r="O131" s="23" t="n"/>
    </row>
    <row r="132">
      <c r="A132" s="24" t="n"/>
      <c r="B132" s="22" t="n"/>
      <c r="C132" s="22" t="n"/>
      <c r="D132" s="35" t="n"/>
      <c r="E132" s="22" t="n"/>
      <c r="F132" s="33" t="n"/>
      <c r="G132" s="22" t="n"/>
      <c r="H132" s="7">
        <f>IF(C132="","",IFERROR(INDEX('Trades'!$G$4:$G$103,MATCH(C132,'Trades'!$B$4:$B$103,0))&amp;"",""))</f>
        <v/>
      </c>
      <c r="I132" s="7">
        <f>IF(AND(G132="Yes",H132="No"),"GST charged, not registered","")</f>
        <v/>
      </c>
      <c r="J132" s="24" t="n"/>
      <c r="K132" s="22" t="n"/>
      <c r="L132" s="24" t="n"/>
      <c r="M132" s="33" t="n"/>
      <c r="N132" s="22" t="n"/>
      <c r="O132" s="23" t="n"/>
    </row>
    <row r="133">
      <c r="A133" s="24" t="n"/>
      <c r="B133" s="22" t="n"/>
      <c r="C133" s="22" t="n"/>
      <c r="D133" s="35" t="n"/>
      <c r="E133" s="22" t="n"/>
      <c r="F133" s="33" t="n"/>
      <c r="G133" s="22" t="n"/>
      <c r="H133" s="7">
        <f>IF(C133="","",IFERROR(INDEX('Trades'!$G$4:$G$103,MATCH(C133,'Trades'!$B$4:$B$103,0))&amp;"",""))</f>
        <v/>
      </c>
      <c r="I133" s="7">
        <f>IF(AND(G133="Yes",H133="No"),"GST charged, not registered","")</f>
        <v/>
      </c>
      <c r="J133" s="24" t="n"/>
      <c r="K133" s="22" t="n"/>
      <c r="L133" s="24" t="n"/>
      <c r="M133" s="33" t="n"/>
      <c r="N133" s="22" t="n"/>
      <c r="O133" s="23" t="n"/>
    </row>
    <row r="134">
      <c r="A134" s="24" t="n"/>
      <c r="B134" s="22" t="n"/>
      <c r="C134" s="22" t="n"/>
      <c r="D134" s="35" t="n"/>
      <c r="E134" s="22" t="n"/>
      <c r="F134" s="33" t="n"/>
      <c r="G134" s="22" t="n"/>
      <c r="H134" s="7">
        <f>IF(C134="","",IFERROR(INDEX('Trades'!$G$4:$G$103,MATCH(C134,'Trades'!$B$4:$B$103,0))&amp;"",""))</f>
        <v/>
      </c>
      <c r="I134" s="7">
        <f>IF(AND(G134="Yes",H134="No"),"GST charged, not registered","")</f>
        <v/>
      </c>
      <c r="J134" s="24" t="n"/>
      <c r="K134" s="22" t="n"/>
      <c r="L134" s="24" t="n"/>
      <c r="M134" s="33" t="n"/>
      <c r="N134" s="22" t="n"/>
      <c r="O134" s="23" t="n"/>
    </row>
    <row r="135">
      <c r="A135" s="24" t="n"/>
      <c r="B135" s="22" t="n"/>
      <c r="C135" s="22" t="n"/>
      <c r="D135" s="35" t="n"/>
      <c r="E135" s="22" t="n"/>
      <c r="F135" s="33" t="n"/>
      <c r="G135" s="22" t="n"/>
      <c r="H135" s="7">
        <f>IF(C135="","",IFERROR(INDEX('Trades'!$G$4:$G$103,MATCH(C135,'Trades'!$B$4:$B$103,0))&amp;"",""))</f>
        <v/>
      </c>
      <c r="I135" s="7">
        <f>IF(AND(G135="Yes",H135="No"),"GST charged, not registered","")</f>
        <v/>
      </c>
      <c r="J135" s="24" t="n"/>
      <c r="K135" s="22" t="n"/>
      <c r="L135" s="24" t="n"/>
      <c r="M135" s="33" t="n"/>
      <c r="N135" s="22" t="n"/>
      <c r="O135" s="23" t="n"/>
    </row>
    <row r="136">
      <c r="A136" s="24" t="n"/>
      <c r="B136" s="22" t="n"/>
      <c r="C136" s="22" t="n"/>
      <c r="D136" s="35" t="n"/>
      <c r="E136" s="22" t="n"/>
      <c r="F136" s="33" t="n"/>
      <c r="G136" s="22" t="n"/>
      <c r="H136" s="7">
        <f>IF(C136="","",IFERROR(INDEX('Trades'!$G$4:$G$103,MATCH(C136,'Trades'!$B$4:$B$103,0))&amp;"",""))</f>
        <v/>
      </c>
      <c r="I136" s="7">
        <f>IF(AND(G136="Yes",H136="No"),"GST charged, not registered","")</f>
        <v/>
      </c>
      <c r="J136" s="24" t="n"/>
      <c r="K136" s="22" t="n"/>
      <c r="L136" s="24" t="n"/>
      <c r="M136" s="33" t="n"/>
      <c r="N136" s="22" t="n"/>
      <c r="O136" s="23" t="n"/>
    </row>
    <row r="137">
      <c r="A137" s="24" t="n"/>
      <c r="B137" s="22" t="n"/>
      <c r="C137" s="22" t="n"/>
      <c r="D137" s="35" t="n"/>
      <c r="E137" s="22" t="n"/>
      <c r="F137" s="33" t="n"/>
      <c r="G137" s="22" t="n"/>
      <c r="H137" s="7">
        <f>IF(C137="","",IFERROR(INDEX('Trades'!$G$4:$G$103,MATCH(C137,'Trades'!$B$4:$B$103,0))&amp;"",""))</f>
        <v/>
      </c>
      <c r="I137" s="7">
        <f>IF(AND(G137="Yes",H137="No"),"GST charged, not registered","")</f>
        <v/>
      </c>
      <c r="J137" s="24" t="n"/>
      <c r="K137" s="22" t="n"/>
      <c r="L137" s="24" t="n"/>
      <c r="M137" s="33" t="n"/>
      <c r="N137" s="22" t="n"/>
      <c r="O137" s="23" t="n"/>
    </row>
    <row r="138">
      <c r="A138" s="24" t="n"/>
      <c r="B138" s="22" t="n"/>
      <c r="C138" s="22" t="n"/>
      <c r="D138" s="35" t="n"/>
      <c r="E138" s="22" t="n"/>
      <c r="F138" s="33" t="n"/>
      <c r="G138" s="22" t="n"/>
      <c r="H138" s="7">
        <f>IF(C138="","",IFERROR(INDEX('Trades'!$G$4:$G$103,MATCH(C138,'Trades'!$B$4:$B$103,0))&amp;"",""))</f>
        <v/>
      </c>
      <c r="I138" s="7">
        <f>IF(AND(G138="Yes",H138="No"),"GST charged, not registered","")</f>
        <v/>
      </c>
      <c r="J138" s="24" t="n"/>
      <c r="K138" s="22" t="n"/>
      <c r="L138" s="24" t="n"/>
      <c r="M138" s="33" t="n"/>
      <c r="N138" s="22" t="n"/>
      <c r="O138" s="23" t="n"/>
    </row>
    <row r="139">
      <c r="A139" s="24" t="n"/>
      <c r="B139" s="22" t="n"/>
      <c r="C139" s="22" t="n"/>
      <c r="D139" s="35" t="n"/>
      <c r="E139" s="22" t="n"/>
      <c r="F139" s="33" t="n"/>
      <c r="G139" s="22" t="n"/>
      <c r="H139" s="7">
        <f>IF(C139="","",IFERROR(INDEX('Trades'!$G$4:$G$103,MATCH(C139,'Trades'!$B$4:$B$103,0))&amp;"",""))</f>
        <v/>
      </c>
      <c r="I139" s="7">
        <f>IF(AND(G139="Yes",H139="No"),"GST charged, not registered","")</f>
        <v/>
      </c>
      <c r="J139" s="24" t="n"/>
      <c r="K139" s="22" t="n"/>
      <c r="L139" s="24" t="n"/>
      <c r="M139" s="33" t="n"/>
      <c r="N139" s="22" t="n"/>
      <c r="O139" s="23" t="n"/>
    </row>
    <row r="140">
      <c r="A140" s="24" t="n"/>
      <c r="B140" s="22" t="n"/>
      <c r="C140" s="22" t="n"/>
      <c r="D140" s="35" t="n"/>
      <c r="E140" s="22" t="n"/>
      <c r="F140" s="33" t="n"/>
      <c r="G140" s="22" t="n"/>
      <c r="H140" s="7">
        <f>IF(C140="","",IFERROR(INDEX('Trades'!$G$4:$G$103,MATCH(C140,'Trades'!$B$4:$B$103,0))&amp;"",""))</f>
        <v/>
      </c>
      <c r="I140" s="7">
        <f>IF(AND(G140="Yes",H140="No"),"GST charged, not registered","")</f>
        <v/>
      </c>
      <c r="J140" s="24" t="n"/>
      <c r="K140" s="22" t="n"/>
      <c r="L140" s="24" t="n"/>
      <c r="M140" s="33" t="n"/>
      <c r="N140" s="22" t="n"/>
      <c r="O140" s="23" t="n"/>
    </row>
    <row r="141">
      <c r="A141" s="24" t="n"/>
      <c r="B141" s="22" t="n"/>
      <c r="C141" s="22" t="n"/>
      <c r="D141" s="35" t="n"/>
      <c r="E141" s="22" t="n"/>
      <c r="F141" s="33" t="n"/>
      <c r="G141" s="22" t="n"/>
      <c r="H141" s="7">
        <f>IF(C141="","",IFERROR(INDEX('Trades'!$G$4:$G$103,MATCH(C141,'Trades'!$B$4:$B$103,0))&amp;"",""))</f>
        <v/>
      </c>
      <c r="I141" s="7">
        <f>IF(AND(G141="Yes",H141="No"),"GST charged, not registered","")</f>
        <v/>
      </c>
      <c r="J141" s="24" t="n"/>
      <c r="K141" s="22" t="n"/>
      <c r="L141" s="24" t="n"/>
      <c r="M141" s="33" t="n"/>
      <c r="N141" s="22" t="n"/>
      <c r="O141" s="23" t="n"/>
    </row>
    <row r="142">
      <c r="A142" s="24" t="n"/>
      <c r="B142" s="22" t="n"/>
      <c r="C142" s="22" t="n"/>
      <c r="D142" s="35" t="n"/>
      <c r="E142" s="22" t="n"/>
      <c r="F142" s="33" t="n"/>
      <c r="G142" s="22" t="n"/>
      <c r="H142" s="7">
        <f>IF(C142="","",IFERROR(INDEX('Trades'!$G$4:$G$103,MATCH(C142,'Trades'!$B$4:$B$103,0))&amp;"",""))</f>
        <v/>
      </c>
      <c r="I142" s="7">
        <f>IF(AND(G142="Yes",H142="No"),"GST charged, not registered","")</f>
        <v/>
      </c>
      <c r="J142" s="24" t="n"/>
      <c r="K142" s="22" t="n"/>
      <c r="L142" s="24" t="n"/>
      <c r="M142" s="33" t="n"/>
      <c r="N142" s="22" t="n"/>
      <c r="O142" s="23" t="n"/>
    </row>
    <row r="143">
      <c r="A143" s="24" t="n"/>
      <c r="B143" s="22" t="n"/>
      <c r="C143" s="22" t="n"/>
      <c r="D143" s="35" t="n"/>
      <c r="E143" s="22" t="n"/>
      <c r="F143" s="33" t="n"/>
      <c r="G143" s="22" t="n"/>
      <c r="H143" s="7">
        <f>IF(C143="","",IFERROR(INDEX('Trades'!$G$4:$G$103,MATCH(C143,'Trades'!$B$4:$B$103,0))&amp;"",""))</f>
        <v/>
      </c>
      <c r="I143" s="7">
        <f>IF(AND(G143="Yes",H143="No"),"GST charged, not registered","")</f>
        <v/>
      </c>
      <c r="J143" s="24" t="n"/>
      <c r="K143" s="22" t="n"/>
      <c r="L143" s="24" t="n"/>
      <c r="M143" s="33" t="n"/>
      <c r="N143" s="22" t="n"/>
      <c r="O143" s="23" t="n"/>
    </row>
    <row r="144">
      <c r="A144" s="24" t="n"/>
      <c r="B144" s="22" t="n"/>
      <c r="C144" s="22" t="n"/>
      <c r="D144" s="35" t="n"/>
      <c r="E144" s="22" t="n"/>
      <c r="F144" s="33" t="n"/>
      <c r="G144" s="22" t="n"/>
      <c r="H144" s="7">
        <f>IF(C144="","",IFERROR(INDEX('Trades'!$G$4:$G$103,MATCH(C144,'Trades'!$B$4:$B$103,0))&amp;"",""))</f>
        <v/>
      </c>
      <c r="I144" s="7">
        <f>IF(AND(G144="Yes",H144="No"),"GST charged, not registered","")</f>
        <v/>
      </c>
      <c r="J144" s="24" t="n"/>
      <c r="K144" s="22" t="n"/>
      <c r="L144" s="24" t="n"/>
      <c r="M144" s="33" t="n"/>
      <c r="N144" s="22" t="n"/>
      <c r="O144" s="23" t="n"/>
    </row>
    <row r="145">
      <c r="A145" s="24" t="n"/>
      <c r="B145" s="22" t="n"/>
      <c r="C145" s="22" t="n"/>
      <c r="D145" s="35" t="n"/>
      <c r="E145" s="22" t="n"/>
      <c r="F145" s="33" t="n"/>
      <c r="G145" s="22" t="n"/>
      <c r="H145" s="7">
        <f>IF(C145="","",IFERROR(INDEX('Trades'!$G$4:$G$103,MATCH(C145,'Trades'!$B$4:$B$103,0))&amp;"",""))</f>
        <v/>
      </c>
      <c r="I145" s="7">
        <f>IF(AND(G145="Yes",H145="No"),"GST charged, not registered","")</f>
        <v/>
      </c>
      <c r="J145" s="24" t="n"/>
      <c r="K145" s="22" t="n"/>
      <c r="L145" s="24" t="n"/>
      <c r="M145" s="33" t="n"/>
      <c r="N145" s="22" t="n"/>
      <c r="O145" s="23" t="n"/>
    </row>
    <row r="146">
      <c r="A146" s="24" t="n"/>
      <c r="B146" s="22" t="n"/>
      <c r="C146" s="22" t="n"/>
      <c r="D146" s="35" t="n"/>
      <c r="E146" s="22" t="n"/>
      <c r="F146" s="33" t="n"/>
      <c r="G146" s="22" t="n"/>
      <c r="H146" s="7">
        <f>IF(C146="","",IFERROR(INDEX('Trades'!$G$4:$G$103,MATCH(C146,'Trades'!$B$4:$B$103,0))&amp;"",""))</f>
        <v/>
      </c>
      <c r="I146" s="7">
        <f>IF(AND(G146="Yes",H146="No"),"GST charged, not registered","")</f>
        <v/>
      </c>
      <c r="J146" s="24" t="n"/>
      <c r="K146" s="22" t="n"/>
      <c r="L146" s="24" t="n"/>
      <c r="M146" s="33" t="n"/>
      <c r="N146" s="22" t="n"/>
      <c r="O146" s="23" t="n"/>
    </row>
    <row r="147">
      <c r="A147" s="24" t="n"/>
      <c r="B147" s="22" t="n"/>
      <c r="C147" s="22" t="n"/>
      <c r="D147" s="35" t="n"/>
      <c r="E147" s="22" t="n"/>
      <c r="F147" s="33" t="n"/>
      <c r="G147" s="22" t="n"/>
      <c r="H147" s="7">
        <f>IF(C147="","",IFERROR(INDEX('Trades'!$G$4:$G$103,MATCH(C147,'Trades'!$B$4:$B$103,0))&amp;"",""))</f>
        <v/>
      </c>
      <c r="I147" s="7">
        <f>IF(AND(G147="Yes",H147="No"),"GST charged, not registered","")</f>
        <v/>
      </c>
      <c r="J147" s="24" t="n"/>
      <c r="K147" s="22" t="n"/>
      <c r="L147" s="24" t="n"/>
      <c r="M147" s="33" t="n"/>
      <c r="N147" s="22" t="n"/>
      <c r="O147" s="23" t="n"/>
    </row>
    <row r="148">
      <c r="A148" s="24" t="n"/>
      <c r="B148" s="22" t="n"/>
      <c r="C148" s="22" t="n"/>
      <c r="D148" s="35" t="n"/>
      <c r="E148" s="22" t="n"/>
      <c r="F148" s="33" t="n"/>
      <c r="G148" s="22" t="n"/>
      <c r="H148" s="7">
        <f>IF(C148="","",IFERROR(INDEX('Trades'!$G$4:$G$103,MATCH(C148,'Trades'!$B$4:$B$103,0))&amp;"",""))</f>
        <v/>
      </c>
      <c r="I148" s="7">
        <f>IF(AND(G148="Yes",H148="No"),"GST charged, not registered","")</f>
        <v/>
      </c>
      <c r="J148" s="24" t="n"/>
      <c r="K148" s="22" t="n"/>
      <c r="L148" s="24" t="n"/>
      <c r="M148" s="33" t="n"/>
      <c r="N148" s="22" t="n"/>
      <c r="O148" s="23" t="n"/>
    </row>
    <row r="149">
      <c r="A149" s="24" t="n"/>
      <c r="B149" s="22" t="n"/>
      <c r="C149" s="22" t="n"/>
      <c r="D149" s="35" t="n"/>
      <c r="E149" s="22" t="n"/>
      <c r="F149" s="33" t="n"/>
      <c r="G149" s="22" t="n"/>
      <c r="H149" s="7">
        <f>IF(C149="","",IFERROR(INDEX('Trades'!$G$4:$G$103,MATCH(C149,'Trades'!$B$4:$B$103,0))&amp;"",""))</f>
        <v/>
      </c>
      <c r="I149" s="7">
        <f>IF(AND(G149="Yes",H149="No"),"GST charged, not registered","")</f>
        <v/>
      </c>
      <c r="J149" s="24" t="n"/>
      <c r="K149" s="22" t="n"/>
      <c r="L149" s="24" t="n"/>
      <c r="M149" s="33" t="n"/>
      <c r="N149" s="22" t="n"/>
      <c r="O149" s="23" t="n"/>
    </row>
    <row r="150">
      <c r="A150" s="24" t="n"/>
      <c r="B150" s="22" t="n"/>
      <c r="C150" s="22" t="n"/>
      <c r="D150" s="35" t="n"/>
      <c r="E150" s="22" t="n"/>
      <c r="F150" s="33" t="n"/>
      <c r="G150" s="22" t="n"/>
      <c r="H150" s="7">
        <f>IF(C150="","",IFERROR(INDEX('Trades'!$G$4:$G$103,MATCH(C150,'Trades'!$B$4:$B$103,0))&amp;"",""))</f>
        <v/>
      </c>
      <c r="I150" s="7">
        <f>IF(AND(G150="Yes",H150="No"),"GST charged, not registered","")</f>
        <v/>
      </c>
      <c r="J150" s="24" t="n"/>
      <c r="K150" s="22" t="n"/>
      <c r="L150" s="24" t="n"/>
      <c r="M150" s="33" t="n"/>
      <c r="N150" s="22" t="n"/>
      <c r="O150" s="23" t="n"/>
    </row>
    <row r="151">
      <c r="A151" s="24" t="n"/>
      <c r="B151" s="22" t="n"/>
      <c r="C151" s="22" t="n"/>
      <c r="D151" s="35" t="n"/>
      <c r="E151" s="22" t="n"/>
      <c r="F151" s="33" t="n"/>
      <c r="G151" s="22" t="n"/>
      <c r="H151" s="7">
        <f>IF(C151="","",IFERROR(INDEX('Trades'!$G$4:$G$103,MATCH(C151,'Trades'!$B$4:$B$103,0))&amp;"",""))</f>
        <v/>
      </c>
      <c r="I151" s="7">
        <f>IF(AND(G151="Yes",H151="No"),"GST charged, not registered","")</f>
        <v/>
      </c>
      <c r="J151" s="24" t="n"/>
      <c r="K151" s="22" t="n"/>
      <c r="L151" s="24" t="n"/>
      <c r="M151" s="33" t="n"/>
      <c r="N151" s="22" t="n"/>
      <c r="O151" s="23" t="n"/>
    </row>
    <row r="152">
      <c r="A152" s="24" t="n"/>
      <c r="B152" s="22" t="n"/>
      <c r="C152" s="22" t="n"/>
      <c r="D152" s="35" t="n"/>
      <c r="E152" s="22" t="n"/>
      <c r="F152" s="33" t="n"/>
      <c r="G152" s="22" t="n"/>
      <c r="H152" s="7">
        <f>IF(C152="","",IFERROR(INDEX('Trades'!$G$4:$G$103,MATCH(C152,'Trades'!$B$4:$B$103,0))&amp;"",""))</f>
        <v/>
      </c>
      <c r="I152" s="7">
        <f>IF(AND(G152="Yes",H152="No"),"GST charged, not registered","")</f>
        <v/>
      </c>
      <c r="J152" s="24" t="n"/>
      <c r="K152" s="22" t="n"/>
      <c r="L152" s="24" t="n"/>
      <c r="M152" s="33" t="n"/>
      <c r="N152" s="22" t="n"/>
      <c r="O152" s="23" t="n"/>
    </row>
    <row r="153">
      <c r="A153" s="24" t="n"/>
      <c r="B153" s="22" t="n"/>
      <c r="C153" s="22" t="n"/>
      <c r="D153" s="35" t="n"/>
      <c r="E153" s="22" t="n"/>
      <c r="F153" s="33" t="n"/>
      <c r="G153" s="22" t="n"/>
      <c r="H153" s="7">
        <f>IF(C153="","",IFERROR(INDEX('Trades'!$G$4:$G$103,MATCH(C153,'Trades'!$B$4:$B$103,0))&amp;"",""))</f>
        <v/>
      </c>
      <c r="I153" s="7">
        <f>IF(AND(G153="Yes",H153="No"),"GST charged, not registered","")</f>
        <v/>
      </c>
      <c r="J153" s="24" t="n"/>
      <c r="K153" s="22" t="n"/>
      <c r="L153" s="24" t="n"/>
      <c r="M153" s="33" t="n"/>
      <c r="N153" s="22" t="n"/>
      <c r="O153" s="23" t="n"/>
    </row>
    <row r="154">
      <c r="A154" s="24" t="n"/>
      <c r="B154" s="22" t="n"/>
      <c r="C154" s="22" t="n"/>
      <c r="D154" s="35" t="n"/>
      <c r="E154" s="22" t="n"/>
      <c r="F154" s="33" t="n"/>
      <c r="G154" s="22" t="n"/>
      <c r="H154" s="7">
        <f>IF(C154="","",IFERROR(INDEX('Trades'!$G$4:$G$103,MATCH(C154,'Trades'!$B$4:$B$103,0))&amp;"",""))</f>
        <v/>
      </c>
      <c r="I154" s="7">
        <f>IF(AND(G154="Yes",H154="No"),"GST charged, not registered","")</f>
        <v/>
      </c>
      <c r="J154" s="24" t="n"/>
      <c r="K154" s="22" t="n"/>
      <c r="L154" s="24" t="n"/>
      <c r="M154" s="33" t="n"/>
      <c r="N154" s="22" t="n"/>
      <c r="O154" s="23" t="n"/>
    </row>
    <row r="155">
      <c r="A155" s="24" t="n"/>
      <c r="B155" s="22" t="n"/>
      <c r="C155" s="22" t="n"/>
      <c r="D155" s="35" t="n"/>
      <c r="E155" s="22" t="n"/>
      <c r="F155" s="33" t="n"/>
      <c r="G155" s="22" t="n"/>
      <c r="H155" s="7">
        <f>IF(C155="","",IFERROR(INDEX('Trades'!$G$4:$G$103,MATCH(C155,'Trades'!$B$4:$B$103,0))&amp;"",""))</f>
        <v/>
      </c>
      <c r="I155" s="7">
        <f>IF(AND(G155="Yes",H155="No"),"GST charged, not registered","")</f>
        <v/>
      </c>
      <c r="J155" s="24" t="n"/>
      <c r="K155" s="22" t="n"/>
      <c r="L155" s="24" t="n"/>
      <c r="M155" s="33" t="n"/>
      <c r="N155" s="22" t="n"/>
      <c r="O155" s="23" t="n"/>
    </row>
    <row r="156">
      <c r="A156" s="24" t="n"/>
      <c r="B156" s="22" t="n"/>
      <c r="C156" s="22" t="n"/>
      <c r="D156" s="35" t="n"/>
      <c r="E156" s="22" t="n"/>
      <c r="F156" s="33" t="n"/>
      <c r="G156" s="22" t="n"/>
      <c r="H156" s="7">
        <f>IF(C156="","",IFERROR(INDEX('Trades'!$G$4:$G$103,MATCH(C156,'Trades'!$B$4:$B$103,0))&amp;"",""))</f>
        <v/>
      </c>
      <c r="I156" s="7">
        <f>IF(AND(G156="Yes",H156="No"),"GST charged, not registered","")</f>
        <v/>
      </c>
      <c r="J156" s="24" t="n"/>
      <c r="K156" s="22" t="n"/>
      <c r="L156" s="24" t="n"/>
      <c r="M156" s="33" t="n"/>
      <c r="N156" s="22" t="n"/>
      <c r="O156" s="23" t="n"/>
    </row>
    <row r="157">
      <c r="A157" s="24" t="n"/>
      <c r="B157" s="22" t="n"/>
      <c r="C157" s="22" t="n"/>
      <c r="D157" s="35" t="n"/>
      <c r="E157" s="22" t="n"/>
      <c r="F157" s="33" t="n"/>
      <c r="G157" s="22" t="n"/>
      <c r="H157" s="7">
        <f>IF(C157="","",IFERROR(INDEX('Trades'!$G$4:$G$103,MATCH(C157,'Trades'!$B$4:$B$103,0))&amp;"",""))</f>
        <v/>
      </c>
      <c r="I157" s="7">
        <f>IF(AND(G157="Yes",H157="No"),"GST charged, not registered","")</f>
        <v/>
      </c>
      <c r="J157" s="24" t="n"/>
      <c r="K157" s="22" t="n"/>
      <c r="L157" s="24" t="n"/>
      <c r="M157" s="33" t="n"/>
      <c r="N157" s="22" t="n"/>
      <c r="O157" s="23" t="n"/>
    </row>
    <row r="158">
      <c r="A158" s="24" t="n"/>
      <c r="B158" s="22" t="n"/>
      <c r="C158" s="22" t="n"/>
      <c r="D158" s="35" t="n"/>
      <c r="E158" s="22" t="n"/>
      <c r="F158" s="33" t="n"/>
      <c r="G158" s="22" t="n"/>
      <c r="H158" s="7">
        <f>IF(C158="","",IFERROR(INDEX('Trades'!$G$4:$G$103,MATCH(C158,'Trades'!$B$4:$B$103,0))&amp;"",""))</f>
        <v/>
      </c>
      <c r="I158" s="7">
        <f>IF(AND(G158="Yes",H158="No"),"GST charged, not registered","")</f>
        <v/>
      </c>
      <c r="J158" s="24" t="n"/>
      <c r="K158" s="22" t="n"/>
      <c r="L158" s="24" t="n"/>
      <c r="M158" s="33" t="n"/>
      <c r="N158" s="22" t="n"/>
      <c r="O158" s="23" t="n"/>
    </row>
    <row r="159">
      <c r="A159" s="24" t="n"/>
      <c r="B159" s="22" t="n"/>
      <c r="C159" s="22" t="n"/>
      <c r="D159" s="35" t="n"/>
      <c r="E159" s="22" t="n"/>
      <c r="F159" s="33" t="n"/>
      <c r="G159" s="22" t="n"/>
      <c r="H159" s="7">
        <f>IF(C159="","",IFERROR(INDEX('Trades'!$G$4:$G$103,MATCH(C159,'Trades'!$B$4:$B$103,0))&amp;"",""))</f>
        <v/>
      </c>
      <c r="I159" s="7">
        <f>IF(AND(G159="Yes",H159="No"),"GST charged, not registered","")</f>
        <v/>
      </c>
      <c r="J159" s="24" t="n"/>
      <c r="K159" s="22" t="n"/>
      <c r="L159" s="24" t="n"/>
      <c r="M159" s="33" t="n"/>
      <c r="N159" s="22" t="n"/>
      <c r="O159" s="23" t="n"/>
    </row>
    <row r="160">
      <c r="A160" s="24" t="n"/>
      <c r="B160" s="22" t="n"/>
      <c r="C160" s="22" t="n"/>
      <c r="D160" s="35" t="n"/>
      <c r="E160" s="22" t="n"/>
      <c r="F160" s="33" t="n"/>
      <c r="G160" s="22" t="n"/>
      <c r="H160" s="7">
        <f>IF(C160="","",IFERROR(INDEX('Trades'!$G$4:$G$103,MATCH(C160,'Trades'!$B$4:$B$103,0))&amp;"",""))</f>
        <v/>
      </c>
      <c r="I160" s="7">
        <f>IF(AND(G160="Yes",H160="No"),"GST charged, not registered","")</f>
        <v/>
      </c>
      <c r="J160" s="24" t="n"/>
      <c r="K160" s="22" t="n"/>
      <c r="L160" s="24" t="n"/>
      <c r="M160" s="33" t="n"/>
      <c r="N160" s="22" t="n"/>
      <c r="O160" s="23" t="n"/>
    </row>
    <row r="161">
      <c r="A161" s="24" t="n"/>
      <c r="B161" s="22" t="n"/>
      <c r="C161" s="22" t="n"/>
      <c r="D161" s="35" t="n"/>
      <c r="E161" s="22" t="n"/>
      <c r="F161" s="33" t="n"/>
      <c r="G161" s="22" t="n"/>
      <c r="H161" s="7">
        <f>IF(C161="","",IFERROR(INDEX('Trades'!$G$4:$G$103,MATCH(C161,'Trades'!$B$4:$B$103,0))&amp;"",""))</f>
        <v/>
      </c>
      <c r="I161" s="7">
        <f>IF(AND(G161="Yes",H161="No"),"GST charged, not registered","")</f>
        <v/>
      </c>
      <c r="J161" s="24" t="n"/>
      <c r="K161" s="22" t="n"/>
      <c r="L161" s="24" t="n"/>
      <c r="M161" s="33" t="n"/>
      <c r="N161" s="22" t="n"/>
      <c r="O161" s="23" t="n"/>
    </row>
    <row r="162">
      <c r="A162" s="24" t="n"/>
      <c r="B162" s="22" t="n"/>
      <c r="C162" s="22" t="n"/>
      <c r="D162" s="35" t="n"/>
      <c r="E162" s="22" t="n"/>
      <c r="F162" s="33" t="n"/>
      <c r="G162" s="22" t="n"/>
      <c r="H162" s="7">
        <f>IF(C162="","",IFERROR(INDEX('Trades'!$G$4:$G$103,MATCH(C162,'Trades'!$B$4:$B$103,0))&amp;"",""))</f>
        <v/>
      </c>
      <c r="I162" s="7">
        <f>IF(AND(G162="Yes",H162="No"),"GST charged, not registered","")</f>
        <v/>
      </c>
      <c r="J162" s="24" t="n"/>
      <c r="K162" s="22" t="n"/>
      <c r="L162" s="24" t="n"/>
      <c r="M162" s="33" t="n"/>
      <c r="N162" s="22" t="n"/>
      <c r="O162" s="23" t="n"/>
    </row>
    <row r="163">
      <c r="A163" s="24" t="n"/>
      <c r="B163" s="22" t="n"/>
      <c r="C163" s="22" t="n"/>
      <c r="D163" s="35" t="n"/>
      <c r="E163" s="22" t="n"/>
      <c r="F163" s="33" t="n"/>
      <c r="G163" s="22" t="n"/>
      <c r="H163" s="7">
        <f>IF(C163="","",IFERROR(INDEX('Trades'!$G$4:$G$103,MATCH(C163,'Trades'!$B$4:$B$103,0))&amp;"",""))</f>
        <v/>
      </c>
      <c r="I163" s="7">
        <f>IF(AND(G163="Yes",H163="No"),"GST charged, not registered","")</f>
        <v/>
      </c>
      <c r="J163" s="24" t="n"/>
      <c r="K163" s="22" t="n"/>
      <c r="L163" s="24" t="n"/>
      <c r="M163" s="33" t="n"/>
      <c r="N163" s="22" t="n"/>
      <c r="O163" s="23" t="n"/>
    </row>
    <row r="164">
      <c r="A164" s="24" t="n"/>
      <c r="B164" s="22" t="n"/>
      <c r="C164" s="22" t="n"/>
      <c r="D164" s="35" t="n"/>
      <c r="E164" s="22" t="n"/>
      <c r="F164" s="33" t="n"/>
      <c r="G164" s="22" t="n"/>
      <c r="H164" s="7">
        <f>IF(C164="","",IFERROR(INDEX('Trades'!$G$4:$G$103,MATCH(C164,'Trades'!$B$4:$B$103,0))&amp;"",""))</f>
        <v/>
      </c>
      <c r="I164" s="7">
        <f>IF(AND(G164="Yes",H164="No"),"GST charged, not registered","")</f>
        <v/>
      </c>
      <c r="J164" s="24" t="n"/>
      <c r="K164" s="22" t="n"/>
      <c r="L164" s="24" t="n"/>
      <c r="M164" s="33" t="n"/>
      <c r="N164" s="22" t="n"/>
      <c r="O164" s="23" t="n"/>
    </row>
    <row r="165">
      <c r="A165" s="24" t="n"/>
      <c r="B165" s="22" t="n"/>
      <c r="C165" s="22" t="n"/>
      <c r="D165" s="35" t="n"/>
      <c r="E165" s="22" t="n"/>
      <c r="F165" s="33" t="n"/>
      <c r="G165" s="22" t="n"/>
      <c r="H165" s="7">
        <f>IF(C165="","",IFERROR(INDEX('Trades'!$G$4:$G$103,MATCH(C165,'Trades'!$B$4:$B$103,0))&amp;"",""))</f>
        <v/>
      </c>
      <c r="I165" s="7">
        <f>IF(AND(G165="Yes",H165="No"),"GST charged, not registered","")</f>
        <v/>
      </c>
      <c r="J165" s="24" t="n"/>
      <c r="K165" s="22" t="n"/>
      <c r="L165" s="24" t="n"/>
      <c r="M165" s="33" t="n"/>
      <c r="N165" s="22" t="n"/>
      <c r="O165" s="23" t="n"/>
    </row>
    <row r="166">
      <c r="A166" s="24" t="n"/>
      <c r="B166" s="22" t="n"/>
      <c r="C166" s="22" t="n"/>
      <c r="D166" s="35" t="n"/>
      <c r="E166" s="22" t="n"/>
      <c r="F166" s="33" t="n"/>
      <c r="G166" s="22" t="n"/>
      <c r="H166" s="7">
        <f>IF(C166="","",IFERROR(INDEX('Trades'!$G$4:$G$103,MATCH(C166,'Trades'!$B$4:$B$103,0))&amp;"",""))</f>
        <v/>
      </c>
      <c r="I166" s="7">
        <f>IF(AND(G166="Yes",H166="No"),"GST charged, not registered","")</f>
        <v/>
      </c>
      <c r="J166" s="24" t="n"/>
      <c r="K166" s="22" t="n"/>
      <c r="L166" s="24" t="n"/>
      <c r="M166" s="33" t="n"/>
      <c r="N166" s="22" t="n"/>
      <c r="O166" s="23" t="n"/>
    </row>
    <row r="167">
      <c r="A167" s="24" t="n"/>
      <c r="B167" s="22" t="n"/>
      <c r="C167" s="22" t="n"/>
      <c r="D167" s="35" t="n"/>
      <c r="E167" s="22" t="n"/>
      <c r="F167" s="33" t="n"/>
      <c r="G167" s="22" t="n"/>
      <c r="H167" s="7">
        <f>IF(C167="","",IFERROR(INDEX('Trades'!$G$4:$G$103,MATCH(C167,'Trades'!$B$4:$B$103,0))&amp;"",""))</f>
        <v/>
      </c>
      <c r="I167" s="7">
        <f>IF(AND(G167="Yes",H167="No"),"GST charged, not registered","")</f>
        <v/>
      </c>
      <c r="J167" s="24" t="n"/>
      <c r="K167" s="22" t="n"/>
      <c r="L167" s="24" t="n"/>
      <c r="M167" s="33" t="n"/>
      <c r="N167" s="22" t="n"/>
      <c r="O167" s="23" t="n"/>
    </row>
    <row r="168">
      <c r="A168" s="24" t="n"/>
      <c r="B168" s="22" t="n"/>
      <c r="C168" s="22" t="n"/>
      <c r="D168" s="35" t="n"/>
      <c r="E168" s="22" t="n"/>
      <c r="F168" s="33" t="n"/>
      <c r="G168" s="22" t="n"/>
      <c r="H168" s="7">
        <f>IF(C168="","",IFERROR(INDEX('Trades'!$G$4:$G$103,MATCH(C168,'Trades'!$B$4:$B$103,0))&amp;"",""))</f>
        <v/>
      </c>
      <c r="I168" s="7">
        <f>IF(AND(G168="Yes",H168="No"),"GST charged, not registered","")</f>
        <v/>
      </c>
      <c r="J168" s="24" t="n"/>
      <c r="K168" s="22" t="n"/>
      <c r="L168" s="24" t="n"/>
      <c r="M168" s="33" t="n"/>
      <c r="N168" s="22" t="n"/>
      <c r="O168" s="23" t="n"/>
    </row>
    <row r="169">
      <c r="A169" s="24" t="n"/>
      <c r="B169" s="22" t="n"/>
      <c r="C169" s="22" t="n"/>
      <c r="D169" s="35" t="n"/>
      <c r="E169" s="22" t="n"/>
      <c r="F169" s="33" t="n"/>
      <c r="G169" s="22" t="n"/>
      <c r="H169" s="7">
        <f>IF(C169="","",IFERROR(INDEX('Trades'!$G$4:$G$103,MATCH(C169,'Trades'!$B$4:$B$103,0))&amp;"",""))</f>
        <v/>
      </c>
      <c r="I169" s="7">
        <f>IF(AND(G169="Yes",H169="No"),"GST charged, not registered","")</f>
        <v/>
      </c>
      <c r="J169" s="24" t="n"/>
      <c r="K169" s="22" t="n"/>
      <c r="L169" s="24" t="n"/>
      <c r="M169" s="33" t="n"/>
      <c r="N169" s="22" t="n"/>
      <c r="O169" s="23" t="n"/>
    </row>
    <row r="170">
      <c r="A170" s="24" t="n"/>
      <c r="B170" s="22" t="n"/>
      <c r="C170" s="22" t="n"/>
      <c r="D170" s="35" t="n"/>
      <c r="E170" s="22" t="n"/>
      <c r="F170" s="33" t="n"/>
      <c r="G170" s="22" t="n"/>
      <c r="H170" s="7">
        <f>IF(C170="","",IFERROR(INDEX('Trades'!$G$4:$G$103,MATCH(C170,'Trades'!$B$4:$B$103,0))&amp;"",""))</f>
        <v/>
      </c>
      <c r="I170" s="7">
        <f>IF(AND(G170="Yes",H170="No"),"GST charged, not registered","")</f>
        <v/>
      </c>
      <c r="J170" s="24" t="n"/>
      <c r="K170" s="22" t="n"/>
      <c r="L170" s="24" t="n"/>
      <c r="M170" s="33" t="n"/>
      <c r="N170" s="22" t="n"/>
      <c r="O170" s="23" t="n"/>
    </row>
    <row r="171">
      <c r="A171" s="24" t="n"/>
      <c r="B171" s="22" t="n"/>
      <c r="C171" s="22" t="n"/>
      <c r="D171" s="35" t="n"/>
      <c r="E171" s="22" t="n"/>
      <c r="F171" s="33" t="n"/>
      <c r="G171" s="22" t="n"/>
      <c r="H171" s="7">
        <f>IF(C171="","",IFERROR(INDEX('Trades'!$G$4:$G$103,MATCH(C171,'Trades'!$B$4:$B$103,0))&amp;"",""))</f>
        <v/>
      </c>
      <c r="I171" s="7">
        <f>IF(AND(G171="Yes",H171="No"),"GST charged, not registered","")</f>
        <v/>
      </c>
      <c r="J171" s="24" t="n"/>
      <c r="K171" s="22" t="n"/>
      <c r="L171" s="24" t="n"/>
      <c r="M171" s="33" t="n"/>
      <c r="N171" s="22" t="n"/>
      <c r="O171" s="23" t="n"/>
    </row>
    <row r="172">
      <c r="A172" s="24" t="n"/>
      <c r="B172" s="22" t="n"/>
      <c r="C172" s="22" t="n"/>
      <c r="D172" s="35" t="n"/>
      <c r="E172" s="22" t="n"/>
      <c r="F172" s="33" t="n"/>
      <c r="G172" s="22" t="n"/>
      <c r="H172" s="7">
        <f>IF(C172="","",IFERROR(INDEX('Trades'!$G$4:$G$103,MATCH(C172,'Trades'!$B$4:$B$103,0))&amp;"",""))</f>
        <v/>
      </c>
      <c r="I172" s="7">
        <f>IF(AND(G172="Yes",H172="No"),"GST charged, not registered","")</f>
        <v/>
      </c>
      <c r="J172" s="24" t="n"/>
      <c r="K172" s="22" t="n"/>
      <c r="L172" s="24" t="n"/>
      <c r="M172" s="33" t="n"/>
      <c r="N172" s="22" t="n"/>
      <c r="O172" s="23" t="n"/>
    </row>
    <row r="173">
      <c r="A173" s="24" t="n"/>
      <c r="B173" s="22" t="n"/>
      <c r="C173" s="22" t="n"/>
      <c r="D173" s="35" t="n"/>
      <c r="E173" s="22" t="n"/>
      <c r="F173" s="33" t="n"/>
      <c r="G173" s="22" t="n"/>
      <c r="H173" s="7">
        <f>IF(C173="","",IFERROR(INDEX('Trades'!$G$4:$G$103,MATCH(C173,'Trades'!$B$4:$B$103,0))&amp;"",""))</f>
        <v/>
      </c>
      <c r="I173" s="7">
        <f>IF(AND(G173="Yes",H173="No"),"GST charged, not registered","")</f>
        <v/>
      </c>
      <c r="J173" s="24" t="n"/>
      <c r="K173" s="22" t="n"/>
      <c r="L173" s="24" t="n"/>
      <c r="M173" s="33" t="n"/>
      <c r="N173" s="22" t="n"/>
      <c r="O173" s="23" t="n"/>
    </row>
    <row r="174">
      <c r="A174" s="24" t="n"/>
      <c r="B174" s="22" t="n"/>
      <c r="C174" s="22" t="n"/>
      <c r="D174" s="35" t="n"/>
      <c r="E174" s="22" t="n"/>
      <c r="F174" s="33" t="n"/>
      <c r="G174" s="22" t="n"/>
      <c r="H174" s="7">
        <f>IF(C174="","",IFERROR(INDEX('Trades'!$G$4:$G$103,MATCH(C174,'Trades'!$B$4:$B$103,0))&amp;"",""))</f>
        <v/>
      </c>
      <c r="I174" s="7">
        <f>IF(AND(G174="Yes",H174="No"),"GST charged, not registered","")</f>
        <v/>
      </c>
      <c r="J174" s="24" t="n"/>
      <c r="K174" s="22" t="n"/>
      <c r="L174" s="24" t="n"/>
      <c r="M174" s="33" t="n"/>
      <c r="N174" s="22" t="n"/>
      <c r="O174" s="23" t="n"/>
    </row>
    <row r="175">
      <c r="A175" s="24" t="n"/>
      <c r="B175" s="22" t="n"/>
      <c r="C175" s="22" t="n"/>
      <c r="D175" s="35" t="n"/>
      <c r="E175" s="22" t="n"/>
      <c r="F175" s="33" t="n"/>
      <c r="G175" s="22" t="n"/>
      <c r="H175" s="7">
        <f>IF(C175="","",IFERROR(INDEX('Trades'!$G$4:$G$103,MATCH(C175,'Trades'!$B$4:$B$103,0))&amp;"",""))</f>
        <v/>
      </c>
      <c r="I175" s="7">
        <f>IF(AND(G175="Yes",H175="No"),"GST charged, not registered","")</f>
        <v/>
      </c>
      <c r="J175" s="24" t="n"/>
      <c r="K175" s="22" t="n"/>
      <c r="L175" s="24" t="n"/>
      <c r="M175" s="33" t="n"/>
      <c r="N175" s="22" t="n"/>
      <c r="O175" s="23" t="n"/>
    </row>
    <row r="176">
      <c r="A176" s="24" t="n"/>
      <c r="B176" s="22" t="n"/>
      <c r="C176" s="22" t="n"/>
      <c r="D176" s="35" t="n"/>
      <c r="E176" s="22" t="n"/>
      <c r="F176" s="33" t="n"/>
      <c r="G176" s="22" t="n"/>
      <c r="H176" s="7">
        <f>IF(C176="","",IFERROR(INDEX('Trades'!$G$4:$G$103,MATCH(C176,'Trades'!$B$4:$B$103,0))&amp;"",""))</f>
        <v/>
      </c>
      <c r="I176" s="7">
        <f>IF(AND(G176="Yes",H176="No"),"GST charged, not registered","")</f>
        <v/>
      </c>
      <c r="J176" s="24" t="n"/>
      <c r="K176" s="22" t="n"/>
      <c r="L176" s="24" t="n"/>
      <c r="M176" s="33" t="n"/>
      <c r="N176" s="22" t="n"/>
      <c r="O176" s="23" t="n"/>
    </row>
    <row r="177">
      <c r="A177" s="24" t="n"/>
      <c r="B177" s="22" t="n"/>
      <c r="C177" s="22" t="n"/>
      <c r="D177" s="35" t="n"/>
      <c r="E177" s="22" t="n"/>
      <c r="F177" s="33" t="n"/>
      <c r="G177" s="22" t="n"/>
      <c r="H177" s="7">
        <f>IF(C177="","",IFERROR(INDEX('Trades'!$G$4:$G$103,MATCH(C177,'Trades'!$B$4:$B$103,0))&amp;"",""))</f>
        <v/>
      </c>
      <c r="I177" s="7">
        <f>IF(AND(G177="Yes",H177="No"),"GST charged, not registered","")</f>
        <v/>
      </c>
      <c r="J177" s="24" t="n"/>
      <c r="K177" s="22" t="n"/>
      <c r="L177" s="24" t="n"/>
      <c r="M177" s="33" t="n"/>
      <c r="N177" s="22" t="n"/>
      <c r="O177" s="23" t="n"/>
    </row>
    <row r="178">
      <c r="A178" s="24" t="n"/>
      <c r="B178" s="22" t="n"/>
      <c r="C178" s="22" t="n"/>
      <c r="D178" s="35" t="n"/>
      <c r="E178" s="22" t="n"/>
      <c r="F178" s="33" t="n"/>
      <c r="G178" s="22" t="n"/>
      <c r="H178" s="7">
        <f>IF(C178="","",IFERROR(INDEX('Trades'!$G$4:$G$103,MATCH(C178,'Trades'!$B$4:$B$103,0))&amp;"",""))</f>
        <v/>
      </c>
      <c r="I178" s="7">
        <f>IF(AND(G178="Yes",H178="No"),"GST charged, not registered","")</f>
        <v/>
      </c>
      <c r="J178" s="24" t="n"/>
      <c r="K178" s="22" t="n"/>
      <c r="L178" s="24" t="n"/>
      <c r="M178" s="33" t="n"/>
      <c r="N178" s="22" t="n"/>
      <c r="O178" s="23" t="n"/>
    </row>
    <row r="179">
      <c r="A179" s="24" t="n"/>
      <c r="B179" s="22" t="n"/>
      <c r="C179" s="22" t="n"/>
      <c r="D179" s="35" t="n"/>
      <c r="E179" s="22" t="n"/>
      <c r="F179" s="33" t="n"/>
      <c r="G179" s="22" t="n"/>
      <c r="H179" s="7">
        <f>IF(C179="","",IFERROR(INDEX('Trades'!$G$4:$G$103,MATCH(C179,'Trades'!$B$4:$B$103,0))&amp;"",""))</f>
        <v/>
      </c>
      <c r="I179" s="7">
        <f>IF(AND(G179="Yes",H179="No"),"GST charged, not registered","")</f>
        <v/>
      </c>
      <c r="J179" s="24" t="n"/>
      <c r="K179" s="22" t="n"/>
      <c r="L179" s="24" t="n"/>
      <c r="M179" s="33" t="n"/>
      <c r="N179" s="22" t="n"/>
      <c r="O179" s="23" t="n"/>
    </row>
    <row r="180">
      <c r="A180" s="24" t="n"/>
      <c r="B180" s="22" t="n"/>
      <c r="C180" s="22" t="n"/>
      <c r="D180" s="35" t="n"/>
      <c r="E180" s="22" t="n"/>
      <c r="F180" s="33" t="n"/>
      <c r="G180" s="22" t="n"/>
      <c r="H180" s="7">
        <f>IF(C180="","",IFERROR(INDEX('Trades'!$G$4:$G$103,MATCH(C180,'Trades'!$B$4:$B$103,0))&amp;"",""))</f>
        <v/>
      </c>
      <c r="I180" s="7">
        <f>IF(AND(G180="Yes",H180="No"),"GST charged, not registered","")</f>
        <v/>
      </c>
      <c r="J180" s="24" t="n"/>
      <c r="K180" s="22" t="n"/>
      <c r="L180" s="24" t="n"/>
      <c r="M180" s="33" t="n"/>
      <c r="N180" s="22" t="n"/>
      <c r="O180" s="23" t="n"/>
    </row>
    <row r="181">
      <c r="A181" s="24" t="n"/>
      <c r="B181" s="22" t="n"/>
      <c r="C181" s="22" t="n"/>
      <c r="D181" s="35" t="n"/>
      <c r="E181" s="22" t="n"/>
      <c r="F181" s="33" t="n"/>
      <c r="G181" s="22" t="n"/>
      <c r="H181" s="7">
        <f>IF(C181="","",IFERROR(INDEX('Trades'!$G$4:$G$103,MATCH(C181,'Trades'!$B$4:$B$103,0))&amp;"",""))</f>
        <v/>
      </c>
      <c r="I181" s="7">
        <f>IF(AND(G181="Yes",H181="No"),"GST charged, not registered","")</f>
        <v/>
      </c>
      <c r="J181" s="24" t="n"/>
      <c r="K181" s="22" t="n"/>
      <c r="L181" s="24" t="n"/>
      <c r="M181" s="33" t="n"/>
      <c r="N181" s="22" t="n"/>
      <c r="O181" s="23" t="n"/>
    </row>
    <row r="182">
      <c r="A182" s="24" t="n"/>
      <c r="B182" s="22" t="n"/>
      <c r="C182" s="22" t="n"/>
      <c r="D182" s="35" t="n"/>
      <c r="E182" s="22" t="n"/>
      <c r="F182" s="33" t="n"/>
      <c r="G182" s="22" t="n"/>
      <c r="H182" s="7">
        <f>IF(C182="","",IFERROR(INDEX('Trades'!$G$4:$G$103,MATCH(C182,'Trades'!$B$4:$B$103,0))&amp;"",""))</f>
        <v/>
      </c>
      <c r="I182" s="7">
        <f>IF(AND(G182="Yes",H182="No"),"GST charged, not registered","")</f>
        <v/>
      </c>
      <c r="J182" s="24" t="n"/>
      <c r="K182" s="22" t="n"/>
      <c r="L182" s="24" t="n"/>
      <c r="M182" s="33" t="n"/>
      <c r="N182" s="22" t="n"/>
      <c r="O182" s="23" t="n"/>
    </row>
    <row r="183">
      <c r="A183" s="24" t="n"/>
      <c r="B183" s="22" t="n"/>
      <c r="C183" s="22" t="n"/>
      <c r="D183" s="35" t="n"/>
      <c r="E183" s="22" t="n"/>
      <c r="F183" s="33" t="n"/>
      <c r="G183" s="22" t="n"/>
      <c r="H183" s="7">
        <f>IF(C183="","",IFERROR(INDEX('Trades'!$G$4:$G$103,MATCH(C183,'Trades'!$B$4:$B$103,0))&amp;"",""))</f>
        <v/>
      </c>
      <c r="I183" s="7">
        <f>IF(AND(G183="Yes",H183="No"),"GST charged, not registered","")</f>
        <v/>
      </c>
      <c r="J183" s="24" t="n"/>
      <c r="K183" s="22" t="n"/>
      <c r="L183" s="24" t="n"/>
      <c r="M183" s="33" t="n"/>
      <c r="N183" s="22" t="n"/>
      <c r="O183" s="23" t="n"/>
    </row>
    <row r="184">
      <c r="A184" s="24" t="n"/>
      <c r="B184" s="22" t="n"/>
      <c r="C184" s="22" t="n"/>
      <c r="D184" s="35" t="n"/>
      <c r="E184" s="22" t="n"/>
      <c r="F184" s="33" t="n"/>
      <c r="G184" s="22" t="n"/>
      <c r="H184" s="7">
        <f>IF(C184="","",IFERROR(INDEX('Trades'!$G$4:$G$103,MATCH(C184,'Trades'!$B$4:$B$103,0))&amp;"",""))</f>
        <v/>
      </c>
      <c r="I184" s="7">
        <f>IF(AND(G184="Yes",H184="No"),"GST charged, not registered","")</f>
        <v/>
      </c>
      <c r="J184" s="24" t="n"/>
      <c r="K184" s="22" t="n"/>
      <c r="L184" s="24" t="n"/>
      <c r="M184" s="33" t="n"/>
      <c r="N184" s="22" t="n"/>
      <c r="O184" s="23" t="n"/>
    </row>
    <row r="185">
      <c r="A185" s="24" t="n"/>
      <c r="B185" s="22" t="n"/>
      <c r="C185" s="22" t="n"/>
      <c r="D185" s="35" t="n"/>
      <c r="E185" s="22" t="n"/>
      <c r="F185" s="33" t="n"/>
      <c r="G185" s="22" t="n"/>
      <c r="H185" s="7">
        <f>IF(C185="","",IFERROR(INDEX('Trades'!$G$4:$G$103,MATCH(C185,'Trades'!$B$4:$B$103,0))&amp;"",""))</f>
        <v/>
      </c>
      <c r="I185" s="7">
        <f>IF(AND(G185="Yes",H185="No"),"GST charged, not registered","")</f>
        <v/>
      </c>
      <c r="J185" s="24" t="n"/>
      <c r="K185" s="22" t="n"/>
      <c r="L185" s="24" t="n"/>
      <c r="M185" s="33" t="n"/>
      <c r="N185" s="22" t="n"/>
      <c r="O185" s="23" t="n"/>
    </row>
    <row r="186">
      <c r="A186" s="24" t="n"/>
      <c r="B186" s="22" t="n"/>
      <c r="C186" s="22" t="n"/>
      <c r="D186" s="35" t="n"/>
      <c r="E186" s="22" t="n"/>
      <c r="F186" s="33" t="n"/>
      <c r="G186" s="22" t="n"/>
      <c r="H186" s="7">
        <f>IF(C186="","",IFERROR(INDEX('Trades'!$G$4:$G$103,MATCH(C186,'Trades'!$B$4:$B$103,0))&amp;"",""))</f>
        <v/>
      </c>
      <c r="I186" s="7">
        <f>IF(AND(G186="Yes",H186="No"),"GST charged, not registered","")</f>
        <v/>
      </c>
      <c r="J186" s="24" t="n"/>
      <c r="K186" s="22" t="n"/>
      <c r="L186" s="24" t="n"/>
      <c r="M186" s="33" t="n"/>
      <c r="N186" s="22" t="n"/>
      <c r="O186" s="23" t="n"/>
    </row>
    <row r="187">
      <c r="A187" s="24" t="n"/>
      <c r="B187" s="22" t="n"/>
      <c r="C187" s="22" t="n"/>
      <c r="D187" s="35" t="n"/>
      <c r="E187" s="22" t="n"/>
      <c r="F187" s="33" t="n"/>
      <c r="G187" s="22" t="n"/>
      <c r="H187" s="7">
        <f>IF(C187="","",IFERROR(INDEX('Trades'!$G$4:$G$103,MATCH(C187,'Trades'!$B$4:$B$103,0))&amp;"",""))</f>
        <v/>
      </c>
      <c r="I187" s="7">
        <f>IF(AND(G187="Yes",H187="No"),"GST charged, not registered","")</f>
        <v/>
      </c>
      <c r="J187" s="24" t="n"/>
      <c r="K187" s="22" t="n"/>
      <c r="L187" s="24" t="n"/>
      <c r="M187" s="33" t="n"/>
      <c r="N187" s="22" t="n"/>
      <c r="O187" s="23" t="n"/>
    </row>
    <row r="188">
      <c r="A188" s="24" t="n"/>
      <c r="B188" s="22" t="n"/>
      <c r="C188" s="22" t="n"/>
      <c r="D188" s="35" t="n"/>
      <c r="E188" s="22" t="n"/>
      <c r="F188" s="33" t="n"/>
      <c r="G188" s="22" t="n"/>
      <c r="H188" s="7">
        <f>IF(C188="","",IFERROR(INDEX('Trades'!$G$4:$G$103,MATCH(C188,'Trades'!$B$4:$B$103,0))&amp;"",""))</f>
        <v/>
      </c>
      <c r="I188" s="7">
        <f>IF(AND(G188="Yes",H188="No"),"GST charged, not registered","")</f>
        <v/>
      </c>
      <c r="J188" s="24" t="n"/>
      <c r="K188" s="22" t="n"/>
      <c r="L188" s="24" t="n"/>
      <c r="M188" s="33" t="n"/>
      <c r="N188" s="22" t="n"/>
      <c r="O188" s="23" t="n"/>
    </row>
    <row r="189">
      <c r="A189" s="24" t="n"/>
      <c r="B189" s="22" t="n"/>
      <c r="C189" s="22" t="n"/>
      <c r="D189" s="35" t="n"/>
      <c r="E189" s="22" t="n"/>
      <c r="F189" s="33" t="n"/>
      <c r="G189" s="22" t="n"/>
      <c r="H189" s="7">
        <f>IF(C189="","",IFERROR(INDEX('Trades'!$G$4:$G$103,MATCH(C189,'Trades'!$B$4:$B$103,0))&amp;"",""))</f>
        <v/>
      </c>
      <c r="I189" s="7">
        <f>IF(AND(G189="Yes",H189="No"),"GST charged, not registered","")</f>
        <v/>
      </c>
      <c r="J189" s="24" t="n"/>
      <c r="K189" s="22" t="n"/>
      <c r="L189" s="24" t="n"/>
      <c r="M189" s="33" t="n"/>
      <c r="N189" s="22" t="n"/>
      <c r="O189" s="23" t="n"/>
    </row>
    <row r="190">
      <c r="A190" s="24" t="n"/>
      <c r="B190" s="22" t="n"/>
      <c r="C190" s="22" t="n"/>
      <c r="D190" s="35" t="n"/>
      <c r="E190" s="22" t="n"/>
      <c r="F190" s="33" t="n"/>
      <c r="G190" s="22" t="n"/>
      <c r="H190" s="7">
        <f>IF(C190="","",IFERROR(INDEX('Trades'!$G$4:$G$103,MATCH(C190,'Trades'!$B$4:$B$103,0))&amp;"",""))</f>
        <v/>
      </c>
      <c r="I190" s="7">
        <f>IF(AND(G190="Yes",H190="No"),"GST charged, not registered","")</f>
        <v/>
      </c>
      <c r="J190" s="24" t="n"/>
      <c r="K190" s="22" t="n"/>
      <c r="L190" s="24" t="n"/>
      <c r="M190" s="33" t="n"/>
      <c r="N190" s="22" t="n"/>
      <c r="O190" s="23" t="n"/>
    </row>
    <row r="191">
      <c r="A191" s="24" t="n"/>
      <c r="B191" s="22" t="n"/>
      <c r="C191" s="22" t="n"/>
      <c r="D191" s="35" t="n"/>
      <c r="E191" s="22" t="n"/>
      <c r="F191" s="33" t="n"/>
      <c r="G191" s="22" t="n"/>
      <c r="H191" s="7">
        <f>IF(C191="","",IFERROR(INDEX('Trades'!$G$4:$G$103,MATCH(C191,'Trades'!$B$4:$B$103,0))&amp;"",""))</f>
        <v/>
      </c>
      <c r="I191" s="7">
        <f>IF(AND(G191="Yes",H191="No"),"GST charged, not registered","")</f>
        <v/>
      </c>
      <c r="J191" s="24" t="n"/>
      <c r="K191" s="22" t="n"/>
      <c r="L191" s="24" t="n"/>
      <c r="M191" s="33" t="n"/>
      <c r="N191" s="22" t="n"/>
      <c r="O191" s="23" t="n"/>
    </row>
    <row r="192">
      <c r="A192" s="24" t="n"/>
      <c r="B192" s="22" t="n"/>
      <c r="C192" s="22" t="n"/>
      <c r="D192" s="35" t="n"/>
      <c r="E192" s="22" t="n"/>
      <c r="F192" s="33" t="n"/>
      <c r="G192" s="22" t="n"/>
      <c r="H192" s="7">
        <f>IF(C192="","",IFERROR(INDEX('Trades'!$G$4:$G$103,MATCH(C192,'Trades'!$B$4:$B$103,0))&amp;"",""))</f>
        <v/>
      </c>
      <c r="I192" s="7">
        <f>IF(AND(G192="Yes",H192="No"),"GST charged, not registered","")</f>
        <v/>
      </c>
      <c r="J192" s="24" t="n"/>
      <c r="K192" s="22" t="n"/>
      <c r="L192" s="24" t="n"/>
      <c r="M192" s="33" t="n"/>
      <c r="N192" s="22" t="n"/>
      <c r="O192" s="23" t="n"/>
    </row>
    <row r="193">
      <c r="A193" s="24" t="n"/>
      <c r="B193" s="22" t="n"/>
      <c r="C193" s="22" t="n"/>
      <c r="D193" s="35" t="n"/>
      <c r="E193" s="22" t="n"/>
      <c r="F193" s="33" t="n"/>
      <c r="G193" s="22" t="n"/>
      <c r="H193" s="7">
        <f>IF(C193="","",IFERROR(INDEX('Trades'!$G$4:$G$103,MATCH(C193,'Trades'!$B$4:$B$103,0))&amp;"",""))</f>
        <v/>
      </c>
      <c r="I193" s="7">
        <f>IF(AND(G193="Yes",H193="No"),"GST charged, not registered","")</f>
        <v/>
      </c>
      <c r="J193" s="24" t="n"/>
      <c r="K193" s="22" t="n"/>
      <c r="L193" s="24" t="n"/>
      <c r="M193" s="33" t="n"/>
      <c r="N193" s="22" t="n"/>
      <c r="O193" s="23" t="n"/>
    </row>
    <row r="194">
      <c r="A194" s="24" t="n"/>
      <c r="B194" s="22" t="n"/>
      <c r="C194" s="22" t="n"/>
      <c r="D194" s="35" t="n"/>
      <c r="E194" s="22" t="n"/>
      <c r="F194" s="33" t="n"/>
      <c r="G194" s="22" t="n"/>
      <c r="H194" s="7">
        <f>IF(C194="","",IFERROR(INDEX('Trades'!$G$4:$G$103,MATCH(C194,'Trades'!$B$4:$B$103,0))&amp;"",""))</f>
        <v/>
      </c>
      <c r="I194" s="7">
        <f>IF(AND(G194="Yes",H194="No"),"GST charged, not registered","")</f>
        <v/>
      </c>
      <c r="J194" s="24" t="n"/>
      <c r="K194" s="22" t="n"/>
      <c r="L194" s="24" t="n"/>
      <c r="M194" s="33" t="n"/>
      <c r="N194" s="22" t="n"/>
      <c r="O194" s="23" t="n"/>
    </row>
    <row r="195">
      <c r="A195" s="24" t="n"/>
      <c r="B195" s="22" t="n"/>
      <c r="C195" s="22" t="n"/>
      <c r="D195" s="35" t="n"/>
      <c r="E195" s="22" t="n"/>
      <c r="F195" s="33" t="n"/>
      <c r="G195" s="22" t="n"/>
      <c r="H195" s="7">
        <f>IF(C195="","",IFERROR(INDEX('Trades'!$G$4:$G$103,MATCH(C195,'Trades'!$B$4:$B$103,0))&amp;"",""))</f>
        <v/>
      </c>
      <c r="I195" s="7">
        <f>IF(AND(G195="Yes",H195="No"),"GST charged, not registered","")</f>
        <v/>
      </c>
      <c r="J195" s="24" t="n"/>
      <c r="K195" s="22" t="n"/>
      <c r="L195" s="24" t="n"/>
      <c r="M195" s="33" t="n"/>
      <c r="N195" s="22" t="n"/>
      <c r="O195" s="23" t="n"/>
    </row>
    <row r="196">
      <c r="A196" s="24" t="n"/>
      <c r="B196" s="22" t="n"/>
      <c r="C196" s="22" t="n"/>
      <c r="D196" s="35" t="n"/>
      <c r="E196" s="22" t="n"/>
      <c r="F196" s="33" t="n"/>
      <c r="G196" s="22" t="n"/>
      <c r="H196" s="7">
        <f>IF(C196="","",IFERROR(INDEX('Trades'!$G$4:$G$103,MATCH(C196,'Trades'!$B$4:$B$103,0))&amp;"",""))</f>
        <v/>
      </c>
      <c r="I196" s="7">
        <f>IF(AND(G196="Yes",H196="No"),"GST charged, not registered","")</f>
        <v/>
      </c>
      <c r="J196" s="24" t="n"/>
      <c r="K196" s="22" t="n"/>
      <c r="L196" s="24" t="n"/>
      <c r="M196" s="33" t="n"/>
      <c r="N196" s="22" t="n"/>
      <c r="O196" s="23" t="n"/>
    </row>
    <row r="197">
      <c r="A197" s="24" t="n"/>
      <c r="B197" s="22" t="n"/>
      <c r="C197" s="22" t="n"/>
      <c r="D197" s="35" t="n"/>
      <c r="E197" s="22" t="n"/>
      <c r="F197" s="33" t="n"/>
      <c r="G197" s="22" t="n"/>
      <c r="H197" s="7">
        <f>IF(C197="","",IFERROR(INDEX('Trades'!$G$4:$G$103,MATCH(C197,'Trades'!$B$4:$B$103,0))&amp;"",""))</f>
        <v/>
      </c>
      <c r="I197" s="7">
        <f>IF(AND(G197="Yes",H197="No"),"GST charged, not registered","")</f>
        <v/>
      </c>
      <c r="J197" s="24" t="n"/>
      <c r="K197" s="22" t="n"/>
      <c r="L197" s="24" t="n"/>
      <c r="M197" s="33" t="n"/>
      <c r="N197" s="22" t="n"/>
      <c r="O197" s="23" t="n"/>
    </row>
    <row r="198">
      <c r="A198" s="24" t="n"/>
      <c r="B198" s="22" t="n"/>
      <c r="C198" s="22" t="n"/>
      <c r="D198" s="35" t="n"/>
      <c r="E198" s="22" t="n"/>
      <c r="F198" s="33" t="n"/>
      <c r="G198" s="22" t="n"/>
      <c r="H198" s="7">
        <f>IF(C198="","",IFERROR(INDEX('Trades'!$G$4:$G$103,MATCH(C198,'Trades'!$B$4:$B$103,0))&amp;"",""))</f>
        <v/>
      </c>
      <c r="I198" s="7">
        <f>IF(AND(G198="Yes",H198="No"),"GST charged, not registered","")</f>
        <v/>
      </c>
      <c r="J198" s="24" t="n"/>
      <c r="K198" s="22" t="n"/>
      <c r="L198" s="24" t="n"/>
      <c r="M198" s="33" t="n"/>
      <c r="N198" s="22" t="n"/>
      <c r="O198" s="23" t="n"/>
    </row>
    <row r="199">
      <c r="A199" s="24" t="n"/>
      <c r="B199" s="22" t="n"/>
      <c r="C199" s="22" t="n"/>
      <c r="D199" s="35" t="n"/>
      <c r="E199" s="22" t="n"/>
      <c r="F199" s="33" t="n"/>
      <c r="G199" s="22" t="n"/>
      <c r="H199" s="7">
        <f>IF(C199="","",IFERROR(INDEX('Trades'!$G$4:$G$103,MATCH(C199,'Trades'!$B$4:$B$103,0))&amp;"",""))</f>
        <v/>
      </c>
      <c r="I199" s="7">
        <f>IF(AND(G199="Yes",H199="No"),"GST charged, not registered","")</f>
        <v/>
      </c>
      <c r="J199" s="24" t="n"/>
      <c r="K199" s="22" t="n"/>
      <c r="L199" s="24" t="n"/>
      <c r="M199" s="33" t="n"/>
      <c r="N199" s="22" t="n"/>
      <c r="O199" s="23" t="n"/>
    </row>
    <row r="200">
      <c r="A200" s="24" t="n"/>
      <c r="B200" s="22" t="n"/>
      <c r="C200" s="22" t="n"/>
      <c r="D200" s="35" t="n"/>
      <c r="E200" s="22" t="n"/>
      <c r="F200" s="33" t="n"/>
      <c r="G200" s="22" t="n"/>
      <c r="H200" s="7">
        <f>IF(C200="","",IFERROR(INDEX('Trades'!$G$4:$G$103,MATCH(C200,'Trades'!$B$4:$B$103,0))&amp;"",""))</f>
        <v/>
      </c>
      <c r="I200" s="7">
        <f>IF(AND(G200="Yes",H200="No"),"GST charged, not registered","")</f>
        <v/>
      </c>
      <c r="J200" s="24" t="n"/>
      <c r="K200" s="22" t="n"/>
      <c r="L200" s="24" t="n"/>
      <c r="M200" s="33" t="n"/>
      <c r="N200" s="22" t="n"/>
      <c r="O200" s="23" t="n"/>
    </row>
    <row r="201">
      <c r="A201" s="24" t="n"/>
      <c r="B201" s="22" t="n"/>
      <c r="C201" s="22" t="n"/>
      <c r="D201" s="35" t="n"/>
      <c r="E201" s="22" t="n"/>
      <c r="F201" s="33" t="n"/>
      <c r="G201" s="22" t="n"/>
      <c r="H201" s="7">
        <f>IF(C201="","",IFERROR(INDEX('Trades'!$G$4:$G$103,MATCH(C201,'Trades'!$B$4:$B$103,0))&amp;"",""))</f>
        <v/>
      </c>
      <c r="I201" s="7">
        <f>IF(AND(G201="Yes",H201="No"),"GST charged, not registered","")</f>
        <v/>
      </c>
      <c r="J201" s="24" t="n"/>
      <c r="K201" s="22" t="n"/>
      <c r="L201" s="24" t="n"/>
      <c r="M201" s="33" t="n"/>
      <c r="N201" s="22" t="n"/>
      <c r="O201" s="23" t="n"/>
    </row>
    <row r="202">
      <c r="A202" s="24" t="n"/>
      <c r="B202" s="22" t="n"/>
      <c r="C202" s="22" t="n"/>
      <c r="D202" s="35" t="n"/>
      <c r="E202" s="22" t="n"/>
      <c r="F202" s="33" t="n"/>
      <c r="G202" s="22" t="n"/>
      <c r="H202" s="7">
        <f>IF(C202="","",IFERROR(INDEX('Trades'!$G$4:$G$103,MATCH(C202,'Trades'!$B$4:$B$103,0))&amp;"",""))</f>
        <v/>
      </c>
      <c r="I202" s="7">
        <f>IF(AND(G202="Yes",H202="No"),"GST charged, not registered","")</f>
        <v/>
      </c>
      <c r="J202" s="24" t="n"/>
      <c r="K202" s="22" t="n"/>
      <c r="L202" s="24" t="n"/>
      <c r="M202" s="33" t="n"/>
      <c r="N202" s="22" t="n"/>
      <c r="O202" s="23" t="n"/>
    </row>
    <row r="203">
      <c r="A203" s="24" t="n"/>
      <c r="B203" s="22" t="n"/>
      <c r="C203" s="22" t="n"/>
      <c r="D203" s="35" t="n"/>
      <c r="E203" s="22" t="n"/>
      <c r="F203" s="33" t="n"/>
      <c r="G203" s="22" t="n"/>
      <c r="H203" s="7">
        <f>IF(C203="","",IFERROR(INDEX('Trades'!$G$4:$G$103,MATCH(C203,'Trades'!$B$4:$B$103,0))&amp;"",""))</f>
        <v/>
      </c>
      <c r="I203" s="7">
        <f>IF(AND(G203="Yes",H203="No"),"GST charged, not registered","")</f>
        <v/>
      </c>
      <c r="J203" s="24" t="n"/>
      <c r="K203" s="22" t="n"/>
      <c r="L203" s="24" t="n"/>
      <c r="M203" s="33" t="n"/>
      <c r="N203" s="22" t="n"/>
      <c r="O203" s="23" t="n"/>
    </row>
    <row r="204">
      <c r="A204" s="24" t="n"/>
      <c r="B204" s="22" t="n"/>
      <c r="C204" s="22" t="n"/>
      <c r="D204" s="35" t="n"/>
      <c r="E204" s="22" t="n"/>
      <c r="F204" s="33" t="n"/>
      <c r="G204" s="22" t="n"/>
      <c r="H204" s="7">
        <f>IF(C204="","",IFERROR(INDEX('Trades'!$G$4:$G$103,MATCH(C204,'Trades'!$B$4:$B$103,0))&amp;"",""))</f>
        <v/>
      </c>
      <c r="I204" s="7">
        <f>IF(AND(G204="Yes",H204="No"),"GST charged, not registered","")</f>
        <v/>
      </c>
      <c r="J204" s="24" t="n"/>
      <c r="K204" s="22" t="n"/>
      <c r="L204" s="24" t="n"/>
      <c r="M204" s="33" t="n"/>
      <c r="N204" s="22" t="n"/>
      <c r="O204" s="23" t="n"/>
    </row>
    <row r="205">
      <c r="A205" s="24" t="n"/>
      <c r="B205" s="22" t="n"/>
      <c r="C205" s="22" t="n"/>
      <c r="D205" s="35" t="n"/>
      <c r="E205" s="22" t="n"/>
      <c r="F205" s="33" t="n"/>
      <c r="G205" s="22" t="n"/>
      <c r="H205" s="7">
        <f>IF(C205="","",IFERROR(INDEX('Trades'!$G$4:$G$103,MATCH(C205,'Trades'!$B$4:$B$103,0))&amp;"",""))</f>
        <v/>
      </c>
      <c r="I205" s="7">
        <f>IF(AND(G205="Yes",H205="No"),"GST charged, not registered","")</f>
        <v/>
      </c>
      <c r="J205" s="24" t="n"/>
      <c r="K205" s="22" t="n"/>
      <c r="L205" s="24" t="n"/>
      <c r="M205" s="33" t="n"/>
      <c r="N205" s="22" t="n"/>
      <c r="O205" s="23" t="n"/>
    </row>
    <row r="206">
      <c r="A206" s="24" t="n"/>
      <c r="B206" s="22" t="n"/>
      <c r="C206" s="22" t="n"/>
      <c r="D206" s="35" t="n"/>
      <c r="E206" s="22" t="n"/>
      <c r="F206" s="33" t="n"/>
      <c r="G206" s="22" t="n"/>
      <c r="H206" s="7">
        <f>IF(C206="","",IFERROR(INDEX('Trades'!$G$4:$G$103,MATCH(C206,'Trades'!$B$4:$B$103,0))&amp;"",""))</f>
        <v/>
      </c>
      <c r="I206" s="7">
        <f>IF(AND(G206="Yes",H206="No"),"GST charged, not registered","")</f>
        <v/>
      </c>
      <c r="J206" s="24" t="n"/>
      <c r="K206" s="22" t="n"/>
      <c r="L206" s="24" t="n"/>
      <c r="M206" s="33" t="n"/>
      <c r="N206" s="22" t="n"/>
      <c r="O206" s="23" t="n"/>
    </row>
    <row r="207">
      <c r="A207" s="24" t="n"/>
      <c r="B207" s="22" t="n"/>
      <c r="C207" s="22" t="n"/>
      <c r="D207" s="35" t="n"/>
      <c r="E207" s="22" t="n"/>
      <c r="F207" s="33" t="n"/>
      <c r="G207" s="22" t="n"/>
      <c r="H207" s="7">
        <f>IF(C207="","",IFERROR(INDEX('Trades'!$G$4:$G$103,MATCH(C207,'Trades'!$B$4:$B$103,0))&amp;"",""))</f>
        <v/>
      </c>
      <c r="I207" s="7">
        <f>IF(AND(G207="Yes",H207="No"),"GST charged, not registered","")</f>
        <v/>
      </c>
      <c r="J207" s="24" t="n"/>
      <c r="K207" s="22" t="n"/>
      <c r="L207" s="24" t="n"/>
      <c r="M207" s="33" t="n"/>
      <c r="N207" s="22" t="n"/>
      <c r="O207" s="23" t="n"/>
    </row>
    <row r="208">
      <c r="A208" s="24" t="n"/>
      <c r="B208" s="22" t="n"/>
      <c r="C208" s="22" t="n"/>
      <c r="D208" s="35" t="n"/>
      <c r="E208" s="22" t="n"/>
      <c r="F208" s="33" t="n"/>
      <c r="G208" s="22" t="n"/>
      <c r="H208" s="7">
        <f>IF(C208="","",IFERROR(INDEX('Trades'!$G$4:$G$103,MATCH(C208,'Trades'!$B$4:$B$103,0))&amp;"",""))</f>
        <v/>
      </c>
      <c r="I208" s="7">
        <f>IF(AND(G208="Yes",H208="No"),"GST charged, not registered","")</f>
        <v/>
      </c>
      <c r="J208" s="24" t="n"/>
      <c r="K208" s="22" t="n"/>
      <c r="L208" s="24" t="n"/>
      <c r="M208" s="33" t="n"/>
      <c r="N208" s="22" t="n"/>
      <c r="O208" s="23" t="n"/>
    </row>
    <row r="209">
      <c r="A209" s="24" t="n"/>
      <c r="B209" s="22" t="n"/>
      <c r="C209" s="22" t="n"/>
      <c r="D209" s="35" t="n"/>
      <c r="E209" s="22" t="n"/>
      <c r="F209" s="33" t="n"/>
      <c r="G209" s="22" t="n"/>
      <c r="H209" s="7">
        <f>IF(C209="","",IFERROR(INDEX('Trades'!$G$4:$G$103,MATCH(C209,'Trades'!$B$4:$B$103,0))&amp;"",""))</f>
        <v/>
      </c>
      <c r="I209" s="7">
        <f>IF(AND(G209="Yes",H209="No"),"GST charged, not registered","")</f>
        <v/>
      </c>
      <c r="J209" s="24" t="n"/>
      <c r="K209" s="22" t="n"/>
      <c r="L209" s="24" t="n"/>
      <c r="M209" s="33" t="n"/>
      <c r="N209" s="22" t="n"/>
      <c r="O209" s="23" t="n"/>
    </row>
    <row r="210">
      <c r="A210" s="24" t="n"/>
      <c r="B210" s="22" t="n"/>
      <c r="C210" s="22" t="n"/>
      <c r="D210" s="35" t="n"/>
      <c r="E210" s="22" t="n"/>
      <c r="F210" s="33" t="n"/>
      <c r="G210" s="22" t="n"/>
      <c r="H210" s="7">
        <f>IF(C210="","",IFERROR(INDEX('Trades'!$G$4:$G$103,MATCH(C210,'Trades'!$B$4:$B$103,0))&amp;"",""))</f>
        <v/>
      </c>
      <c r="I210" s="7">
        <f>IF(AND(G210="Yes",H210="No"),"GST charged, not registered","")</f>
        <v/>
      </c>
      <c r="J210" s="24" t="n"/>
      <c r="K210" s="22" t="n"/>
      <c r="L210" s="24" t="n"/>
      <c r="M210" s="33" t="n"/>
      <c r="N210" s="22" t="n"/>
      <c r="O210" s="23" t="n"/>
    </row>
    <row r="211">
      <c r="A211" s="24" t="n"/>
      <c r="B211" s="22" t="n"/>
      <c r="C211" s="22" t="n"/>
      <c r="D211" s="35" t="n"/>
      <c r="E211" s="22" t="n"/>
      <c r="F211" s="33" t="n"/>
      <c r="G211" s="22" t="n"/>
      <c r="H211" s="7">
        <f>IF(C211="","",IFERROR(INDEX('Trades'!$G$4:$G$103,MATCH(C211,'Trades'!$B$4:$B$103,0))&amp;"",""))</f>
        <v/>
      </c>
      <c r="I211" s="7">
        <f>IF(AND(G211="Yes",H211="No"),"GST charged, not registered","")</f>
        <v/>
      </c>
      <c r="J211" s="24" t="n"/>
      <c r="K211" s="22" t="n"/>
      <c r="L211" s="24" t="n"/>
      <c r="M211" s="33" t="n"/>
      <c r="N211" s="22" t="n"/>
      <c r="O211" s="23" t="n"/>
    </row>
    <row r="212">
      <c r="A212" s="24" t="n"/>
      <c r="B212" s="22" t="n"/>
      <c r="C212" s="22" t="n"/>
      <c r="D212" s="35" t="n"/>
      <c r="E212" s="22" t="n"/>
      <c r="F212" s="33" t="n"/>
      <c r="G212" s="22" t="n"/>
      <c r="H212" s="7">
        <f>IF(C212="","",IFERROR(INDEX('Trades'!$G$4:$G$103,MATCH(C212,'Trades'!$B$4:$B$103,0))&amp;"",""))</f>
        <v/>
      </c>
      <c r="I212" s="7">
        <f>IF(AND(G212="Yes",H212="No"),"GST charged, not registered","")</f>
        <v/>
      </c>
      <c r="J212" s="24" t="n"/>
      <c r="K212" s="22" t="n"/>
      <c r="L212" s="24" t="n"/>
      <c r="M212" s="33" t="n"/>
      <c r="N212" s="22" t="n"/>
      <c r="O212" s="23" t="n"/>
    </row>
    <row r="213">
      <c r="A213" s="24" t="n"/>
      <c r="B213" s="22" t="n"/>
      <c r="C213" s="22" t="n"/>
      <c r="D213" s="35" t="n"/>
      <c r="E213" s="22" t="n"/>
      <c r="F213" s="33" t="n"/>
      <c r="G213" s="22" t="n"/>
      <c r="H213" s="7">
        <f>IF(C213="","",IFERROR(INDEX('Trades'!$G$4:$G$103,MATCH(C213,'Trades'!$B$4:$B$103,0))&amp;"",""))</f>
        <v/>
      </c>
      <c r="I213" s="7">
        <f>IF(AND(G213="Yes",H213="No"),"GST charged, not registered","")</f>
        <v/>
      </c>
      <c r="J213" s="24" t="n"/>
      <c r="K213" s="22" t="n"/>
      <c r="L213" s="24" t="n"/>
      <c r="M213" s="33" t="n"/>
      <c r="N213" s="22" t="n"/>
      <c r="O213" s="23" t="n"/>
    </row>
    <row r="214">
      <c r="A214" s="24" t="n"/>
      <c r="B214" s="22" t="n"/>
      <c r="C214" s="22" t="n"/>
      <c r="D214" s="35" t="n"/>
      <c r="E214" s="22" t="n"/>
      <c r="F214" s="33" t="n"/>
      <c r="G214" s="22" t="n"/>
      <c r="H214" s="7">
        <f>IF(C214="","",IFERROR(INDEX('Trades'!$G$4:$G$103,MATCH(C214,'Trades'!$B$4:$B$103,0))&amp;"",""))</f>
        <v/>
      </c>
      <c r="I214" s="7">
        <f>IF(AND(G214="Yes",H214="No"),"GST charged, not registered","")</f>
        <v/>
      </c>
      <c r="J214" s="24" t="n"/>
      <c r="K214" s="22" t="n"/>
      <c r="L214" s="24" t="n"/>
      <c r="M214" s="33" t="n"/>
      <c r="N214" s="22" t="n"/>
      <c r="O214" s="23" t="n"/>
    </row>
    <row r="215">
      <c r="A215" s="24" t="n"/>
      <c r="B215" s="22" t="n"/>
      <c r="C215" s="22" t="n"/>
      <c r="D215" s="35" t="n"/>
      <c r="E215" s="22" t="n"/>
      <c r="F215" s="33" t="n"/>
      <c r="G215" s="22" t="n"/>
      <c r="H215" s="7">
        <f>IF(C215="","",IFERROR(INDEX('Trades'!$G$4:$G$103,MATCH(C215,'Trades'!$B$4:$B$103,0))&amp;"",""))</f>
        <v/>
      </c>
      <c r="I215" s="7">
        <f>IF(AND(G215="Yes",H215="No"),"GST charged, not registered","")</f>
        <v/>
      </c>
      <c r="J215" s="24" t="n"/>
      <c r="K215" s="22" t="n"/>
      <c r="L215" s="24" t="n"/>
      <c r="M215" s="33" t="n"/>
      <c r="N215" s="22" t="n"/>
      <c r="O215" s="23" t="n"/>
    </row>
    <row r="216">
      <c r="A216" s="24" t="n"/>
      <c r="B216" s="22" t="n"/>
      <c r="C216" s="22" t="n"/>
      <c r="D216" s="35" t="n"/>
      <c r="E216" s="22" t="n"/>
      <c r="F216" s="33" t="n"/>
      <c r="G216" s="22" t="n"/>
      <c r="H216" s="7">
        <f>IF(C216="","",IFERROR(INDEX('Trades'!$G$4:$G$103,MATCH(C216,'Trades'!$B$4:$B$103,0))&amp;"",""))</f>
        <v/>
      </c>
      <c r="I216" s="7">
        <f>IF(AND(G216="Yes",H216="No"),"GST charged, not registered","")</f>
        <v/>
      </c>
      <c r="J216" s="24" t="n"/>
      <c r="K216" s="22" t="n"/>
      <c r="L216" s="24" t="n"/>
      <c r="M216" s="33" t="n"/>
      <c r="N216" s="22" t="n"/>
      <c r="O216" s="23" t="n"/>
    </row>
    <row r="217">
      <c r="A217" s="24" t="n"/>
      <c r="B217" s="22" t="n"/>
      <c r="C217" s="22" t="n"/>
      <c r="D217" s="35" t="n"/>
      <c r="E217" s="22" t="n"/>
      <c r="F217" s="33" t="n"/>
      <c r="G217" s="22" t="n"/>
      <c r="H217" s="7">
        <f>IF(C217="","",IFERROR(INDEX('Trades'!$G$4:$G$103,MATCH(C217,'Trades'!$B$4:$B$103,0))&amp;"",""))</f>
        <v/>
      </c>
      <c r="I217" s="7">
        <f>IF(AND(G217="Yes",H217="No"),"GST charged, not registered","")</f>
        <v/>
      </c>
      <c r="J217" s="24" t="n"/>
      <c r="K217" s="22" t="n"/>
      <c r="L217" s="24" t="n"/>
      <c r="M217" s="33" t="n"/>
      <c r="N217" s="22" t="n"/>
      <c r="O217" s="23" t="n"/>
    </row>
    <row r="218">
      <c r="A218" s="24" t="n"/>
      <c r="B218" s="22" t="n"/>
      <c r="C218" s="22" t="n"/>
      <c r="D218" s="35" t="n"/>
      <c r="E218" s="22" t="n"/>
      <c r="F218" s="33" t="n"/>
      <c r="G218" s="22" t="n"/>
      <c r="H218" s="7">
        <f>IF(C218="","",IFERROR(INDEX('Trades'!$G$4:$G$103,MATCH(C218,'Trades'!$B$4:$B$103,0))&amp;"",""))</f>
        <v/>
      </c>
      <c r="I218" s="7">
        <f>IF(AND(G218="Yes",H218="No"),"GST charged, not registered","")</f>
        <v/>
      </c>
      <c r="J218" s="24" t="n"/>
      <c r="K218" s="22" t="n"/>
      <c r="L218" s="24" t="n"/>
      <c r="M218" s="33" t="n"/>
      <c r="N218" s="22" t="n"/>
      <c r="O218" s="23" t="n"/>
    </row>
    <row r="219">
      <c r="A219" s="24" t="n"/>
      <c r="B219" s="22" t="n"/>
      <c r="C219" s="22" t="n"/>
      <c r="D219" s="35" t="n"/>
      <c r="E219" s="22" t="n"/>
      <c r="F219" s="33" t="n"/>
      <c r="G219" s="22" t="n"/>
      <c r="H219" s="7">
        <f>IF(C219="","",IFERROR(INDEX('Trades'!$G$4:$G$103,MATCH(C219,'Trades'!$B$4:$B$103,0))&amp;"",""))</f>
        <v/>
      </c>
      <c r="I219" s="7">
        <f>IF(AND(G219="Yes",H219="No"),"GST charged, not registered","")</f>
        <v/>
      </c>
      <c r="J219" s="24" t="n"/>
      <c r="K219" s="22" t="n"/>
      <c r="L219" s="24" t="n"/>
      <c r="M219" s="33" t="n"/>
      <c r="N219" s="22" t="n"/>
      <c r="O219" s="23" t="n"/>
    </row>
    <row r="220">
      <c r="A220" s="24" t="n"/>
      <c r="B220" s="22" t="n"/>
      <c r="C220" s="22" t="n"/>
      <c r="D220" s="35" t="n"/>
      <c r="E220" s="22" t="n"/>
      <c r="F220" s="33" t="n"/>
      <c r="G220" s="22" t="n"/>
      <c r="H220" s="7">
        <f>IF(C220="","",IFERROR(INDEX('Trades'!$G$4:$G$103,MATCH(C220,'Trades'!$B$4:$B$103,0))&amp;"",""))</f>
        <v/>
      </c>
      <c r="I220" s="7">
        <f>IF(AND(G220="Yes",H220="No"),"GST charged, not registered","")</f>
        <v/>
      </c>
      <c r="J220" s="24" t="n"/>
      <c r="K220" s="22" t="n"/>
      <c r="L220" s="24" t="n"/>
      <c r="M220" s="33" t="n"/>
      <c r="N220" s="22" t="n"/>
      <c r="O220" s="23" t="n"/>
    </row>
    <row r="221">
      <c r="A221" s="24" t="n"/>
      <c r="B221" s="22" t="n"/>
      <c r="C221" s="22" t="n"/>
      <c r="D221" s="35" t="n"/>
      <c r="E221" s="22" t="n"/>
      <c r="F221" s="33" t="n"/>
      <c r="G221" s="22" t="n"/>
      <c r="H221" s="7">
        <f>IF(C221="","",IFERROR(INDEX('Trades'!$G$4:$G$103,MATCH(C221,'Trades'!$B$4:$B$103,0))&amp;"",""))</f>
        <v/>
      </c>
      <c r="I221" s="7">
        <f>IF(AND(G221="Yes",H221="No"),"GST charged, not registered","")</f>
        <v/>
      </c>
      <c r="J221" s="24" t="n"/>
      <c r="K221" s="22" t="n"/>
      <c r="L221" s="24" t="n"/>
      <c r="M221" s="33" t="n"/>
      <c r="N221" s="22" t="n"/>
      <c r="O221" s="23" t="n"/>
    </row>
    <row r="222">
      <c r="A222" s="24" t="n"/>
      <c r="B222" s="22" t="n"/>
      <c r="C222" s="22" t="n"/>
      <c r="D222" s="35" t="n"/>
      <c r="E222" s="22" t="n"/>
      <c r="F222" s="33" t="n"/>
      <c r="G222" s="22" t="n"/>
      <c r="H222" s="7">
        <f>IF(C222="","",IFERROR(INDEX('Trades'!$G$4:$G$103,MATCH(C222,'Trades'!$B$4:$B$103,0))&amp;"",""))</f>
        <v/>
      </c>
      <c r="I222" s="7">
        <f>IF(AND(G222="Yes",H222="No"),"GST charged, not registered","")</f>
        <v/>
      </c>
      <c r="J222" s="24" t="n"/>
      <c r="K222" s="22" t="n"/>
      <c r="L222" s="24" t="n"/>
      <c r="M222" s="33" t="n"/>
      <c r="N222" s="22" t="n"/>
      <c r="O222" s="23" t="n"/>
    </row>
    <row r="223">
      <c r="A223" s="24" t="n"/>
      <c r="B223" s="22" t="n"/>
      <c r="C223" s="22" t="n"/>
      <c r="D223" s="35" t="n"/>
      <c r="E223" s="22" t="n"/>
      <c r="F223" s="33" t="n"/>
      <c r="G223" s="22" t="n"/>
      <c r="H223" s="7">
        <f>IF(C223="","",IFERROR(INDEX('Trades'!$G$4:$G$103,MATCH(C223,'Trades'!$B$4:$B$103,0))&amp;"",""))</f>
        <v/>
      </c>
      <c r="I223" s="7">
        <f>IF(AND(G223="Yes",H223="No"),"GST charged, not registered","")</f>
        <v/>
      </c>
      <c r="J223" s="24" t="n"/>
      <c r="K223" s="22" t="n"/>
      <c r="L223" s="24" t="n"/>
      <c r="M223" s="33" t="n"/>
      <c r="N223" s="22" t="n"/>
      <c r="O223" s="23" t="n"/>
    </row>
    <row r="224">
      <c r="A224" s="24" t="n"/>
      <c r="B224" s="22" t="n"/>
      <c r="C224" s="22" t="n"/>
      <c r="D224" s="35" t="n"/>
      <c r="E224" s="22" t="n"/>
      <c r="F224" s="33" t="n"/>
      <c r="G224" s="22" t="n"/>
      <c r="H224" s="7">
        <f>IF(C224="","",IFERROR(INDEX('Trades'!$G$4:$G$103,MATCH(C224,'Trades'!$B$4:$B$103,0))&amp;"",""))</f>
        <v/>
      </c>
      <c r="I224" s="7">
        <f>IF(AND(G224="Yes",H224="No"),"GST charged, not registered","")</f>
        <v/>
      </c>
      <c r="J224" s="24" t="n"/>
      <c r="K224" s="22" t="n"/>
      <c r="L224" s="24" t="n"/>
      <c r="M224" s="33" t="n"/>
      <c r="N224" s="22" t="n"/>
      <c r="O224" s="23" t="n"/>
    </row>
    <row r="225">
      <c r="A225" s="24" t="n"/>
      <c r="B225" s="22" t="n"/>
      <c r="C225" s="22" t="n"/>
      <c r="D225" s="35" t="n"/>
      <c r="E225" s="22" t="n"/>
      <c r="F225" s="33" t="n"/>
      <c r="G225" s="22" t="n"/>
      <c r="H225" s="7">
        <f>IF(C225="","",IFERROR(INDEX('Trades'!$G$4:$G$103,MATCH(C225,'Trades'!$B$4:$B$103,0))&amp;"",""))</f>
        <v/>
      </c>
      <c r="I225" s="7">
        <f>IF(AND(G225="Yes",H225="No"),"GST charged, not registered","")</f>
        <v/>
      </c>
      <c r="J225" s="24" t="n"/>
      <c r="K225" s="22" t="n"/>
      <c r="L225" s="24" t="n"/>
      <c r="M225" s="33" t="n"/>
      <c r="N225" s="22" t="n"/>
      <c r="O225" s="23" t="n"/>
    </row>
    <row r="226">
      <c r="A226" s="24" t="n"/>
      <c r="B226" s="22" t="n"/>
      <c r="C226" s="22" t="n"/>
      <c r="D226" s="35" t="n"/>
      <c r="E226" s="22" t="n"/>
      <c r="F226" s="33" t="n"/>
      <c r="G226" s="22" t="n"/>
      <c r="H226" s="7">
        <f>IF(C226="","",IFERROR(INDEX('Trades'!$G$4:$G$103,MATCH(C226,'Trades'!$B$4:$B$103,0))&amp;"",""))</f>
        <v/>
      </c>
      <c r="I226" s="7">
        <f>IF(AND(G226="Yes",H226="No"),"GST charged, not registered","")</f>
        <v/>
      </c>
      <c r="J226" s="24" t="n"/>
      <c r="K226" s="22" t="n"/>
      <c r="L226" s="24" t="n"/>
      <c r="M226" s="33" t="n"/>
      <c r="N226" s="22" t="n"/>
      <c r="O226" s="23" t="n"/>
    </row>
    <row r="227">
      <c r="A227" s="24" t="n"/>
      <c r="B227" s="22" t="n"/>
      <c r="C227" s="22" t="n"/>
      <c r="D227" s="35" t="n"/>
      <c r="E227" s="22" t="n"/>
      <c r="F227" s="33" t="n"/>
      <c r="G227" s="22" t="n"/>
      <c r="H227" s="7">
        <f>IF(C227="","",IFERROR(INDEX('Trades'!$G$4:$G$103,MATCH(C227,'Trades'!$B$4:$B$103,0))&amp;"",""))</f>
        <v/>
      </c>
      <c r="I227" s="7">
        <f>IF(AND(G227="Yes",H227="No"),"GST charged, not registered","")</f>
        <v/>
      </c>
      <c r="J227" s="24" t="n"/>
      <c r="K227" s="22" t="n"/>
      <c r="L227" s="24" t="n"/>
      <c r="M227" s="33" t="n"/>
      <c r="N227" s="22" t="n"/>
      <c r="O227" s="23" t="n"/>
    </row>
    <row r="228">
      <c r="A228" s="24" t="n"/>
      <c r="B228" s="22" t="n"/>
      <c r="C228" s="22" t="n"/>
      <c r="D228" s="35" t="n"/>
      <c r="E228" s="22" t="n"/>
      <c r="F228" s="33" t="n"/>
      <c r="G228" s="22" t="n"/>
      <c r="H228" s="7">
        <f>IF(C228="","",IFERROR(INDEX('Trades'!$G$4:$G$103,MATCH(C228,'Trades'!$B$4:$B$103,0))&amp;"",""))</f>
        <v/>
      </c>
      <c r="I228" s="7">
        <f>IF(AND(G228="Yes",H228="No"),"GST charged, not registered","")</f>
        <v/>
      </c>
      <c r="J228" s="24" t="n"/>
      <c r="K228" s="22" t="n"/>
      <c r="L228" s="24" t="n"/>
      <c r="M228" s="33" t="n"/>
      <c r="N228" s="22" t="n"/>
      <c r="O228" s="23" t="n"/>
    </row>
    <row r="229">
      <c r="A229" s="24" t="n"/>
      <c r="B229" s="22" t="n"/>
      <c r="C229" s="22" t="n"/>
      <c r="D229" s="35" t="n"/>
      <c r="E229" s="22" t="n"/>
      <c r="F229" s="33" t="n"/>
      <c r="G229" s="22" t="n"/>
      <c r="H229" s="7">
        <f>IF(C229="","",IFERROR(INDEX('Trades'!$G$4:$G$103,MATCH(C229,'Trades'!$B$4:$B$103,0))&amp;"",""))</f>
        <v/>
      </c>
      <c r="I229" s="7">
        <f>IF(AND(G229="Yes",H229="No"),"GST charged, not registered","")</f>
        <v/>
      </c>
      <c r="J229" s="24" t="n"/>
      <c r="K229" s="22" t="n"/>
      <c r="L229" s="24" t="n"/>
      <c r="M229" s="33" t="n"/>
      <c r="N229" s="22" t="n"/>
      <c r="O229" s="23" t="n"/>
    </row>
    <row r="230">
      <c r="A230" s="24" t="n"/>
      <c r="B230" s="22" t="n"/>
      <c r="C230" s="22" t="n"/>
      <c r="D230" s="35" t="n"/>
      <c r="E230" s="22" t="n"/>
      <c r="F230" s="33" t="n"/>
      <c r="G230" s="22" t="n"/>
      <c r="H230" s="7">
        <f>IF(C230="","",IFERROR(INDEX('Trades'!$G$4:$G$103,MATCH(C230,'Trades'!$B$4:$B$103,0))&amp;"",""))</f>
        <v/>
      </c>
      <c r="I230" s="7">
        <f>IF(AND(G230="Yes",H230="No"),"GST charged, not registered","")</f>
        <v/>
      </c>
      <c r="J230" s="24" t="n"/>
      <c r="K230" s="22" t="n"/>
      <c r="L230" s="24" t="n"/>
      <c r="M230" s="33" t="n"/>
      <c r="N230" s="22" t="n"/>
      <c r="O230" s="23" t="n"/>
    </row>
    <row r="231">
      <c r="A231" s="24" t="n"/>
      <c r="B231" s="22" t="n"/>
      <c r="C231" s="22" t="n"/>
      <c r="D231" s="35" t="n"/>
      <c r="E231" s="22" t="n"/>
      <c r="F231" s="33" t="n"/>
      <c r="G231" s="22" t="n"/>
      <c r="H231" s="7">
        <f>IF(C231="","",IFERROR(INDEX('Trades'!$G$4:$G$103,MATCH(C231,'Trades'!$B$4:$B$103,0))&amp;"",""))</f>
        <v/>
      </c>
      <c r="I231" s="7">
        <f>IF(AND(G231="Yes",H231="No"),"GST charged, not registered","")</f>
        <v/>
      </c>
      <c r="J231" s="24" t="n"/>
      <c r="K231" s="22" t="n"/>
      <c r="L231" s="24" t="n"/>
      <c r="M231" s="33" t="n"/>
      <c r="N231" s="22" t="n"/>
      <c r="O231" s="23" t="n"/>
    </row>
    <row r="232">
      <c r="A232" s="24" t="n"/>
      <c r="B232" s="22" t="n"/>
      <c r="C232" s="22" t="n"/>
      <c r="D232" s="35" t="n"/>
      <c r="E232" s="22" t="n"/>
      <c r="F232" s="33" t="n"/>
      <c r="G232" s="22" t="n"/>
      <c r="H232" s="7">
        <f>IF(C232="","",IFERROR(INDEX('Trades'!$G$4:$G$103,MATCH(C232,'Trades'!$B$4:$B$103,0))&amp;"",""))</f>
        <v/>
      </c>
      <c r="I232" s="7">
        <f>IF(AND(G232="Yes",H232="No"),"GST charged, not registered","")</f>
        <v/>
      </c>
      <c r="J232" s="24" t="n"/>
      <c r="K232" s="22" t="n"/>
      <c r="L232" s="24" t="n"/>
      <c r="M232" s="33" t="n"/>
      <c r="N232" s="22" t="n"/>
      <c r="O232" s="23" t="n"/>
    </row>
    <row r="233">
      <c r="A233" s="24" t="n"/>
      <c r="B233" s="22" t="n"/>
      <c r="C233" s="22" t="n"/>
      <c r="D233" s="35" t="n"/>
      <c r="E233" s="22" t="n"/>
      <c r="F233" s="33" t="n"/>
      <c r="G233" s="22" t="n"/>
      <c r="H233" s="7">
        <f>IF(C233="","",IFERROR(INDEX('Trades'!$G$4:$G$103,MATCH(C233,'Trades'!$B$4:$B$103,0))&amp;"",""))</f>
        <v/>
      </c>
      <c r="I233" s="7">
        <f>IF(AND(G233="Yes",H233="No"),"GST charged, not registered","")</f>
        <v/>
      </c>
      <c r="J233" s="24" t="n"/>
      <c r="K233" s="22" t="n"/>
      <c r="L233" s="24" t="n"/>
      <c r="M233" s="33" t="n"/>
      <c r="N233" s="22" t="n"/>
      <c r="O233" s="23" t="n"/>
    </row>
    <row r="234">
      <c r="A234" s="24" t="n"/>
      <c r="B234" s="22" t="n"/>
      <c r="C234" s="22" t="n"/>
      <c r="D234" s="35" t="n"/>
      <c r="E234" s="22" t="n"/>
      <c r="F234" s="33" t="n"/>
      <c r="G234" s="22" t="n"/>
      <c r="H234" s="7">
        <f>IF(C234="","",IFERROR(INDEX('Trades'!$G$4:$G$103,MATCH(C234,'Trades'!$B$4:$B$103,0))&amp;"",""))</f>
        <v/>
      </c>
      <c r="I234" s="7">
        <f>IF(AND(G234="Yes",H234="No"),"GST charged, not registered","")</f>
        <v/>
      </c>
      <c r="J234" s="24" t="n"/>
      <c r="K234" s="22" t="n"/>
      <c r="L234" s="24" t="n"/>
      <c r="M234" s="33" t="n"/>
      <c r="N234" s="22" t="n"/>
      <c r="O234" s="23" t="n"/>
    </row>
    <row r="235">
      <c r="A235" s="24" t="n"/>
      <c r="B235" s="22" t="n"/>
      <c r="C235" s="22" t="n"/>
      <c r="D235" s="35" t="n"/>
      <c r="E235" s="22" t="n"/>
      <c r="F235" s="33" t="n"/>
      <c r="G235" s="22" t="n"/>
      <c r="H235" s="7">
        <f>IF(C235="","",IFERROR(INDEX('Trades'!$G$4:$G$103,MATCH(C235,'Trades'!$B$4:$B$103,0))&amp;"",""))</f>
        <v/>
      </c>
      <c r="I235" s="7">
        <f>IF(AND(G235="Yes",H235="No"),"GST charged, not registered","")</f>
        <v/>
      </c>
      <c r="J235" s="24" t="n"/>
      <c r="K235" s="22" t="n"/>
      <c r="L235" s="24" t="n"/>
      <c r="M235" s="33" t="n"/>
      <c r="N235" s="22" t="n"/>
      <c r="O235" s="23" t="n"/>
    </row>
    <row r="236">
      <c r="A236" s="24" t="n"/>
      <c r="B236" s="22" t="n"/>
      <c r="C236" s="22" t="n"/>
      <c r="D236" s="35" t="n"/>
      <c r="E236" s="22" t="n"/>
      <c r="F236" s="33" t="n"/>
      <c r="G236" s="22" t="n"/>
      <c r="H236" s="7">
        <f>IF(C236="","",IFERROR(INDEX('Trades'!$G$4:$G$103,MATCH(C236,'Trades'!$B$4:$B$103,0))&amp;"",""))</f>
        <v/>
      </c>
      <c r="I236" s="7">
        <f>IF(AND(G236="Yes",H236="No"),"GST charged, not registered","")</f>
        <v/>
      </c>
      <c r="J236" s="24" t="n"/>
      <c r="K236" s="22" t="n"/>
      <c r="L236" s="24" t="n"/>
      <c r="M236" s="33" t="n"/>
      <c r="N236" s="22" t="n"/>
      <c r="O236" s="23" t="n"/>
    </row>
    <row r="237">
      <c r="A237" s="24" t="n"/>
      <c r="B237" s="22" t="n"/>
      <c r="C237" s="22" t="n"/>
      <c r="D237" s="35" t="n"/>
      <c r="E237" s="22" t="n"/>
      <c r="F237" s="33" t="n"/>
      <c r="G237" s="22" t="n"/>
      <c r="H237" s="7">
        <f>IF(C237="","",IFERROR(INDEX('Trades'!$G$4:$G$103,MATCH(C237,'Trades'!$B$4:$B$103,0))&amp;"",""))</f>
        <v/>
      </c>
      <c r="I237" s="7">
        <f>IF(AND(G237="Yes",H237="No"),"GST charged, not registered","")</f>
        <v/>
      </c>
      <c r="J237" s="24" t="n"/>
      <c r="K237" s="22" t="n"/>
      <c r="L237" s="24" t="n"/>
      <c r="M237" s="33" t="n"/>
      <c r="N237" s="22" t="n"/>
      <c r="O237" s="23" t="n"/>
    </row>
    <row r="238">
      <c r="A238" s="24" t="n"/>
      <c r="B238" s="22" t="n"/>
      <c r="C238" s="22" t="n"/>
      <c r="D238" s="35" t="n"/>
      <c r="E238" s="22" t="n"/>
      <c r="F238" s="33" t="n"/>
      <c r="G238" s="22" t="n"/>
      <c r="H238" s="7">
        <f>IF(C238="","",IFERROR(INDEX('Trades'!$G$4:$G$103,MATCH(C238,'Trades'!$B$4:$B$103,0))&amp;"",""))</f>
        <v/>
      </c>
      <c r="I238" s="7">
        <f>IF(AND(G238="Yes",H238="No"),"GST charged, not registered","")</f>
        <v/>
      </c>
      <c r="J238" s="24" t="n"/>
      <c r="K238" s="22" t="n"/>
      <c r="L238" s="24" t="n"/>
      <c r="M238" s="33" t="n"/>
      <c r="N238" s="22" t="n"/>
      <c r="O238" s="23" t="n"/>
    </row>
    <row r="239">
      <c r="A239" s="24" t="n"/>
      <c r="B239" s="22" t="n"/>
      <c r="C239" s="22" t="n"/>
      <c r="D239" s="35" t="n"/>
      <c r="E239" s="22" t="n"/>
      <c r="F239" s="33" t="n"/>
      <c r="G239" s="22" t="n"/>
      <c r="H239" s="7">
        <f>IF(C239="","",IFERROR(INDEX('Trades'!$G$4:$G$103,MATCH(C239,'Trades'!$B$4:$B$103,0))&amp;"",""))</f>
        <v/>
      </c>
      <c r="I239" s="7">
        <f>IF(AND(G239="Yes",H239="No"),"GST charged, not registered","")</f>
        <v/>
      </c>
      <c r="J239" s="24" t="n"/>
      <c r="K239" s="22" t="n"/>
      <c r="L239" s="24" t="n"/>
      <c r="M239" s="33" t="n"/>
      <c r="N239" s="22" t="n"/>
      <c r="O239" s="23" t="n"/>
    </row>
    <row r="240">
      <c r="A240" s="24" t="n"/>
      <c r="B240" s="22" t="n"/>
      <c r="C240" s="22" t="n"/>
      <c r="D240" s="35" t="n"/>
      <c r="E240" s="22" t="n"/>
      <c r="F240" s="33" t="n"/>
      <c r="G240" s="22" t="n"/>
      <c r="H240" s="7">
        <f>IF(C240="","",IFERROR(INDEX('Trades'!$G$4:$G$103,MATCH(C240,'Trades'!$B$4:$B$103,0))&amp;"",""))</f>
        <v/>
      </c>
      <c r="I240" s="7">
        <f>IF(AND(G240="Yes",H240="No"),"GST charged, not registered","")</f>
        <v/>
      </c>
      <c r="J240" s="24" t="n"/>
      <c r="K240" s="22" t="n"/>
      <c r="L240" s="24" t="n"/>
      <c r="M240" s="33" t="n"/>
      <c r="N240" s="22" t="n"/>
      <c r="O240" s="23" t="n"/>
    </row>
    <row r="241">
      <c r="A241" s="24" t="n"/>
      <c r="B241" s="22" t="n"/>
      <c r="C241" s="22" t="n"/>
      <c r="D241" s="35" t="n"/>
      <c r="E241" s="22" t="n"/>
      <c r="F241" s="33" t="n"/>
      <c r="G241" s="22" t="n"/>
      <c r="H241" s="7">
        <f>IF(C241="","",IFERROR(INDEX('Trades'!$G$4:$G$103,MATCH(C241,'Trades'!$B$4:$B$103,0))&amp;"",""))</f>
        <v/>
      </c>
      <c r="I241" s="7">
        <f>IF(AND(G241="Yes",H241="No"),"GST charged, not registered","")</f>
        <v/>
      </c>
      <c r="J241" s="24" t="n"/>
      <c r="K241" s="22" t="n"/>
      <c r="L241" s="24" t="n"/>
      <c r="M241" s="33" t="n"/>
      <c r="N241" s="22" t="n"/>
      <c r="O241" s="23" t="n"/>
    </row>
    <row r="242">
      <c r="A242" s="24" t="n"/>
      <c r="B242" s="22" t="n"/>
      <c r="C242" s="22" t="n"/>
      <c r="D242" s="35" t="n"/>
      <c r="E242" s="22" t="n"/>
      <c r="F242" s="33" t="n"/>
      <c r="G242" s="22" t="n"/>
      <c r="H242" s="7">
        <f>IF(C242="","",IFERROR(INDEX('Trades'!$G$4:$G$103,MATCH(C242,'Trades'!$B$4:$B$103,0))&amp;"",""))</f>
        <v/>
      </c>
      <c r="I242" s="7">
        <f>IF(AND(G242="Yes",H242="No"),"GST charged, not registered","")</f>
        <v/>
      </c>
      <c r="J242" s="24" t="n"/>
      <c r="K242" s="22" t="n"/>
      <c r="L242" s="24" t="n"/>
      <c r="M242" s="33" t="n"/>
      <c r="N242" s="22" t="n"/>
      <c r="O242" s="23" t="n"/>
    </row>
    <row r="243">
      <c r="A243" s="24" t="n"/>
      <c r="B243" s="22" t="n"/>
      <c r="C243" s="22" t="n"/>
      <c r="D243" s="35" t="n"/>
      <c r="E243" s="22" t="n"/>
      <c r="F243" s="33" t="n"/>
      <c r="G243" s="22" t="n"/>
      <c r="H243" s="7">
        <f>IF(C243="","",IFERROR(INDEX('Trades'!$G$4:$G$103,MATCH(C243,'Trades'!$B$4:$B$103,0))&amp;"",""))</f>
        <v/>
      </c>
      <c r="I243" s="7">
        <f>IF(AND(G243="Yes",H243="No"),"GST charged, not registered","")</f>
        <v/>
      </c>
      <c r="J243" s="24" t="n"/>
      <c r="K243" s="22" t="n"/>
      <c r="L243" s="24" t="n"/>
      <c r="M243" s="33" t="n"/>
      <c r="N243" s="22" t="n"/>
      <c r="O243" s="23" t="n"/>
    </row>
    <row r="244">
      <c r="A244" s="24" t="n"/>
      <c r="B244" s="22" t="n"/>
      <c r="C244" s="22" t="n"/>
      <c r="D244" s="35" t="n"/>
      <c r="E244" s="22" t="n"/>
      <c r="F244" s="33" t="n"/>
      <c r="G244" s="22" t="n"/>
      <c r="H244" s="7">
        <f>IF(C244="","",IFERROR(INDEX('Trades'!$G$4:$G$103,MATCH(C244,'Trades'!$B$4:$B$103,0))&amp;"",""))</f>
        <v/>
      </c>
      <c r="I244" s="7">
        <f>IF(AND(G244="Yes",H244="No"),"GST charged, not registered","")</f>
        <v/>
      </c>
      <c r="J244" s="24" t="n"/>
      <c r="K244" s="22" t="n"/>
      <c r="L244" s="24" t="n"/>
      <c r="M244" s="33" t="n"/>
      <c r="N244" s="22" t="n"/>
      <c r="O244" s="23" t="n"/>
    </row>
    <row r="245">
      <c r="A245" s="24" t="n"/>
      <c r="B245" s="22" t="n"/>
      <c r="C245" s="22" t="n"/>
      <c r="D245" s="35" t="n"/>
      <c r="E245" s="22" t="n"/>
      <c r="F245" s="33" t="n"/>
      <c r="G245" s="22" t="n"/>
      <c r="H245" s="7">
        <f>IF(C245="","",IFERROR(INDEX('Trades'!$G$4:$G$103,MATCH(C245,'Trades'!$B$4:$B$103,0))&amp;"",""))</f>
        <v/>
      </c>
      <c r="I245" s="7">
        <f>IF(AND(G245="Yes",H245="No"),"GST charged, not registered","")</f>
        <v/>
      </c>
      <c r="J245" s="24" t="n"/>
      <c r="K245" s="22" t="n"/>
      <c r="L245" s="24" t="n"/>
      <c r="M245" s="33" t="n"/>
      <c r="N245" s="22" t="n"/>
      <c r="O245" s="23" t="n"/>
    </row>
    <row r="246">
      <c r="A246" s="24" t="n"/>
      <c r="B246" s="22" t="n"/>
      <c r="C246" s="22" t="n"/>
      <c r="D246" s="35" t="n"/>
      <c r="E246" s="22" t="n"/>
      <c r="F246" s="33" t="n"/>
      <c r="G246" s="22" t="n"/>
      <c r="H246" s="7">
        <f>IF(C246="","",IFERROR(INDEX('Trades'!$G$4:$G$103,MATCH(C246,'Trades'!$B$4:$B$103,0))&amp;"",""))</f>
        <v/>
      </c>
      <c r="I246" s="7">
        <f>IF(AND(G246="Yes",H246="No"),"GST charged, not registered","")</f>
        <v/>
      </c>
      <c r="J246" s="24" t="n"/>
      <c r="K246" s="22" t="n"/>
      <c r="L246" s="24" t="n"/>
      <c r="M246" s="33" t="n"/>
      <c r="N246" s="22" t="n"/>
      <c r="O246" s="23" t="n"/>
    </row>
    <row r="247">
      <c r="A247" s="24" t="n"/>
      <c r="B247" s="22" t="n"/>
      <c r="C247" s="22" t="n"/>
      <c r="D247" s="35" t="n"/>
      <c r="E247" s="22" t="n"/>
      <c r="F247" s="33" t="n"/>
      <c r="G247" s="22" t="n"/>
      <c r="H247" s="7">
        <f>IF(C247="","",IFERROR(INDEX('Trades'!$G$4:$G$103,MATCH(C247,'Trades'!$B$4:$B$103,0))&amp;"",""))</f>
        <v/>
      </c>
      <c r="I247" s="7">
        <f>IF(AND(G247="Yes",H247="No"),"GST charged, not registered","")</f>
        <v/>
      </c>
      <c r="J247" s="24" t="n"/>
      <c r="K247" s="22" t="n"/>
      <c r="L247" s="24" t="n"/>
      <c r="M247" s="33" t="n"/>
      <c r="N247" s="22" t="n"/>
      <c r="O247" s="23" t="n"/>
    </row>
    <row r="248">
      <c r="A248" s="24" t="n"/>
      <c r="B248" s="22" t="n"/>
      <c r="C248" s="22" t="n"/>
      <c r="D248" s="35" t="n"/>
      <c r="E248" s="22" t="n"/>
      <c r="F248" s="33" t="n"/>
      <c r="G248" s="22" t="n"/>
      <c r="H248" s="7">
        <f>IF(C248="","",IFERROR(INDEX('Trades'!$G$4:$G$103,MATCH(C248,'Trades'!$B$4:$B$103,0))&amp;"",""))</f>
        <v/>
      </c>
      <c r="I248" s="7">
        <f>IF(AND(G248="Yes",H248="No"),"GST charged, not registered","")</f>
        <v/>
      </c>
      <c r="J248" s="24" t="n"/>
      <c r="K248" s="22" t="n"/>
      <c r="L248" s="24" t="n"/>
      <c r="M248" s="33" t="n"/>
      <c r="N248" s="22" t="n"/>
      <c r="O248" s="23" t="n"/>
    </row>
    <row r="249">
      <c r="A249" s="24" t="n"/>
      <c r="B249" s="22" t="n"/>
      <c r="C249" s="22" t="n"/>
      <c r="D249" s="35" t="n"/>
      <c r="E249" s="22" t="n"/>
      <c r="F249" s="33" t="n"/>
      <c r="G249" s="22" t="n"/>
      <c r="H249" s="7">
        <f>IF(C249="","",IFERROR(INDEX('Trades'!$G$4:$G$103,MATCH(C249,'Trades'!$B$4:$B$103,0))&amp;"",""))</f>
        <v/>
      </c>
      <c r="I249" s="7">
        <f>IF(AND(G249="Yes",H249="No"),"GST charged, not registered","")</f>
        <v/>
      </c>
      <c r="J249" s="24" t="n"/>
      <c r="K249" s="22" t="n"/>
      <c r="L249" s="24" t="n"/>
      <c r="M249" s="33" t="n"/>
      <c r="N249" s="22" t="n"/>
      <c r="O249" s="23" t="n"/>
    </row>
    <row r="250">
      <c r="A250" s="24" t="n"/>
      <c r="B250" s="22" t="n"/>
      <c r="C250" s="22" t="n"/>
      <c r="D250" s="35" t="n"/>
      <c r="E250" s="22" t="n"/>
      <c r="F250" s="33" t="n"/>
      <c r="G250" s="22" t="n"/>
      <c r="H250" s="7">
        <f>IF(C250="","",IFERROR(INDEX('Trades'!$G$4:$G$103,MATCH(C250,'Trades'!$B$4:$B$103,0))&amp;"",""))</f>
        <v/>
      </c>
      <c r="I250" s="7">
        <f>IF(AND(G250="Yes",H250="No"),"GST charged, not registered","")</f>
        <v/>
      </c>
      <c r="J250" s="24" t="n"/>
      <c r="K250" s="22" t="n"/>
      <c r="L250" s="24" t="n"/>
      <c r="M250" s="33" t="n"/>
      <c r="N250" s="22" t="n"/>
      <c r="O250" s="23" t="n"/>
    </row>
    <row r="251">
      <c r="A251" s="24" t="n"/>
      <c r="B251" s="22" t="n"/>
      <c r="C251" s="22" t="n"/>
      <c r="D251" s="35" t="n"/>
      <c r="E251" s="22" t="n"/>
      <c r="F251" s="33" t="n"/>
      <c r="G251" s="22" t="n"/>
      <c r="H251" s="7">
        <f>IF(C251="","",IFERROR(INDEX('Trades'!$G$4:$G$103,MATCH(C251,'Trades'!$B$4:$B$103,0))&amp;"",""))</f>
        <v/>
      </c>
      <c r="I251" s="7">
        <f>IF(AND(G251="Yes",H251="No"),"GST charged, not registered","")</f>
        <v/>
      </c>
      <c r="J251" s="24" t="n"/>
      <c r="K251" s="22" t="n"/>
      <c r="L251" s="24" t="n"/>
      <c r="M251" s="33" t="n"/>
      <c r="N251" s="22" t="n"/>
      <c r="O251" s="23" t="n"/>
    </row>
    <row r="252">
      <c r="A252" s="24" t="n"/>
      <c r="B252" s="22" t="n"/>
      <c r="C252" s="22" t="n"/>
      <c r="D252" s="35" t="n"/>
      <c r="E252" s="22" t="n"/>
      <c r="F252" s="33" t="n"/>
      <c r="G252" s="22" t="n"/>
      <c r="H252" s="7">
        <f>IF(C252="","",IFERROR(INDEX('Trades'!$G$4:$G$103,MATCH(C252,'Trades'!$B$4:$B$103,0))&amp;"",""))</f>
        <v/>
      </c>
      <c r="I252" s="7">
        <f>IF(AND(G252="Yes",H252="No"),"GST charged, not registered","")</f>
        <v/>
      </c>
      <c r="J252" s="24" t="n"/>
      <c r="K252" s="22" t="n"/>
      <c r="L252" s="24" t="n"/>
      <c r="M252" s="33" t="n"/>
      <c r="N252" s="22" t="n"/>
      <c r="O252" s="23" t="n"/>
    </row>
    <row r="253">
      <c r="A253" s="24" t="n"/>
      <c r="B253" s="22" t="n"/>
      <c r="C253" s="22" t="n"/>
      <c r="D253" s="35" t="n"/>
      <c r="E253" s="22" t="n"/>
      <c r="F253" s="33" t="n"/>
      <c r="G253" s="22" t="n"/>
      <c r="H253" s="7">
        <f>IF(C253="","",IFERROR(INDEX('Trades'!$G$4:$G$103,MATCH(C253,'Trades'!$B$4:$B$103,0))&amp;"",""))</f>
        <v/>
      </c>
      <c r="I253" s="7">
        <f>IF(AND(G253="Yes",H253="No"),"GST charged, not registered","")</f>
        <v/>
      </c>
      <c r="J253" s="24" t="n"/>
      <c r="K253" s="22" t="n"/>
      <c r="L253" s="24" t="n"/>
      <c r="M253" s="33" t="n"/>
      <c r="N253" s="22" t="n"/>
      <c r="O253" s="23" t="n"/>
    </row>
    <row r="254">
      <c r="A254" s="24" t="n"/>
      <c r="B254" s="22" t="n"/>
      <c r="C254" s="22" t="n"/>
      <c r="D254" s="35" t="n"/>
      <c r="E254" s="22" t="n"/>
      <c r="F254" s="33" t="n"/>
      <c r="G254" s="22" t="n"/>
      <c r="H254" s="7">
        <f>IF(C254="","",IFERROR(INDEX('Trades'!$G$4:$G$103,MATCH(C254,'Trades'!$B$4:$B$103,0))&amp;"",""))</f>
        <v/>
      </c>
      <c r="I254" s="7">
        <f>IF(AND(G254="Yes",H254="No"),"GST charged, not registered","")</f>
        <v/>
      </c>
      <c r="J254" s="24" t="n"/>
      <c r="K254" s="22" t="n"/>
      <c r="L254" s="24" t="n"/>
      <c r="M254" s="33" t="n"/>
      <c r="N254" s="22" t="n"/>
      <c r="O254" s="23" t="n"/>
    </row>
    <row r="255">
      <c r="A255" s="24" t="n"/>
      <c r="B255" s="22" t="n"/>
      <c r="C255" s="22" t="n"/>
      <c r="D255" s="35" t="n"/>
      <c r="E255" s="22" t="n"/>
      <c r="F255" s="33" t="n"/>
      <c r="G255" s="22" t="n"/>
      <c r="H255" s="7">
        <f>IF(C255="","",IFERROR(INDEX('Trades'!$G$4:$G$103,MATCH(C255,'Trades'!$B$4:$B$103,0))&amp;"",""))</f>
        <v/>
      </c>
      <c r="I255" s="7">
        <f>IF(AND(G255="Yes",H255="No"),"GST charged, not registered","")</f>
        <v/>
      </c>
      <c r="J255" s="24" t="n"/>
      <c r="K255" s="22" t="n"/>
      <c r="L255" s="24" t="n"/>
      <c r="M255" s="33" t="n"/>
      <c r="N255" s="22" t="n"/>
      <c r="O255" s="23" t="n"/>
    </row>
    <row r="256">
      <c r="A256" s="24" t="n"/>
      <c r="B256" s="22" t="n"/>
      <c r="C256" s="22" t="n"/>
      <c r="D256" s="35" t="n"/>
      <c r="E256" s="22" t="n"/>
      <c r="F256" s="33" t="n"/>
      <c r="G256" s="22" t="n"/>
      <c r="H256" s="7">
        <f>IF(C256="","",IFERROR(INDEX('Trades'!$G$4:$G$103,MATCH(C256,'Trades'!$B$4:$B$103,0))&amp;"",""))</f>
        <v/>
      </c>
      <c r="I256" s="7">
        <f>IF(AND(G256="Yes",H256="No"),"GST charged, not registered","")</f>
        <v/>
      </c>
      <c r="J256" s="24" t="n"/>
      <c r="K256" s="22" t="n"/>
      <c r="L256" s="24" t="n"/>
      <c r="M256" s="33" t="n"/>
      <c r="N256" s="22" t="n"/>
      <c r="O256" s="23" t="n"/>
    </row>
    <row r="257">
      <c r="A257" s="24" t="n"/>
      <c r="B257" s="22" t="n"/>
      <c r="C257" s="22" t="n"/>
      <c r="D257" s="35" t="n"/>
      <c r="E257" s="22" t="n"/>
      <c r="F257" s="33" t="n"/>
      <c r="G257" s="22" t="n"/>
      <c r="H257" s="7">
        <f>IF(C257="","",IFERROR(INDEX('Trades'!$G$4:$G$103,MATCH(C257,'Trades'!$B$4:$B$103,0))&amp;"",""))</f>
        <v/>
      </c>
      <c r="I257" s="7">
        <f>IF(AND(G257="Yes",H257="No"),"GST charged, not registered","")</f>
        <v/>
      </c>
      <c r="J257" s="24" t="n"/>
      <c r="K257" s="22" t="n"/>
      <c r="L257" s="24" t="n"/>
      <c r="M257" s="33" t="n"/>
      <c r="N257" s="22" t="n"/>
      <c r="O257" s="23" t="n"/>
    </row>
    <row r="258">
      <c r="A258" s="24" t="n"/>
      <c r="B258" s="22" t="n"/>
      <c r="C258" s="22" t="n"/>
      <c r="D258" s="35" t="n"/>
      <c r="E258" s="22" t="n"/>
      <c r="F258" s="33" t="n"/>
      <c r="G258" s="22" t="n"/>
      <c r="H258" s="7">
        <f>IF(C258="","",IFERROR(INDEX('Trades'!$G$4:$G$103,MATCH(C258,'Trades'!$B$4:$B$103,0))&amp;"",""))</f>
        <v/>
      </c>
      <c r="I258" s="7">
        <f>IF(AND(G258="Yes",H258="No"),"GST charged, not registered","")</f>
        <v/>
      </c>
      <c r="J258" s="24" t="n"/>
      <c r="K258" s="22" t="n"/>
      <c r="L258" s="24" t="n"/>
      <c r="M258" s="33" t="n"/>
      <c r="N258" s="22" t="n"/>
      <c r="O258" s="23" t="n"/>
    </row>
    <row r="259">
      <c r="A259" s="24" t="n"/>
      <c r="B259" s="22" t="n"/>
      <c r="C259" s="22" t="n"/>
      <c r="D259" s="35" t="n"/>
      <c r="E259" s="22" t="n"/>
      <c r="F259" s="33" t="n"/>
      <c r="G259" s="22" t="n"/>
      <c r="H259" s="7">
        <f>IF(C259="","",IFERROR(INDEX('Trades'!$G$4:$G$103,MATCH(C259,'Trades'!$B$4:$B$103,0))&amp;"",""))</f>
        <v/>
      </c>
      <c r="I259" s="7">
        <f>IF(AND(G259="Yes",H259="No"),"GST charged, not registered","")</f>
        <v/>
      </c>
      <c r="J259" s="24" t="n"/>
      <c r="K259" s="22" t="n"/>
      <c r="L259" s="24" t="n"/>
      <c r="M259" s="33" t="n"/>
      <c r="N259" s="22" t="n"/>
      <c r="O259" s="23" t="n"/>
    </row>
    <row r="260">
      <c r="A260" s="24" t="n"/>
      <c r="B260" s="22" t="n"/>
      <c r="C260" s="22" t="n"/>
      <c r="D260" s="35" t="n"/>
      <c r="E260" s="22" t="n"/>
      <c r="F260" s="33" t="n"/>
      <c r="G260" s="22" t="n"/>
      <c r="H260" s="7">
        <f>IF(C260="","",IFERROR(INDEX('Trades'!$G$4:$G$103,MATCH(C260,'Trades'!$B$4:$B$103,0))&amp;"",""))</f>
        <v/>
      </c>
      <c r="I260" s="7">
        <f>IF(AND(G260="Yes",H260="No"),"GST charged, not registered","")</f>
        <v/>
      </c>
      <c r="J260" s="24" t="n"/>
      <c r="K260" s="22" t="n"/>
      <c r="L260" s="24" t="n"/>
      <c r="M260" s="33" t="n"/>
      <c r="N260" s="22" t="n"/>
      <c r="O260" s="23" t="n"/>
    </row>
    <row r="261">
      <c r="A261" s="24" t="n"/>
      <c r="B261" s="22" t="n"/>
      <c r="C261" s="22" t="n"/>
      <c r="D261" s="35" t="n"/>
      <c r="E261" s="22" t="n"/>
      <c r="F261" s="33" t="n"/>
      <c r="G261" s="22" t="n"/>
      <c r="H261" s="7">
        <f>IF(C261="","",IFERROR(INDEX('Trades'!$G$4:$G$103,MATCH(C261,'Trades'!$B$4:$B$103,0))&amp;"",""))</f>
        <v/>
      </c>
      <c r="I261" s="7">
        <f>IF(AND(G261="Yes",H261="No"),"GST charged, not registered","")</f>
        <v/>
      </c>
      <c r="J261" s="24" t="n"/>
      <c r="K261" s="22" t="n"/>
      <c r="L261" s="24" t="n"/>
      <c r="M261" s="33" t="n"/>
      <c r="N261" s="22" t="n"/>
      <c r="O261" s="23" t="n"/>
    </row>
    <row r="262">
      <c r="A262" s="24" t="n"/>
      <c r="B262" s="22" t="n"/>
      <c r="C262" s="22" t="n"/>
      <c r="D262" s="35" t="n"/>
      <c r="E262" s="22" t="n"/>
      <c r="F262" s="33" t="n"/>
      <c r="G262" s="22" t="n"/>
      <c r="H262" s="7">
        <f>IF(C262="","",IFERROR(INDEX('Trades'!$G$4:$G$103,MATCH(C262,'Trades'!$B$4:$B$103,0))&amp;"",""))</f>
        <v/>
      </c>
      <c r="I262" s="7">
        <f>IF(AND(G262="Yes",H262="No"),"GST charged, not registered","")</f>
        <v/>
      </c>
      <c r="J262" s="24" t="n"/>
      <c r="K262" s="22" t="n"/>
      <c r="L262" s="24" t="n"/>
      <c r="M262" s="33" t="n"/>
      <c r="N262" s="22" t="n"/>
      <c r="O262" s="23" t="n"/>
    </row>
    <row r="263">
      <c r="A263" s="24" t="n"/>
      <c r="B263" s="22" t="n"/>
      <c r="C263" s="22" t="n"/>
      <c r="D263" s="35" t="n"/>
      <c r="E263" s="22" t="n"/>
      <c r="F263" s="33" t="n"/>
      <c r="G263" s="22" t="n"/>
      <c r="H263" s="7">
        <f>IF(C263="","",IFERROR(INDEX('Trades'!$G$4:$G$103,MATCH(C263,'Trades'!$B$4:$B$103,0))&amp;"",""))</f>
        <v/>
      </c>
      <c r="I263" s="7">
        <f>IF(AND(G263="Yes",H263="No"),"GST charged, not registered","")</f>
        <v/>
      </c>
      <c r="J263" s="24" t="n"/>
      <c r="K263" s="22" t="n"/>
      <c r="L263" s="24" t="n"/>
      <c r="M263" s="33" t="n"/>
      <c r="N263" s="22" t="n"/>
      <c r="O263" s="23" t="n"/>
    </row>
    <row r="264">
      <c r="A264" s="24" t="n"/>
      <c r="B264" s="22" t="n"/>
      <c r="C264" s="22" t="n"/>
      <c r="D264" s="35" t="n"/>
      <c r="E264" s="22" t="n"/>
      <c r="F264" s="33" t="n"/>
      <c r="G264" s="22" t="n"/>
      <c r="H264" s="7">
        <f>IF(C264="","",IFERROR(INDEX('Trades'!$G$4:$G$103,MATCH(C264,'Trades'!$B$4:$B$103,0))&amp;"",""))</f>
        <v/>
      </c>
      <c r="I264" s="7">
        <f>IF(AND(G264="Yes",H264="No"),"GST charged, not registered","")</f>
        <v/>
      </c>
      <c r="J264" s="24" t="n"/>
      <c r="K264" s="22" t="n"/>
      <c r="L264" s="24" t="n"/>
      <c r="M264" s="33" t="n"/>
      <c r="N264" s="22" t="n"/>
      <c r="O264" s="23" t="n"/>
    </row>
    <row r="265">
      <c r="A265" s="24" t="n"/>
      <c r="B265" s="22" t="n"/>
      <c r="C265" s="22" t="n"/>
      <c r="D265" s="35" t="n"/>
      <c r="E265" s="22" t="n"/>
      <c r="F265" s="33" t="n"/>
      <c r="G265" s="22" t="n"/>
      <c r="H265" s="7">
        <f>IF(C265="","",IFERROR(INDEX('Trades'!$G$4:$G$103,MATCH(C265,'Trades'!$B$4:$B$103,0))&amp;"",""))</f>
        <v/>
      </c>
      <c r="I265" s="7">
        <f>IF(AND(G265="Yes",H265="No"),"GST charged, not registered","")</f>
        <v/>
      </c>
      <c r="J265" s="24" t="n"/>
      <c r="K265" s="22" t="n"/>
      <c r="L265" s="24" t="n"/>
      <c r="M265" s="33" t="n"/>
      <c r="N265" s="22" t="n"/>
      <c r="O265" s="23" t="n"/>
    </row>
    <row r="266">
      <c r="A266" s="24" t="n"/>
      <c r="B266" s="22" t="n"/>
      <c r="C266" s="22" t="n"/>
      <c r="D266" s="35" t="n"/>
      <c r="E266" s="22" t="n"/>
      <c r="F266" s="33" t="n"/>
      <c r="G266" s="22" t="n"/>
      <c r="H266" s="7">
        <f>IF(C266="","",IFERROR(INDEX('Trades'!$G$4:$G$103,MATCH(C266,'Trades'!$B$4:$B$103,0))&amp;"",""))</f>
        <v/>
      </c>
      <c r="I266" s="7">
        <f>IF(AND(G266="Yes",H266="No"),"GST charged, not registered","")</f>
        <v/>
      </c>
      <c r="J266" s="24" t="n"/>
      <c r="K266" s="22" t="n"/>
      <c r="L266" s="24" t="n"/>
      <c r="M266" s="33" t="n"/>
      <c r="N266" s="22" t="n"/>
      <c r="O266" s="23" t="n"/>
    </row>
    <row r="267">
      <c r="A267" s="24" t="n"/>
      <c r="B267" s="22" t="n"/>
      <c r="C267" s="22" t="n"/>
      <c r="D267" s="35" t="n"/>
      <c r="E267" s="22" t="n"/>
      <c r="F267" s="33" t="n"/>
      <c r="G267" s="22" t="n"/>
      <c r="H267" s="7">
        <f>IF(C267="","",IFERROR(INDEX('Trades'!$G$4:$G$103,MATCH(C267,'Trades'!$B$4:$B$103,0))&amp;"",""))</f>
        <v/>
      </c>
      <c r="I267" s="7">
        <f>IF(AND(G267="Yes",H267="No"),"GST charged, not registered","")</f>
        <v/>
      </c>
      <c r="J267" s="24" t="n"/>
      <c r="K267" s="22" t="n"/>
      <c r="L267" s="24" t="n"/>
      <c r="M267" s="33" t="n"/>
      <c r="N267" s="22" t="n"/>
      <c r="O267" s="23" t="n"/>
    </row>
    <row r="268">
      <c r="A268" s="24" t="n"/>
      <c r="B268" s="22" t="n"/>
      <c r="C268" s="22" t="n"/>
      <c r="D268" s="35" t="n"/>
      <c r="E268" s="22" t="n"/>
      <c r="F268" s="33" t="n"/>
      <c r="G268" s="22" t="n"/>
      <c r="H268" s="7">
        <f>IF(C268="","",IFERROR(INDEX('Trades'!$G$4:$G$103,MATCH(C268,'Trades'!$B$4:$B$103,0))&amp;"",""))</f>
        <v/>
      </c>
      <c r="I268" s="7">
        <f>IF(AND(G268="Yes",H268="No"),"GST charged, not registered","")</f>
        <v/>
      </c>
      <c r="J268" s="24" t="n"/>
      <c r="K268" s="22" t="n"/>
      <c r="L268" s="24" t="n"/>
      <c r="M268" s="33" t="n"/>
      <c r="N268" s="22" t="n"/>
      <c r="O268" s="23" t="n"/>
    </row>
    <row r="269">
      <c r="A269" s="24" t="n"/>
      <c r="B269" s="22" t="n"/>
      <c r="C269" s="22" t="n"/>
      <c r="D269" s="35" t="n"/>
      <c r="E269" s="22" t="n"/>
      <c r="F269" s="33" t="n"/>
      <c r="G269" s="22" t="n"/>
      <c r="H269" s="7">
        <f>IF(C269="","",IFERROR(INDEX('Trades'!$G$4:$G$103,MATCH(C269,'Trades'!$B$4:$B$103,0))&amp;"",""))</f>
        <v/>
      </c>
      <c r="I269" s="7">
        <f>IF(AND(G269="Yes",H269="No"),"GST charged, not registered","")</f>
        <v/>
      </c>
      <c r="J269" s="24" t="n"/>
      <c r="K269" s="22" t="n"/>
      <c r="L269" s="24" t="n"/>
      <c r="M269" s="33" t="n"/>
      <c r="N269" s="22" t="n"/>
      <c r="O269" s="23" t="n"/>
    </row>
    <row r="270">
      <c r="A270" s="24" t="n"/>
      <c r="B270" s="22" t="n"/>
      <c r="C270" s="22" t="n"/>
      <c r="D270" s="35" t="n"/>
      <c r="E270" s="22" t="n"/>
      <c r="F270" s="33" t="n"/>
      <c r="G270" s="22" t="n"/>
      <c r="H270" s="7">
        <f>IF(C270="","",IFERROR(INDEX('Trades'!$G$4:$G$103,MATCH(C270,'Trades'!$B$4:$B$103,0))&amp;"",""))</f>
        <v/>
      </c>
      <c r="I270" s="7">
        <f>IF(AND(G270="Yes",H270="No"),"GST charged, not registered","")</f>
        <v/>
      </c>
      <c r="J270" s="24" t="n"/>
      <c r="K270" s="22" t="n"/>
      <c r="L270" s="24" t="n"/>
      <c r="M270" s="33" t="n"/>
      <c r="N270" s="22" t="n"/>
      <c r="O270" s="23" t="n"/>
    </row>
    <row r="271">
      <c r="A271" s="24" t="n"/>
      <c r="B271" s="22" t="n"/>
      <c r="C271" s="22" t="n"/>
      <c r="D271" s="35" t="n"/>
      <c r="E271" s="22" t="n"/>
      <c r="F271" s="33" t="n"/>
      <c r="G271" s="22" t="n"/>
      <c r="H271" s="7">
        <f>IF(C271="","",IFERROR(INDEX('Trades'!$G$4:$G$103,MATCH(C271,'Trades'!$B$4:$B$103,0))&amp;"",""))</f>
        <v/>
      </c>
      <c r="I271" s="7">
        <f>IF(AND(G271="Yes",H271="No"),"GST charged, not registered","")</f>
        <v/>
      </c>
      <c r="J271" s="24" t="n"/>
      <c r="K271" s="22" t="n"/>
      <c r="L271" s="24" t="n"/>
      <c r="M271" s="33" t="n"/>
      <c r="N271" s="22" t="n"/>
      <c r="O271" s="23" t="n"/>
    </row>
    <row r="272">
      <c r="A272" s="24" t="n"/>
      <c r="B272" s="22" t="n"/>
      <c r="C272" s="22" t="n"/>
      <c r="D272" s="35" t="n"/>
      <c r="E272" s="22" t="n"/>
      <c r="F272" s="33" t="n"/>
      <c r="G272" s="22" t="n"/>
      <c r="H272" s="7">
        <f>IF(C272="","",IFERROR(INDEX('Trades'!$G$4:$G$103,MATCH(C272,'Trades'!$B$4:$B$103,0))&amp;"",""))</f>
        <v/>
      </c>
      <c r="I272" s="7">
        <f>IF(AND(G272="Yes",H272="No"),"GST charged, not registered","")</f>
        <v/>
      </c>
      <c r="J272" s="24" t="n"/>
      <c r="K272" s="22" t="n"/>
      <c r="L272" s="24" t="n"/>
      <c r="M272" s="33" t="n"/>
      <c r="N272" s="22" t="n"/>
      <c r="O272" s="23" t="n"/>
    </row>
    <row r="273">
      <c r="A273" s="24" t="n"/>
      <c r="B273" s="22" t="n"/>
      <c r="C273" s="22" t="n"/>
      <c r="D273" s="35" t="n"/>
      <c r="E273" s="22" t="n"/>
      <c r="F273" s="33" t="n"/>
      <c r="G273" s="22" t="n"/>
      <c r="H273" s="7">
        <f>IF(C273="","",IFERROR(INDEX('Trades'!$G$4:$G$103,MATCH(C273,'Trades'!$B$4:$B$103,0))&amp;"",""))</f>
        <v/>
      </c>
      <c r="I273" s="7">
        <f>IF(AND(G273="Yes",H273="No"),"GST charged, not registered","")</f>
        <v/>
      </c>
      <c r="J273" s="24" t="n"/>
      <c r="K273" s="22" t="n"/>
      <c r="L273" s="24" t="n"/>
      <c r="M273" s="33" t="n"/>
      <c r="N273" s="22" t="n"/>
      <c r="O273" s="23" t="n"/>
    </row>
    <row r="274">
      <c r="A274" s="24" t="n"/>
      <c r="B274" s="22" t="n"/>
      <c r="C274" s="22" t="n"/>
      <c r="D274" s="35" t="n"/>
      <c r="E274" s="22" t="n"/>
      <c r="F274" s="33" t="n"/>
      <c r="G274" s="22" t="n"/>
      <c r="H274" s="7">
        <f>IF(C274="","",IFERROR(INDEX('Trades'!$G$4:$G$103,MATCH(C274,'Trades'!$B$4:$B$103,0))&amp;"",""))</f>
        <v/>
      </c>
      <c r="I274" s="7">
        <f>IF(AND(G274="Yes",H274="No"),"GST charged, not registered","")</f>
        <v/>
      </c>
      <c r="J274" s="24" t="n"/>
      <c r="K274" s="22" t="n"/>
      <c r="L274" s="24" t="n"/>
      <c r="M274" s="33" t="n"/>
      <c r="N274" s="22" t="n"/>
      <c r="O274" s="23" t="n"/>
    </row>
    <row r="275">
      <c r="A275" s="24" t="n"/>
      <c r="B275" s="22" t="n"/>
      <c r="C275" s="22" t="n"/>
      <c r="D275" s="35" t="n"/>
      <c r="E275" s="22" t="n"/>
      <c r="F275" s="33" t="n"/>
      <c r="G275" s="22" t="n"/>
      <c r="H275" s="7">
        <f>IF(C275="","",IFERROR(INDEX('Trades'!$G$4:$G$103,MATCH(C275,'Trades'!$B$4:$B$103,0))&amp;"",""))</f>
        <v/>
      </c>
      <c r="I275" s="7">
        <f>IF(AND(G275="Yes",H275="No"),"GST charged, not registered","")</f>
        <v/>
      </c>
      <c r="J275" s="24" t="n"/>
      <c r="K275" s="22" t="n"/>
      <c r="L275" s="24" t="n"/>
      <c r="M275" s="33" t="n"/>
      <c r="N275" s="22" t="n"/>
      <c r="O275" s="23" t="n"/>
    </row>
    <row r="276">
      <c r="A276" s="24" t="n"/>
      <c r="B276" s="22" t="n"/>
      <c r="C276" s="22" t="n"/>
      <c r="D276" s="35" t="n"/>
      <c r="E276" s="22" t="n"/>
      <c r="F276" s="33" t="n"/>
      <c r="G276" s="22" t="n"/>
      <c r="H276" s="7">
        <f>IF(C276="","",IFERROR(INDEX('Trades'!$G$4:$G$103,MATCH(C276,'Trades'!$B$4:$B$103,0))&amp;"",""))</f>
        <v/>
      </c>
      <c r="I276" s="7">
        <f>IF(AND(G276="Yes",H276="No"),"GST charged, not registered","")</f>
        <v/>
      </c>
      <c r="J276" s="24" t="n"/>
      <c r="K276" s="22" t="n"/>
      <c r="L276" s="24" t="n"/>
      <c r="M276" s="33" t="n"/>
      <c r="N276" s="22" t="n"/>
      <c r="O276" s="23" t="n"/>
    </row>
    <row r="277">
      <c r="A277" s="24" t="n"/>
      <c r="B277" s="22" t="n"/>
      <c r="C277" s="22" t="n"/>
      <c r="D277" s="35" t="n"/>
      <c r="E277" s="22" t="n"/>
      <c r="F277" s="33" t="n"/>
      <c r="G277" s="22" t="n"/>
      <c r="H277" s="7">
        <f>IF(C277="","",IFERROR(INDEX('Trades'!$G$4:$G$103,MATCH(C277,'Trades'!$B$4:$B$103,0))&amp;"",""))</f>
        <v/>
      </c>
      <c r="I277" s="7">
        <f>IF(AND(G277="Yes",H277="No"),"GST charged, not registered","")</f>
        <v/>
      </c>
      <c r="J277" s="24" t="n"/>
      <c r="K277" s="22" t="n"/>
      <c r="L277" s="24" t="n"/>
      <c r="M277" s="33" t="n"/>
      <c r="N277" s="22" t="n"/>
      <c r="O277" s="23" t="n"/>
    </row>
    <row r="278">
      <c r="A278" s="24" t="n"/>
      <c r="B278" s="22" t="n"/>
      <c r="C278" s="22" t="n"/>
      <c r="D278" s="35" t="n"/>
      <c r="E278" s="22" t="n"/>
      <c r="F278" s="33" t="n"/>
      <c r="G278" s="22" t="n"/>
      <c r="H278" s="7">
        <f>IF(C278="","",IFERROR(INDEX('Trades'!$G$4:$G$103,MATCH(C278,'Trades'!$B$4:$B$103,0))&amp;"",""))</f>
        <v/>
      </c>
      <c r="I278" s="7">
        <f>IF(AND(G278="Yes",H278="No"),"GST charged, not registered","")</f>
        <v/>
      </c>
      <c r="J278" s="24" t="n"/>
      <c r="K278" s="22" t="n"/>
      <c r="L278" s="24" t="n"/>
      <c r="M278" s="33" t="n"/>
      <c r="N278" s="22" t="n"/>
      <c r="O278" s="23" t="n"/>
    </row>
    <row r="279">
      <c r="A279" s="24" t="n"/>
      <c r="B279" s="22" t="n"/>
      <c r="C279" s="22" t="n"/>
      <c r="D279" s="35" t="n"/>
      <c r="E279" s="22" t="n"/>
      <c r="F279" s="33" t="n"/>
      <c r="G279" s="22" t="n"/>
      <c r="H279" s="7">
        <f>IF(C279="","",IFERROR(INDEX('Trades'!$G$4:$G$103,MATCH(C279,'Trades'!$B$4:$B$103,0))&amp;"",""))</f>
        <v/>
      </c>
      <c r="I279" s="7">
        <f>IF(AND(G279="Yes",H279="No"),"GST charged, not registered","")</f>
        <v/>
      </c>
      <c r="J279" s="24" t="n"/>
      <c r="K279" s="22" t="n"/>
      <c r="L279" s="24" t="n"/>
      <c r="M279" s="33" t="n"/>
      <c r="N279" s="22" t="n"/>
      <c r="O279" s="23" t="n"/>
    </row>
    <row r="280">
      <c r="A280" s="24" t="n"/>
      <c r="B280" s="22" t="n"/>
      <c r="C280" s="22" t="n"/>
      <c r="D280" s="35" t="n"/>
      <c r="E280" s="22" t="n"/>
      <c r="F280" s="33" t="n"/>
      <c r="G280" s="22" t="n"/>
      <c r="H280" s="7">
        <f>IF(C280="","",IFERROR(INDEX('Trades'!$G$4:$G$103,MATCH(C280,'Trades'!$B$4:$B$103,0))&amp;"",""))</f>
        <v/>
      </c>
      <c r="I280" s="7">
        <f>IF(AND(G280="Yes",H280="No"),"GST charged, not registered","")</f>
        <v/>
      </c>
      <c r="J280" s="24" t="n"/>
      <c r="K280" s="22" t="n"/>
      <c r="L280" s="24" t="n"/>
      <c r="M280" s="33" t="n"/>
      <c r="N280" s="22" t="n"/>
      <c r="O280" s="23" t="n"/>
    </row>
    <row r="281">
      <c r="A281" s="24" t="n"/>
      <c r="B281" s="22" t="n"/>
      <c r="C281" s="22" t="n"/>
      <c r="D281" s="35" t="n"/>
      <c r="E281" s="22" t="n"/>
      <c r="F281" s="33" t="n"/>
      <c r="G281" s="22" t="n"/>
      <c r="H281" s="7">
        <f>IF(C281="","",IFERROR(INDEX('Trades'!$G$4:$G$103,MATCH(C281,'Trades'!$B$4:$B$103,0))&amp;"",""))</f>
        <v/>
      </c>
      <c r="I281" s="7">
        <f>IF(AND(G281="Yes",H281="No"),"GST charged, not registered","")</f>
        <v/>
      </c>
      <c r="J281" s="24" t="n"/>
      <c r="K281" s="22" t="n"/>
      <c r="L281" s="24" t="n"/>
      <c r="M281" s="33" t="n"/>
      <c r="N281" s="22" t="n"/>
      <c r="O281" s="23" t="n"/>
    </row>
    <row r="282">
      <c r="A282" s="24" t="n"/>
      <c r="B282" s="22" t="n"/>
      <c r="C282" s="22" t="n"/>
      <c r="D282" s="35" t="n"/>
      <c r="E282" s="22" t="n"/>
      <c r="F282" s="33" t="n"/>
      <c r="G282" s="22" t="n"/>
      <c r="H282" s="7">
        <f>IF(C282="","",IFERROR(INDEX('Trades'!$G$4:$G$103,MATCH(C282,'Trades'!$B$4:$B$103,0))&amp;"",""))</f>
        <v/>
      </c>
      <c r="I282" s="7">
        <f>IF(AND(G282="Yes",H282="No"),"GST charged, not registered","")</f>
        <v/>
      </c>
      <c r="J282" s="24" t="n"/>
      <c r="K282" s="22" t="n"/>
      <c r="L282" s="24" t="n"/>
      <c r="M282" s="33" t="n"/>
      <c r="N282" s="22" t="n"/>
      <c r="O282" s="23" t="n"/>
    </row>
    <row r="283">
      <c r="A283" s="24" t="n"/>
      <c r="B283" s="22" t="n"/>
      <c r="C283" s="22" t="n"/>
      <c r="D283" s="35" t="n"/>
      <c r="E283" s="22" t="n"/>
      <c r="F283" s="33" t="n"/>
      <c r="G283" s="22" t="n"/>
      <c r="H283" s="7">
        <f>IF(C283="","",IFERROR(INDEX('Trades'!$G$4:$G$103,MATCH(C283,'Trades'!$B$4:$B$103,0))&amp;"",""))</f>
        <v/>
      </c>
      <c r="I283" s="7">
        <f>IF(AND(G283="Yes",H283="No"),"GST charged, not registered","")</f>
        <v/>
      </c>
      <c r="J283" s="24" t="n"/>
      <c r="K283" s="22" t="n"/>
      <c r="L283" s="24" t="n"/>
      <c r="M283" s="33" t="n"/>
      <c r="N283" s="22" t="n"/>
      <c r="O283" s="23" t="n"/>
    </row>
    <row r="284">
      <c r="A284" s="24" t="n"/>
      <c r="B284" s="22" t="n"/>
      <c r="C284" s="22" t="n"/>
      <c r="D284" s="35" t="n"/>
      <c r="E284" s="22" t="n"/>
      <c r="F284" s="33" t="n"/>
      <c r="G284" s="22" t="n"/>
      <c r="H284" s="7">
        <f>IF(C284="","",IFERROR(INDEX('Trades'!$G$4:$G$103,MATCH(C284,'Trades'!$B$4:$B$103,0))&amp;"",""))</f>
        <v/>
      </c>
      <c r="I284" s="7">
        <f>IF(AND(G284="Yes",H284="No"),"GST charged, not registered","")</f>
        <v/>
      </c>
      <c r="J284" s="24" t="n"/>
      <c r="K284" s="22" t="n"/>
      <c r="L284" s="24" t="n"/>
      <c r="M284" s="33" t="n"/>
      <c r="N284" s="22" t="n"/>
      <c r="O284" s="23" t="n"/>
    </row>
    <row r="285">
      <c r="A285" s="24" t="n"/>
      <c r="B285" s="22" t="n"/>
      <c r="C285" s="22" t="n"/>
      <c r="D285" s="35" t="n"/>
      <c r="E285" s="22" t="n"/>
      <c r="F285" s="33" t="n"/>
      <c r="G285" s="22" t="n"/>
      <c r="H285" s="7">
        <f>IF(C285="","",IFERROR(INDEX('Trades'!$G$4:$G$103,MATCH(C285,'Trades'!$B$4:$B$103,0))&amp;"",""))</f>
        <v/>
      </c>
      <c r="I285" s="7">
        <f>IF(AND(G285="Yes",H285="No"),"GST charged, not registered","")</f>
        <v/>
      </c>
      <c r="J285" s="24" t="n"/>
      <c r="K285" s="22" t="n"/>
      <c r="L285" s="24" t="n"/>
      <c r="M285" s="33" t="n"/>
      <c r="N285" s="22" t="n"/>
      <c r="O285" s="23" t="n"/>
    </row>
    <row r="286">
      <c r="A286" s="24" t="n"/>
      <c r="B286" s="22" t="n"/>
      <c r="C286" s="22" t="n"/>
      <c r="D286" s="35" t="n"/>
      <c r="E286" s="22" t="n"/>
      <c r="F286" s="33" t="n"/>
      <c r="G286" s="22" t="n"/>
      <c r="H286" s="7">
        <f>IF(C286="","",IFERROR(INDEX('Trades'!$G$4:$G$103,MATCH(C286,'Trades'!$B$4:$B$103,0))&amp;"",""))</f>
        <v/>
      </c>
      <c r="I286" s="7">
        <f>IF(AND(G286="Yes",H286="No"),"GST charged, not registered","")</f>
        <v/>
      </c>
      <c r="J286" s="24" t="n"/>
      <c r="K286" s="22" t="n"/>
      <c r="L286" s="24" t="n"/>
      <c r="M286" s="33" t="n"/>
      <c r="N286" s="22" t="n"/>
      <c r="O286" s="23" t="n"/>
    </row>
    <row r="287">
      <c r="A287" s="24" t="n"/>
      <c r="B287" s="22" t="n"/>
      <c r="C287" s="22" t="n"/>
      <c r="D287" s="35" t="n"/>
      <c r="E287" s="22" t="n"/>
      <c r="F287" s="33" t="n"/>
      <c r="G287" s="22" t="n"/>
      <c r="H287" s="7">
        <f>IF(C287="","",IFERROR(INDEX('Trades'!$G$4:$G$103,MATCH(C287,'Trades'!$B$4:$B$103,0))&amp;"",""))</f>
        <v/>
      </c>
      <c r="I287" s="7">
        <f>IF(AND(G287="Yes",H287="No"),"GST charged, not registered","")</f>
        <v/>
      </c>
      <c r="J287" s="24" t="n"/>
      <c r="K287" s="22" t="n"/>
      <c r="L287" s="24" t="n"/>
      <c r="M287" s="33" t="n"/>
      <c r="N287" s="22" t="n"/>
      <c r="O287" s="23" t="n"/>
    </row>
    <row r="288">
      <c r="A288" s="24" t="n"/>
      <c r="B288" s="22" t="n"/>
      <c r="C288" s="22" t="n"/>
      <c r="D288" s="35" t="n"/>
      <c r="E288" s="22" t="n"/>
      <c r="F288" s="33" t="n"/>
      <c r="G288" s="22" t="n"/>
      <c r="H288" s="7">
        <f>IF(C288="","",IFERROR(INDEX('Trades'!$G$4:$G$103,MATCH(C288,'Trades'!$B$4:$B$103,0))&amp;"",""))</f>
        <v/>
      </c>
      <c r="I288" s="7">
        <f>IF(AND(G288="Yes",H288="No"),"GST charged, not registered","")</f>
        <v/>
      </c>
      <c r="J288" s="24" t="n"/>
      <c r="K288" s="22" t="n"/>
      <c r="L288" s="24" t="n"/>
      <c r="M288" s="33" t="n"/>
      <c r="N288" s="22" t="n"/>
      <c r="O288" s="23" t="n"/>
    </row>
    <row r="289">
      <c r="A289" s="24" t="n"/>
      <c r="B289" s="22" t="n"/>
      <c r="C289" s="22" t="n"/>
      <c r="D289" s="35" t="n"/>
      <c r="E289" s="22" t="n"/>
      <c r="F289" s="33" t="n"/>
      <c r="G289" s="22" t="n"/>
      <c r="H289" s="7">
        <f>IF(C289="","",IFERROR(INDEX('Trades'!$G$4:$G$103,MATCH(C289,'Trades'!$B$4:$B$103,0))&amp;"",""))</f>
        <v/>
      </c>
      <c r="I289" s="7">
        <f>IF(AND(G289="Yes",H289="No"),"GST charged, not registered","")</f>
        <v/>
      </c>
      <c r="J289" s="24" t="n"/>
      <c r="K289" s="22" t="n"/>
      <c r="L289" s="24" t="n"/>
      <c r="M289" s="33" t="n"/>
      <c r="N289" s="22" t="n"/>
      <c r="O289" s="23" t="n"/>
    </row>
    <row r="290">
      <c r="A290" s="24" t="n"/>
      <c r="B290" s="22" t="n"/>
      <c r="C290" s="22" t="n"/>
      <c r="D290" s="35" t="n"/>
      <c r="E290" s="22" t="n"/>
      <c r="F290" s="33" t="n"/>
      <c r="G290" s="22" t="n"/>
      <c r="H290" s="7">
        <f>IF(C290="","",IFERROR(INDEX('Trades'!$G$4:$G$103,MATCH(C290,'Trades'!$B$4:$B$103,0))&amp;"",""))</f>
        <v/>
      </c>
      <c r="I290" s="7">
        <f>IF(AND(G290="Yes",H290="No"),"GST charged, not registered","")</f>
        <v/>
      </c>
      <c r="J290" s="24" t="n"/>
      <c r="K290" s="22" t="n"/>
      <c r="L290" s="24" t="n"/>
      <c r="M290" s="33" t="n"/>
      <c r="N290" s="22" t="n"/>
      <c r="O290" s="23" t="n"/>
    </row>
    <row r="291">
      <c r="A291" s="24" t="n"/>
      <c r="B291" s="22" t="n"/>
      <c r="C291" s="22" t="n"/>
      <c r="D291" s="35" t="n"/>
      <c r="E291" s="22" t="n"/>
      <c r="F291" s="33" t="n"/>
      <c r="G291" s="22" t="n"/>
      <c r="H291" s="7">
        <f>IF(C291="","",IFERROR(INDEX('Trades'!$G$4:$G$103,MATCH(C291,'Trades'!$B$4:$B$103,0))&amp;"",""))</f>
        <v/>
      </c>
      <c r="I291" s="7">
        <f>IF(AND(G291="Yes",H291="No"),"GST charged, not registered","")</f>
        <v/>
      </c>
      <c r="J291" s="24" t="n"/>
      <c r="K291" s="22" t="n"/>
      <c r="L291" s="24" t="n"/>
      <c r="M291" s="33" t="n"/>
      <c r="N291" s="22" t="n"/>
      <c r="O291" s="23" t="n"/>
    </row>
    <row r="292">
      <c r="A292" s="24" t="n"/>
      <c r="B292" s="22" t="n"/>
      <c r="C292" s="22" t="n"/>
      <c r="D292" s="35" t="n"/>
      <c r="E292" s="22" t="n"/>
      <c r="F292" s="33" t="n"/>
      <c r="G292" s="22" t="n"/>
      <c r="H292" s="7">
        <f>IF(C292="","",IFERROR(INDEX('Trades'!$G$4:$G$103,MATCH(C292,'Trades'!$B$4:$B$103,0))&amp;"",""))</f>
        <v/>
      </c>
      <c r="I292" s="7">
        <f>IF(AND(G292="Yes",H292="No"),"GST charged, not registered","")</f>
        <v/>
      </c>
      <c r="J292" s="24" t="n"/>
      <c r="K292" s="22" t="n"/>
      <c r="L292" s="24" t="n"/>
      <c r="M292" s="33" t="n"/>
      <c r="N292" s="22" t="n"/>
      <c r="O292" s="23" t="n"/>
    </row>
    <row r="293">
      <c r="A293" s="24" t="n"/>
      <c r="B293" s="22" t="n"/>
      <c r="C293" s="22" t="n"/>
      <c r="D293" s="35" t="n"/>
      <c r="E293" s="22" t="n"/>
      <c r="F293" s="33" t="n"/>
      <c r="G293" s="22" t="n"/>
      <c r="H293" s="7">
        <f>IF(C293="","",IFERROR(INDEX('Trades'!$G$4:$G$103,MATCH(C293,'Trades'!$B$4:$B$103,0))&amp;"",""))</f>
        <v/>
      </c>
      <c r="I293" s="7">
        <f>IF(AND(G293="Yes",H293="No"),"GST charged, not registered","")</f>
        <v/>
      </c>
      <c r="J293" s="24" t="n"/>
      <c r="K293" s="22" t="n"/>
      <c r="L293" s="24" t="n"/>
      <c r="M293" s="33" t="n"/>
      <c r="N293" s="22" t="n"/>
      <c r="O293" s="23" t="n"/>
    </row>
    <row r="294">
      <c r="A294" s="24" t="n"/>
      <c r="B294" s="22" t="n"/>
      <c r="C294" s="22" t="n"/>
      <c r="D294" s="35" t="n"/>
      <c r="E294" s="22" t="n"/>
      <c r="F294" s="33" t="n"/>
      <c r="G294" s="22" t="n"/>
      <c r="H294" s="7">
        <f>IF(C294="","",IFERROR(INDEX('Trades'!$G$4:$G$103,MATCH(C294,'Trades'!$B$4:$B$103,0))&amp;"",""))</f>
        <v/>
      </c>
      <c r="I294" s="7">
        <f>IF(AND(G294="Yes",H294="No"),"GST charged, not registered","")</f>
        <v/>
      </c>
      <c r="J294" s="24" t="n"/>
      <c r="K294" s="22" t="n"/>
      <c r="L294" s="24" t="n"/>
      <c r="M294" s="33" t="n"/>
      <c r="N294" s="22" t="n"/>
      <c r="O294" s="23" t="n"/>
    </row>
    <row r="295">
      <c r="A295" s="24" t="n"/>
      <c r="B295" s="22" t="n"/>
      <c r="C295" s="22" t="n"/>
      <c r="D295" s="35" t="n"/>
      <c r="E295" s="22" t="n"/>
      <c r="F295" s="33" t="n"/>
      <c r="G295" s="22" t="n"/>
      <c r="H295" s="7">
        <f>IF(C295="","",IFERROR(INDEX('Trades'!$G$4:$G$103,MATCH(C295,'Trades'!$B$4:$B$103,0))&amp;"",""))</f>
        <v/>
      </c>
      <c r="I295" s="7">
        <f>IF(AND(G295="Yes",H295="No"),"GST charged, not registered","")</f>
        <v/>
      </c>
      <c r="J295" s="24" t="n"/>
      <c r="K295" s="22" t="n"/>
      <c r="L295" s="24" t="n"/>
      <c r="M295" s="33" t="n"/>
      <c r="N295" s="22" t="n"/>
      <c r="O295" s="23" t="n"/>
    </row>
    <row r="296">
      <c r="A296" s="24" t="n"/>
      <c r="B296" s="22" t="n"/>
      <c r="C296" s="22" t="n"/>
      <c r="D296" s="35" t="n"/>
      <c r="E296" s="22" t="n"/>
      <c r="F296" s="33" t="n"/>
      <c r="G296" s="22" t="n"/>
      <c r="H296" s="7">
        <f>IF(C296="","",IFERROR(INDEX('Trades'!$G$4:$G$103,MATCH(C296,'Trades'!$B$4:$B$103,0))&amp;"",""))</f>
        <v/>
      </c>
      <c r="I296" s="7">
        <f>IF(AND(G296="Yes",H296="No"),"GST charged, not registered","")</f>
        <v/>
      </c>
      <c r="J296" s="24" t="n"/>
      <c r="K296" s="22" t="n"/>
      <c r="L296" s="24" t="n"/>
      <c r="M296" s="33" t="n"/>
      <c r="N296" s="22" t="n"/>
      <c r="O296" s="23" t="n"/>
    </row>
    <row r="297">
      <c r="A297" s="24" t="n"/>
      <c r="B297" s="22" t="n"/>
      <c r="C297" s="22" t="n"/>
      <c r="D297" s="35" t="n"/>
      <c r="E297" s="22" t="n"/>
      <c r="F297" s="33" t="n"/>
      <c r="G297" s="22" t="n"/>
      <c r="H297" s="7">
        <f>IF(C297="","",IFERROR(INDEX('Trades'!$G$4:$G$103,MATCH(C297,'Trades'!$B$4:$B$103,0))&amp;"",""))</f>
        <v/>
      </c>
      <c r="I297" s="7">
        <f>IF(AND(G297="Yes",H297="No"),"GST charged, not registered","")</f>
        <v/>
      </c>
      <c r="J297" s="24" t="n"/>
      <c r="K297" s="22" t="n"/>
      <c r="L297" s="24" t="n"/>
      <c r="M297" s="33" t="n"/>
      <c r="N297" s="22" t="n"/>
      <c r="O297" s="23" t="n"/>
    </row>
    <row r="298">
      <c r="A298" s="24" t="n"/>
      <c r="B298" s="22" t="n"/>
      <c r="C298" s="22" t="n"/>
      <c r="D298" s="35" t="n"/>
      <c r="E298" s="22" t="n"/>
      <c r="F298" s="33" t="n"/>
      <c r="G298" s="22" t="n"/>
      <c r="H298" s="7">
        <f>IF(C298="","",IFERROR(INDEX('Trades'!$G$4:$G$103,MATCH(C298,'Trades'!$B$4:$B$103,0))&amp;"",""))</f>
        <v/>
      </c>
      <c r="I298" s="7">
        <f>IF(AND(G298="Yes",H298="No"),"GST charged, not registered","")</f>
        <v/>
      </c>
      <c r="J298" s="24" t="n"/>
      <c r="K298" s="22" t="n"/>
      <c r="L298" s="24" t="n"/>
      <c r="M298" s="33" t="n"/>
      <c r="N298" s="22" t="n"/>
      <c r="O298" s="23" t="n"/>
    </row>
    <row r="299">
      <c r="A299" s="24" t="n"/>
      <c r="B299" s="22" t="n"/>
      <c r="C299" s="22" t="n"/>
      <c r="D299" s="35" t="n"/>
      <c r="E299" s="22" t="n"/>
      <c r="F299" s="33" t="n"/>
      <c r="G299" s="22" t="n"/>
      <c r="H299" s="7">
        <f>IF(C299="","",IFERROR(INDEX('Trades'!$G$4:$G$103,MATCH(C299,'Trades'!$B$4:$B$103,0))&amp;"",""))</f>
        <v/>
      </c>
      <c r="I299" s="7">
        <f>IF(AND(G299="Yes",H299="No"),"GST charged, not registered","")</f>
        <v/>
      </c>
      <c r="J299" s="24" t="n"/>
      <c r="K299" s="22" t="n"/>
      <c r="L299" s="24" t="n"/>
      <c r="M299" s="33" t="n"/>
      <c r="N299" s="22" t="n"/>
      <c r="O299" s="23" t="n"/>
    </row>
    <row r="300">
      <c r="A300" s="24" t="n"/>
      <c r="B300" s="22" t="n"/>
      <c r="C300" s="22" t="n"/>
      <c r="D300" s="35" t="n"/>
      <c r="E300" s="22" t="n"/>
      <c r="F300" s="33" t="n"/>
      <c r="G300" s="22" t="n"/>
      <c r="H300" s="7">
        <f>IF(C300="","",IFERROR(INDEX('Trades'!$G$4:$G$103,MATCH(C300,'Trades'!$B$4:$B$103,0))&amp;"",""))</f>
        <v/>
      </c>
      <c r="I300" s="7">
        <f>IF(AND(G300="Yes",H300="No"),"GST charged, not registered","")</f>
        <v/>
      </c>
      <c r="J300" s="24" t="n"/>
      <c r="K300" s="22" t="n"/>
      <c r="L300" s="24" t="n"/>
      <c r="M300" s="33" t="n"/>
      <c r="N300" s="22" t="n"/>
      <c r="O300" s="23" t="n"/>
    </row>
    <row r="301">
      <c r="A301" s="24" t="n"/>
      <c r="B301" s="22" t="n"/>
      <c r="C301" s="22" t="n"/>
      <c r="D301" s="35" t="n"/>
      <c r="E301" s="22" t="n"/>
      <c r="F301" s="33" t="n"/>
      <c r="G301" s="22" t="n"/>
      <c r="H301" s="7">
        <f>IF(C301="","",IFERROR(INDEX('Trades'!$G$4:$G$103,MATCH(C301,'Trades'!$B$4:$B$103,0))&amp;"",""))</f>
        <v/>
      </c>
      <c r="I301" s="7">
        <f>IF(AND(G301="Yes",H301="No"),"GST charged, not registered","")</f>
        <v/>
      </c>
      <c r="J301" s="24" t="n"/>
      <c r="K301" s="22" t="n"/>
      <c r="L301" s="24" t="n"/>
      <c r="M301" s="33" t="n"/>
      <c r="N301" s="22" t="n"/>
      <c r="O301" s="23" t="n"/>
    </row>
    <row r="302">
      <c r="A302" s="24" t="n"/>
      <c r="B302" s="22" t="n"/>
      <c r="C302" s="22" t="n"/>
      <c r="D302" s="35" t="n"/>
      <c r="E302" s="22" t="n"/>
      <c r="F302" s="33" t="n"/>
      <c r="G302" s="22" t="n"/>
      <c r="H302" s="7">
        <f>IF(C302="","",IFERROR(INDEX('Trades'!$G$4:$G$103,MATCH(C302,'Trades'!$B$4:$B$103,0))&amp;"",""))</f>
        <v/>
      </c>
      <c r="I302" s="7">
        <f>IF(AND(G302="Yes",H302="No"),"GST charged, not registered","")</f>
        <v/>
      </c>
      <c r="J302" s="24" t="n"/>
      <c r="K302" s="22" t="n"/>
      <c r="L302" s="24" t="n"/>
      <c r="M302" s="33" t="n"/>
      <c r="N302" s="22" t="n"/>
      <c r="O302" s="23" t="n"/>
    </row>
    <row r="303">
      <c r="A303" s="24" t="n"/>
      <c r="B303" s="22" t="n"/>
      <c r="C303" s="22" t="n"/>
      <c r="D303" s="35" t="n"/>
      <c r="E303" s="22" t="n"/>
      <c r="F303" s="33" t="n"/>
      <c r="G303" s="22" t="n"/>
      <c r="H303" s="7">
        <f>IF(C303="","",IFERROR(INDEX('Trades'!$G$4:$G$103,MATCH(C303,'Trades'!$B$4:$B$103,0))&amp;"",""))</f>
        <v/>
      </c>
      <c r="I303" s="7">
        <f>IF(AND(G303="Yes",H303="No"),"GST charged, not registered","")</f>
        <v/>
      </c>
      <c r="J303" s="24" t="n"/>
      <c r="K303" s="22" t="n"/>
      <c r="L303" s="24" t="n"/>
      <c r="M303" s="33" t="n"/>
      <c r="N303" s="22" t="n"/>
      <c r="O303" s="23" t="n"/>
    </row>
  </sheetData>
  <sheetProtection selectLockedCells="0" selectUnlockedCells="0" sheet="1" objects="0" insertRows="0" insertHyperlinks="0" autoFilter="0" scenarios="0" formatColumns="0" deleteColumns="1" insertColumns="1" pivotTables="1" deleteRows="0" formatCells="0" formatRows="0" sort="0"/>
  <autoFilter ref="A3:O303"/>
  <conditionalFormatting sqref="I4:I303">
    <cfRule type="cellIs" priority="1" operator="equal" dxfId="2">
      <formula>"GST charged, not registered"</formula>
    </cfRule>
  </conditionalFormatting>
  <conditionalFormatting sqref="K4:K303">
    <cfRule type="cellIs" priority="2" operator="equal" dxfId="1">
      <formula>"No"</formula>
    </cfRule>
  </conditionalFormatting>
  <dataValidations count="4">
    <dataValidation sqref="B4:B303" showDropDown="0" showInputMessage="0" showErrorMessage="0" allowBlank="1" error="Pick a value from the list." type="list" errorStyle="warning">
      <formula1>='Packages'!$B$4:$B$33</formula1>
    </dataValidation>
    <dataValidation sqref="C4:C303" showDropDown="0" showInputMessage="0" showErrorMessage="0" allowBlank="1" error="Pick a value from the list." type="list" errorStyle="warning">
      <formula1>='Trades'!$B$4:$B$103</formula1>
    </dataValidation>
    <dataValidation sqref="G4:G303" showDropDown="0" showInputMessage="0" showErrorMessage="0" allowBlank="1" error="Pick a value from the list." type="list" errorStyle="warning">
      <formula1>=Lists!$B$2:$B$3</formula1>
    </dataValidation>
    <dataValidation sqref="K4:K303" showDropDown="0" showInputMessage="0" showErrorMessage="0" allowBlank="1" error="Pick a value from the list." type="list" errorStyle="warning">
      <formula1>=Lists!$B$2:$B$3</formula1>
    </dataValidation>
  </dataValidation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L15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8" customWidth="1" min="1" max="1"/>
    <col width="12" customWidth="1" min="2" max="2"/>
    <col width="22" customWidth="1" min="3" max="3"/>
    <col width="20" customWidth="1" min="4" max="4"/>
    <col width="40" customWidth="1" min="5" max="5"/>
    <col width="16" customWidth="1" min="6" max="6"/>
    <col width="12" customWidth="1" min="7" max="7"/>
    <col width="10" customWidth="1" min="8" max="8"/>
    <col width="11" customWidth="1" min="9" max="9"/>
    <col width="12" customWidth="1" min="10" max="10"/>
    <col width="15" customWidth="1" min="11" max="11"/>
    <col width="28" customWidth="1" min="12" max="12"/>
  </cols>
  <sheetData>
    <row r="1" ht="24" customHeight="1">
      <c r="A1" s="1" t="inlineStr">
        <is>
          <t>Variations</t>
        </is>
      </c>
    </row>
    <row r="2">
      <c r="A2" s="2" t="inlineStr">
        <is>
          <t>Agree the price and time impact in writing before any extra work. Approved variations add to the package's committed cost.</t>
        </is>
      </c>
    </row>
    <row r="3" ht="32" customHeight="1">
      <c r="A3" s="20" t="inlineStr">
        <is>
          <t>Var. no.</t>
        </is>
      </c>
      <c r="B3" s="20" t="inlineStr">
        <is>
          <t>Date</t>
        </is>
      </c>
      <c r="C3" s="20" t="inlineStr">
        <is>
          <t>Package</t>
        </is>
      </c>
      <c r="D3" s="20" t="inlineStr">
        <is>
          <t>Trade</t>
        </is>
      </c>
      <c r="E3" s="20" t="inlineStr">
        <is>
          <t>Description</t>
        </is>
      </c>
      <c r="F3" s="20" t="inlineStr">
        <is>
          <t>Reason</t>
        </is>
      </c>
      <c r="G3" s="20" t="inlineStr">
        <is>
          <t>Price impact ($)</t>
        </is>
      </c>
      <c r="H3" s="20" t="inlineStr">
        <is>
          <t>Time impact (days)</t>
        </is>
      </c>
      <c r="I3" s="20" t="inlineStr">
        <is>
          <t>Approval</t>
        </is>
      </c>
      <c r="J3" s="20" t="inlineStr">
        <is>
          <t>Approved date</t>
        </is>
      </c>
      <c r="K3" s="20" t="inlineStr">
        <is>
          <t>Signed Doc ID</t>
        </is>
      </c>
      <c r="L3" s="20" t="inlineStr">
        <is>
          <t>Notes</t>
        </is>
      </c>
    </row>
    <row r="4">
      <c r="A4" s="22" t="n"/>
      <c r="B4" s="24" t="n"/>
      <c r="C4" s="22" t="n"/>
      <c r="D4" s="22" t="n"/>
      <c r="E4" s="23" t="n"/>
      <c r="F4" s="22" t="n"/>
      <c r="G4" s="37" t="n"/>
      <c r="H4" s="22" t="n"/>
      <c r="I4" s="22" t="n"/>
      <c r="J4" s="24" t="n"/>
      <c r="K4" s="22" t="n"/>
      <c r="L4" s="23" t="n"/>
    </row>
    <row r="5">
      <c r="A5" s="22" t="n"/>
      <c r="B5" s="24" t="n"/>
      <c r="C5" s="22" t="n"/>
      <c r="D5" s="22" t="n"/>
      <c r="E5" s="23" t="n"/>
      <c r="F5" s="22" t="n"/>
      <c r="G5" s="37" t="n"/>
      <c r="H5" s="22" t="n"/>
      <c r="I5" s="22" t="n"/>
      <c r="J5" s="24" t="n"/>
      <c r="K5" s="22" t="n"/>
      <c r="L5" s="23" t="n"/>
    </row>
    <row r="6">
      <c r="A6" s="22" t="n"/>
      <c r="B6" s="24" t="n"/>
      <c r="C6" s="22" t="n"/>
      <c r="D6" s="22" t="n"/>
      <c r="E6" s="23" t="n"/>
      <c r="F6" s="22" t="n"/>
      <c r="G6" s="37" t="n"/>
      <c r="H6" s="22" t="n"/>
      <c r="I6" s="22" t="n"/>
      <c r="J6" s="24" t="n"/>
      <c r="K6" s="22" t="n"/>
      <c r="L6" s="23" t="n"/>
    </row>
    <row r="7">
      <c r="A7" s="22" t="n"/>
      <c r="B7" s="24" t="n"/>
      <c r="C7" s="22" t="n"/>
      <c r="D7" s="22" t="n"/>
      <c r="E7" s="23" t="n"/>
      <c r="F7" s="22" t="n"/>
      <c r="G7" s="37" t="n"/>
      <c r="H7" s="22" t="n"/>
      <c r="I7" s="22" t="n"/>
      <c r="J7" s="24" t="n"/>
      <c r="K7" s="22" t="n"/>
      <c r="L7" s="23" t="n"/>
    </row>
    <row r="8">
      <c r="A8" s="22" t="n"/>
      <c r="B8" s="24" t="n"/>
      <c r="C8" s="22" t="n"/>
      <c r="D8" s="22" t="n"/>
      <c r="E8" s="23" t="n"/>
      <c r="F8" s="22" t="n"/>
      <c r="G8" s="37" t="n"/>
      <c r="H8" s="22" t="n"/>
      <c r="I8" s="22" t="n"/>
      <c r="J8" s="24" t="n"/>
      <c r="K8" s="22" t="n"/>
      <c r="L8" s="23" t="n"/>
    </row>
    <row r="9">
      <c r="A9" s="22" t="n"/>
      <c r="B9" s="24" t="n"/>
      <c r="C9" s="22" t="n"/>
      <c r="D9" s="22" t="n"/>
      <c r="E9" s="23" t="n"/>
      <c r="F9" s="22" t="n"/>
      <c r="G9" s="37" t="n"/>
      <c r="H9" s="22" t="n"/>
      <c r="I9" s="22" t="n"/>
      <c r="J9" s="24" t="n"/>
      <c r="K9" s="22" t="n"/>
      <c r="L9" s="23" t="n"/>
    </row>
    <row r="10">
      <c r="A10" s="22" t="n"/>
      <c r="B10" s="24" t="n"/>
      <c r="C10" s="22" t="n"/>
      <c r="D10" s="22" t="n"/>
      <c r="E10" s="23" t="n"/>
      <c r="F10" s="22" t="n"/>
      <c r="G10" s="37" t="n"/>
      <c r="H10" s="22" t="n"/>
      <c r="I10" s="22" t="n"/>
      <c r="J10" s="24" t="n"/>
      <c r="K10" s="22" t="n"/>
      <c r="L10" s="23" t="n"/>
    </row>
    <row r="11">
      <c r="A11" s="22" t="n"/>
      <c r="B11" s="24" t="n"/>
      <c r="C11" s="22" t="n"/>
      <c r="D11" s="22" t="n"/>
      <c r="E11" s="23" t="n"/>
      <c r="F11" s="22" t="n"/>
      <c r="G11" s="37" t="n"/>
      <c r="H11" s="22" t="n"/>
      <c r="I11" s="22" t="n"/>
      <c r="J11" s="24" t="n"/>
      <c r="K11" s="22" t="n"/>
      <c r="L11" s="23" t="n"/>
    </row>
    <row r="12">
      <c r="A12" s="22" t="n"/>
      <c r="B12" s="24" t="n"/>
      <c r="C12" s="22" t="n"/>
      <c r="D12" s="22" t="n"/>
      <c r="E12" s="23" t="n"/>
      <c r="F12" s="22" t="n"/>
      <c r="G12" s="37" t="n"/>
      <c r="H12" s="22" t="n"/>
      <c r="I12" s="22" t="n"/>
      <c r="J12" s="24" t="n"/>
      <c r="K12" s="22" t="n"/>
      <c r="L12" s="23" t="n"/>
    </row>
    <row r="13">
      <c r="A13" s="22" t="n"/>
      <c r="B13" s="24" t="n"/>
      <c r="C13" s="22" t="n"/>
      <c r="D13" s="22" t="n"/>
      <c r="E13" s="23" t="n"/>
      <c r="F13" s="22" t="n"/>
      <c r="G13" s="37" t="n"/>
      <c r="H13" s="22" t="n"/>
      <c r="I13" s="22" t="n"/>
      <c r="J13" s="24" t="n"/>
      <c r="K13" s="22" t="n"/>
      <c r="L13" s="23" t="n"/>
    </row>
    <row r="14">
      <c r="A14" s="22" t="n"/>
      <c r="B14" s="24" t="n"/>
      <c r="C14" s="22" t="n"/>
      <c r="D14" s="22" t="n"/>
      <c r="E14" s="23" t="n"/>
      <c r="F14" s="22" t="n"/>
      <c r="G14" s="37" t="n"/>
      <c r="H14" s="22" t="n"/>
      <c r="I14" s="22" t="n"/>
      <c r="J14" s="24" t="n"/>
      <c r="K14" s="22" t="n"/>
      <c r="L14" s="23" t="n"/>
    </row>
    <row r="15">
      <c r="A15" s="22" t="n"/>
      <c r="B15" s="24" t="n"/>
      <c r="C15" s="22" t="n"/>
      <c r="D15" s="22" t="n"/>
      <c r="E15" s="23" t="n"/>
      <c r="F15" s="22" t="n"/>
      <c r="G15" s="37" t="n"/>
      <c r="H15" s="22" t="n"/>
      <c r="I15" s="22" t="n"/>
      <c r="J15" s="24" t="n"/>
      <c r="K15" s="22" t="n"/>
      <c r="L15" s="23" t="n"/>
    </row>
    <row r="16">
      <c r="A16" s="22" t="n"/>
      <c r="B16" s="24" t="n"/>
      <c r="C16" s="22" t="n"/>
      <c r="D16" s="22" t="n"/>
      <c r="E16" s="23" t="n"/>
      <c r="F16" s="22" t="n"/>
      <c r="G16" s="37" t="n"/>
      <c r="H16" s="22" t="n"/>
      <c r="I16" s="22" t="n"/>
      <c r="J16" s="24" t="n"/>
      <c r="K16" s="22" t="n"/>
      <c r="L16" s="23" t="n"/>
    </row>
    <row r="17">
      <c r="A17" s="22" t="n"/>
      <c r="B17" s="24" t="n"/>
      <c r="C17" s="22" t="n"/>
      <c r="D17" s="22" t="n"/>
      <c r="E17" s="23" t="n"/>
      <c r="F17" s="22" t="n"/>
      <c r="G17" s="37" t="n"/>
      <c r="H17" s="22" t="n"/>
      <c r="I17" s="22" t="n"/>
      <c r="J17" s="24" t="n"/>
      <c r="K17" s="22" t="n"/>
      <c r="L17" s="23" t="n"/>
    </row>
    <row r="18">
      <c r="A18" s="22" t="n"/>
      <c r="B18" s="24" t="n"/>
      <c r="C18" s="22" t="n"/>
      <c r="D18" s="22" t="n"/>
      <c r="E18" s="23" t="n"/>
      <c r="F18" s="22" t="n"/>
      <c r="G18" s="37" t="n"/>
      <c r="H18" s="22" t="n"/>
      <c r="I18" s="22" t="n"/>
      <c r="J18" s="24" t="n"/>
      <c r="K18" s="22" t="n"/>
      <c r="L18" s="23" t="n"/>
    </row>
    <row r="19">
      <c r="A19" s="22" t="n"/>
      <c r="B19" s="24" t="n"/>
      <c r="C19" s="22" t="n"/>
      <c r="D19" s="22" t="n"/>
      <c r="E19" s="23" t="n"/>
      <c r="F19" s="22" t="n"/>
      <c r="G19" s="37" t="n"/>
      <c r="H19" s="22" t="n"/>
      <c r="I19" s="22" t="n"/>
      <c r="J19" s="24" t="n"/>
      <c r="K19" s="22" t="n"/>
      <c r="L19" s="23" t="n"/>
    </row>
    <row r="20">
      <c r="A20" s="22" t="n"/>
      <c r="B20" s="24" t="n"/>
      <c r="C20" s="22" t="n"/>
      <c r="D20" s="22" t="n"/>
      <c r="E20" s="23" t="n"/>
      <c r="F20" s="22" t="n"/>
      <c r="G20" s="37" t="n"/>
      <c r="H20" s="22" t="n"/>
      <c r="I20" s="22" t="n"/>
      <c r="J20" s="24" t="n"/>
      <c r="K20" s="22" t="n"/>
      <c r="L20" s="23" t="n"/>
    </row>
    <row r="21">
      <c r="A21" s="22" t="n"/>
      <c r="B21" s="24" t="n"/>
      <c r="C21" s="22" t="n"/>
      <c r="D21" s="22" t="n"/>
      <c r="E21" s="23" t="n"/>
      <c r="F21" s="22" t="n"/>
      <c r="G21" s="37" t="n"/>
      <c r="H21" s="22" t="n"/>
      <c r="I21" s="22" t="n"/>
      <c r="J21" s="24" t="n"/>
      <c r="K21" s="22" t="n"/>
      <c r="L21" s="23" t="n"/>
    </row>
    <row r="22">
      <c r="A22" s="22" t="n"/>
      <c r="B22" s="24" t="n"/>
      <c r="C22" s="22" t="n"/>
      <c r="D22" s="22" t="n"/>
      <c r="E22" s="23" t="n"/>
      <c r="F22" s="22" t="n"/>
      <c r="G22" s="37" t="n"/>
      <c r="H22" s="22" t="n"/>
      <c r="I22" s="22" t="n"/>
      <c r="J22" s="24" t="n"/>
      <c r="K22" s="22" t="n"/>
      <c r="L22" s="23" t="n"/>
    </row>
    <row r="23">
      <c r="A23" s="22" t="n"/>
      <c r="B23" s="24" t="n"/>
      <c r="C23" s="22" t="n"/>
      <c r="D23" s="22" t="n"/>
      <c r="E23" s="23" t="n"/>
      <c r="F23" s="22" t="n"/>
      <c r="G23" s="37" t="n"/>
      <c r="H23" s="22" t="n"/>
      <c r="I23" s="22" t="n"/>
      <c r="J23" s="24" t="n"/>
      <c r="K23" s="22" t="n"/>
      <c r="L23" s="23" t="n"/>
    </row>
    <row r="24">
      <c r="A24" s="22" t="n"/>
      <c r="B24" s="24" t="n"/>
      <c r="C24" s="22" t="n"/>
      <c r="D24" s="22" t="n"/>
      <c r="E24" s="23" t="n"/>
      <c r="F24" s="22" t="n"/>
      <c r="G24" s="37" t="n"/>
      <c r="H24" s="22" t="n"/>
      <c r="I24" s="22" t="n"/>
      <c r="J24" s="24" t="n"/>
      <c r="K24" s="22" t="n"/>
      <c r="L24" s="23" t="n"/>
    </row>
    <row r="25">
      <c r="A25" s="22" t="n"/>
      <c r="B25" s="24" t="n"/>
      <c r="C25" s="22" t="n"/>
      <c r="D25" s="22" t="n"/>
      <c r="E25" s="23" t="n"/>
      <c r="F25" s="22" t="n"/>
      <c r="G25" s="37" t="n"/>
      <c r="H25" s="22" t="n"/>
      <c r="I25" s="22" t="n"/>
      <c r="J25" s="24" t="n"/>
      <c r="K25" s="22" t="n"/>
      <c r="L25" s="23" t="n"/>
    </row>
    <row r="26">
      <c r="A26" s="22" t="n"/>
      <c r="B26" s="24" t="n"/>
      <c r="C26" s="22" t="n"/>
      <c r="D26" s="22" t="n"/>
      <c r="E26" s="23" t="n"/>
      <c r="F26" s="22" t="n"/>
      <c r="G26" s="37" t="n"/>
      <c r="H26" s="22" t="n"/>
      <c r="I26" s="22" t="n"/>
      <c r="J26" s="24" t="n"/>
      <c r="K26" s="22" t="n"/>
      <c r="L26" s="23" t="n"/>
    </row>
    <row r="27">
      <c r="A27" s="22" t="n"/>
      <c r="B27" s="24" t="n"/>
      <c r="C27" s="22" t="n"/>
      <c r="D27" s="22" t="n"/>
      <c r="E27" s="23" t="n"/>
      <c r="F27" s="22" t="n"/>
      <c r="G27" s="37" t="n"/>
      <c r="H27" s="22" t="n"/>
      <c r="I27" s="22" t="n"/>
      <c r="J27" s="24" t="n"/>
      <c r="K27" s="22" t="n"/>
      <c r="L27" s="23" t="n"/>
    </row>
    <row r="28">
      <c r="A28" s="22" t="n"/>
      <c r="B28" s="24" t="n"/>
      <c r="C28" s="22" t="n"/>
      <c r="D28" s="22" t="n"/>
      <c r="E28" s="23" t="n"/>
      <c r="F28" s="22" t="n"/>
      <c r="G28" s="37" t="n"/>
      <c r="H28" s="22" t="n"/>
      <c r="I28" s="22" t="n"/>
      <c r="J28" s="24" t="n"/>
      <c r="K28" s="22" t="n"/>
      <c r="L28" s="23" t="n"/>
    </row>
    <row r="29">
      <c r="A29" s="22" t="n"/>
      <c r="B29" s="24" t="n"/>
      <c r="C29" s="22" t="n"/>
      <c r="D29" s="22" t="n"/>
      <c r="E29" s="23" t="n"/>
      <c r="F29" s="22" t="n"/>
      <c r="G29" s="37" t="n"/>
      <c r="H29" s="22" t="n"/>
      <c r="I29" s="22" t="n"/>
      <c r="J29" s="24" t="n"/>
      <c r="K29" s="22" t="n"/>
      <c r="L29" s="23" t="n"/>
    </row>
    <row r="30">
      <c r="A30" s="22" t="n"/>
      <c r="B30" s="24" t="n"/>
      <c r="C30" s="22" t="n"/>
      <c r="D30" s="22" t="n"/>
      <c r="E30" s="23" t="n"/>
      <c r="F30" s="22" t="n"/>
      <c r="G30" s="37" t="n"/>
      <c r="H30" s="22" t="n"/>
      <c r="I30" s="22" t="n"/>
      <c r="J30" s="24" t="n"/>
      <c r="K30" s="22" t="n"/>
      <c r="L30" s="23" t="n"/>
    </row>
    <row r="31">
      <c r="A31" s="22" t="n"/>
      <c r="B31" s="24" t="n"/>
      <c r="C31" s="22" t="n"/>
      <c r="D31" s="22" t="n"/>
      <c r="E31" s="23" t="n"/>
      <c r="F31" s="22" t="n"/>
      <c r="G31" s="37" t="n"/>
      <c r="H31" s="22" t="n"/>
      <c r="I31" s="22" t="n"/>
      <c r="J31" s="24" t="n"/>
      <c r="K31" s="22" t="n"/>
      <c r="L31" s="23" t="n"/>
    </row>
    <row r="32">
      <c r="A32" s="22" t="n"/>
      <c r="B32" s="24" t="n"/>
      <c r="C32" s="22" t="n"/>
      <c r="D32" s="22" t="n"/>
      <c r="E32" s="23" t="n"/>
      <c r="F32" s="22" t="n"/>
      <c r="G32" s="37" t="n"/>
      <c r="H32" s="22" t="n"/>
      <c r="I32" s="22" t="n"/>
      <c r="J32" s="24" t="n"/>
      <c r="K32" s="22" t="n"/>
      <c r="L32" s="23" t="n"/>
    </row>
    <row r="33">
      <c r="A33" s="22" t="n"/>
      <c r="B33" s="24" t="n"/>
      <c r="C33" s="22" t="n"/>
      <c r="D33" s="22" t="n"/>
      <c r="E33" s="23" t="n"/>
      <c r="F33" s="22" t="n"/>
      <c r="G33" s="37" t="n"/>
      <c r="H33" s="22" t="n"/>
      <c r="I33" s="22" t="n"/>
      <c r="J33" s="24" t="n"/>
      <c r="K33" s="22" t="n"/>
      <c r="L33" s="23" t="n"/>
    </row>
    <row r="34">
      <c r="A34" s="22" t="n"/>
      <c r="B34" s="24" t="n"/>
      <c r="C34" s="22" t="n"/>
      <c r="D34" s="22" t="n"/>
      <c r="E34" s="23" t="n"/>
      <c r="F34" s="22" t="n"/>
      <c r="G34" s="37" t="n"/>
      <c r="H34" s="22" t="n"/>
      <c r="I34" s="22" t="n"/>
      <c r="J34" s="24" t="n"/>
      <c r="K34" s="22" t="n"/>
      <c r="L34" s="23" t="n"/>
    </row>
    <row r="35">
      <c r="A35" s="22" t="n"/>
      <c r="B35" s="24" t="n"/>
      <c r="C35" s="22" t="n"/>
      <c r="D35" s="22" t="n"/>
      <c r="E35" s="23" t="n"/>
      <c r="F35" s="22" t="n"/>
      <c r="G35" s="37" t="n"/>
      <c r="H35" s="22" t="n"/>
      <c r="I35" s="22" t="n"/>
      <c r="J35" s="24" t="n"/>
      <c r="K35" s="22" t="n"/>
      <c r="L35" s="23" t="n"/>
    </row>
    <row r="36">
      <c r="A36" s="22" t="n"/>
      <c r="B36" s="24" t="n"/>
      <c r="C36" s="22" t="n"/>
      <c r="D36" s="22" t="n"/>
      <c r="E36" s="23" t="n"/>
      <c r="F36" s="22" t="n"/>
      <c r="G36" s="37" t="n"/>
      <c r="H36" s="22" t="n"/>
      <c r="I36" s="22" t="n"/>
      <c r="J36" s="24" t="n"/>
      <c r="K36" s="22" t="n"/>
      <c r="L36" s="23" t="n"/>
    </row>
    <row r="37">
      <c r="A37" s="22" t="n"/>
      <c r="B37" s="24" t="n"/>
      <c r="C37" s="22" t="n"/>
      <c r="D37" s="22" t="n"/>
      <c r="E37" s="23" t="n"/>
      <c r="F37" s="22" t="n"/>
      <c r="G37" s="37" t="n"/>
      <c r="H37" s="22" t="n"/>
      <c r="I37" s="22" t="n"/>
      <c r="J37" s="24" t="n"/>
      <c r="K37" s="22" t="n"/>
      <c r="L37" s="23" t="n"/>
    </row>
    <row r="38">
      <c r="A38" s="22" t="n"/>
      <c r="B38" s="24" t="n"/>
      <c r="C38" s="22" t="n"/>
      <c r="D38" s="22" t="n"/>
      <c r="E38" s="23" t="n"/>
      <c r="F38" s="22" t="n"/>
      <c r="G38" s="37" t="n"/>
      <c r="H38" s="22" t="n"/>
      <c r="I38" s="22" t="n"/>
      <c r="J38" s="24" t="n"/>
      <c r="K38" s="22" t="n"/>
      <c r="L38" s="23" t="n"/>
    </row>
    <row r="39">
      <c r="A39" s="22" t="n"/>
      <c r="B39" s="24" t="n"/>
      <c r="C39" s="22" t="n"/>
      <c r="D39" s="22" t="n"/>
      <c r="E39" s="23" t="n"/>
      <c r="F39" s="22" t="n"/>
      <c r="G39" s="37" t="n"/>
      <c r="H39" s="22" t="n"/>
      <c r="I39" s="22" t="n"/>
      <c r="J39" s="24" t="n"/>
      <c r="K39" s="22" t="n"/>
      <c r="L39" s="23" t="n"/>
    </row>
    <row r="40">
      <c r="A40" s="22" t="n"/>
      <c r="B40" s="24" t="n"/>
      <c r="C40" s="22" t="n"/>
      <c r="D40" s="22" t="n"/>
      <c r="E40" s="23" t="n"/>
      <c r="F40" s="22" t="n"/>
      <c r="G40" s="37" t="n"/>
      <c r="H40" s="22" t="n"/>
      <c r="I40" s="22" t="n"/>
      <c r="J40" s="24" t="n"/>
      <c r="K40" s="22" t="n"/>
      <c r="L40" s="23" t="n"/>
    </row>
    <row r="41">
      <c r="A41" s="22" t="n"/>
      <c r="B41" s="24" t="n"/>
      <c r="C41" s="22" t="n"/>
      <c r="D41" s="22" t="n"/>
      <c r="E41" s="23" t="n"/>
      <c r="F41" s="22" t="n"/>
      <c r="G41" s="37" t="n"/>
      <c r="H41" s="22" t="n"/>
      <c r="I41" s="22" t="n"/>
      <c r="J41" s="24" t="n"/>
      <c r="K41" s="22" t="n"/>
      <c r="L41" s="23" t="n"/>
    </row>
    <row r="42">
      <c r="A42" s="22" t="n"/>
      <c r="B42" s="24" t="n"/>
      <c r="C42" s="22" t="n"/>
      <c r="D42" s="22" t="n"/>
      <c r="E42" s="23" t="n"/>
      <c r="F42" s="22" t="n"/>
      <c r="G42" s="37" t="n"/>
      <c r="H42" s="22" t="n"/>
      <c r="I42" s="22" t="n"/>
      <c r="J42" s="24" t="n"/>
      <c r="K42" s="22" t="n"/>
      <c r="L42" s="23" t="n"/>
    </row>
    <row r="43">
      <c r="A43" s="22" t="n"/>
      <c r="B43" s="24" t="n"/>
      <c r="C43" s="22" t="n"/>
      <c r="D43" s="22" t="n"/>
      <c r="E43" s="23" t="n"/>
      <c r="F43" s="22" t="n"/>
      <c r="G43" s="37" t="n"/>
      <c r="H43" s="22" t="n"/>
      <c r="I43" s="22" t="n"/>
      <c r="J43" s="24" t="n"/>
      <c r="K43" s="22" t="n"/>
      <c r="L43" s="23" t="n"/>
    </row>
    <row r="44">
      <c r="A44" s="22" t="n"/>
      <c r="B44" s="24" t="n"/>
      <c r="C44" s="22" t="n"/>
      <c r="D44" s="22" t="n"/>
      <c r="E44" s="23" t="n"/>
      <c r="F44" s="22" t="n"/>
      <c r="G44" s="37" t="n"/>
      <c r="H44" s="22" t="n"/>
      <c r="I44" s="22" t="n"/>
      <c r="J44" s="24" t="n"/>
      <c r="K44" s="22" t="n"/>
      <c r="L44" s="23" t="n"/>
    </row>
    <row r="45">
      <c r="A45" s="22" t="n"/>
      <c r="B45" s="24" t="n"/>
      <c r="C45" s="22" t="n"/>
      <c r="D45" s="22" t="n"/>
      <c r="E45" s="23" t="n"/>
      <c r="F45" s="22" t="n"/>
      <c r="G45" s="37" t="n"/>
      <c r="H45" s="22" t="n"/>
      <c r="I45" s="22" t="n"/>
      <c r="J45" s="24" t="n"/>
      <c r="K45" s="22" t="n"/>
      <c r="L45" s="23" t="n"/>
    </row>
    <row r="46">
      <c r="A46" s="22" t="n"/>
      <c r="B46" s="24" t="n"/>
      <c r="C46" s="22" t="n"/>
      <c r="D46" s="22" t="n"/>
      <c r="E46" s="23" t="n"/>
      <c r="F46" s="22" t="n"/>
      <c r="G46" s="37" t="n"/>
      <c r="H46" s="22" t="n"/>
      <c r="I46" s="22" t="n"/>
      <c r="J46" s="24" t="n"/>
      <c r="K46" s="22" t="n"/>
      <c r="L46" s="23" t="n"/>
    </row>
    <row r="47">
      <c r="A47" s="22" t="n"/>
      <c r="B47" s="24" t="n"/>
      <c r="C47" s="22" t="n"/>
      <c r="D47" s="22" t="n"/>
      <c r="E47" s="23" t="n"/>
      <c r="F47" s="22" t="n"/>
      <c r="G47" s="37" t="n"/>
      <c r="H47" s="22" t="n"/>
      <c r="I47" s="22" t="n"/>
      <c r="J47" s="24" t="n"/>
      <c r="K47" s="22" t="n"/>
      <c r="L47" s="23" t="n"/>
    </row>
    <row r="48">
      <c r="A48" s="22" t="n"/>
      <c r="B48" s="24" t="n"/>
      <c r="C48" s="22" t="n"/>
      <c r="D48" s="22" t="n"/>
      <c r="E48" s="23" t="n"/>
      <c r="F48" s="22" t="n"/>
      <c r="G48" s="37" t="n"/>
      <c r="H48" s="22" t="n"/>
      <c r="I48" s="22" t="n"/>
      <c r="J48" s="24" t="n"/>
      <c r="K48" s="22" t="n"/>
      <c r="L48" s="23" t="n"/>
    </row>
    <row r="49">
      <c r="A49" s="22" t="n"/>
      <c r="B49" s="24" t="n"/>
      <c r="C49" s="22" t="n"/>
      <c r="D49" s="22" t="n"/>
      <c r="E49" s="23" t="n"/>
      <c r="F49" s="22" t="n"/>
      <c r="G49" s="37" t="n"/>
      <c r="H49" s="22" t="n"/>
      <c r="I49" s="22" t="n"/>
      <c r="J49" s="24" t="n"/>
      <c r="K49" s="22" t="n"/>
      <c r="L49" s="23" t="n"/>
    </row>
    <row r="50">
      <c r="A50" s="22" t="n"/>
      <c r="B50" s="24" t="n"/>
      <c r="C50" s="22" t="n"/>
      <c r="D50" s="22" t="n"/>
      <c r="E50" s="23" t="n"/>
      <c r="F50" s="22" t="n"/>
      <c r="G50" s="37" t="n"/>
      <c r="H50" s="22" t="n"/>
      <c r="I50" s="22" t="n"/>
      <c r="J50" s="24" t="n"/>
      <c r="K50" s="22" t="n"/>
      <c r="L50" s="23" t="n"/>
    </row>
    <row r="51">
      <c r="A51" s="22" t="n"/>
      <c r="B51" s="24" t="n"/>
      <c r="C51" s="22" t="n"/>
      <c r="D51" s="22" t="n"/>
      <c r="E51" s="23" t="n"/>
      <c r="F51" s="22" t="n"/>
      <c r="G51" s="37" t="n"/>
      <c r="H51" s="22" t="n"/>
      <c r="I51" s="22" t="n"/>
      <c r="J51" s="24" t="n"/>
      <c r="K51" s="22" t="n"/>
      <c r="L51" s="23" t="n"/>
    </row>
    <row r="52">
      <c r="A52" s="22" t="n"/>
      <c r="B52" s="24" t="n"/>
      <c r="C52" s="22" t="n"/>
      <c r="D52" s="22" t="n"/>
      <c r="E52" s="23" t="n"/>
      <c r="F52" s="22" t="n"/>
      <c r="G52" s="37" t="n"/>
      <c r="H52" s="22" t="n"/>
      <c r="I52" s="22" t="n"/>
      <c r="J52" s="24" t="n"/>
      <c r="K52" s="22" t="n"/>
      <c r="L52" s="23" t="n"/>
    </row>
    <row r="53">
      <c r="A53" s="22" t="n"/>
      <c r="B53" s="24" t="n"/>
      <c r="C53" s="22" t="n"/>
      <c r="D53" s="22" t="n"/>
      <c r="E53" s="23" t="n"/>
      <c r="F53" s="22" t="n"/>
      <c r="G53" s="37" t="n"/>
      <c r="H53" s="22" t="n"/>
      <c r="I53" s="22" t="n"/>
      <c r="J53" s="24" t="n"/>
      <c r="K53" s="22" t="n"/>
      <c r="L53" s="23" t="n"/>
    </row>
    <row r="54">
      <c r="A54" s="22" t="n"/>
      <c r="B54" s="24" t="n"/>
      <c r="C54" s="22" t="n"/>
      <c r="D54" s="22" t="n"/>
      <c r="E54" s="23" t="n"/>
      <c r="F54" s="22" t="n"/>
      <c r="G54" s="37" t="n"/>
      <c r="H54" s="22" t="n"/>
      <c r="I54" s="22" t="n"/>
      <c r="J54" s="24" t="n"/>
      <c r="K54" s="22" t="n"/>
      <c r="L54" s="23" t="n"/>
    </row>
    <row r="55">
      <c r="A55" s="22" t="n"/>
      <c r="B55" s="24" t="n"/>
      <c r="C55" s="22" t="n"/>
      <c r="D55" s="22" t="n"/>
      <c r="E55" s="23" t="n"/>
      <c r="F55" s="22" t="n"/>
      <c r="G55" s="37" t="n"/>
      <c r="H55" s="22" t="n"/>
      <c r="I55" s="22" t="n"/>
      <c r="J55" s="24" t="n"/>
      <c r="K55" s="22" t="n"/>
      <c r="L55" s="23" t="n"/>
    </row>
    <row r="56">
      <c r="A56" s="22" t="n"/>
      <c r="B56" s="24" t="n"/>
      <c r="C56" s="22" t="n"/>
      <c r="D56" s="22" t="n"/>
      <c r="E56" s="23" t="n"/>
      <c r="F56" s="22" t="n"/>
      <c r="G56" s="37" t="n"/>
      <c r="H56" s="22" t="n"/>
      <c r="I56" s="22" t="n"/>
      <c r="J56" s="24" t="n"/>
      <c r="K56" s="22" t="n"/>
      <c r="L56" s="23" t="n"/>
    </row>
    <row r="57">
      <c r="A57" s="22" t="n"/>
      <c r="B57" s="24" t="n"/>
      <c r="C57" s="22" t="n"/>
      <c r="D57" s="22" t="n"/>
      <c r="E57" s="23" t="n"/>
      <c r="F57" s="22" t="n"/>
      <c r="G57" s="37" t="n"/>
      <c r="H57" s="22" t="n"/>
      <c r="I57" s="22" t="n"/>
      <c r="J57" s="24" t="n"/>
      <c r="K57" s="22" t="n"/>
      <c r="L57" s="23" t="n"/>
    </row>
    <row r="58">
      <c r="A58" s="22" t="n"/>
      <c r="B58" s="24" t="n"/>
      <c r="C58" s="22" t="n"/>
      <c r="D58" s="22" t="n"/>
      <c r="E58" s="23" t="n"/>
      <c r="F58" s="22" t="n"/>
      <c r="G58" s="37" t="n"/>
      <c r="H58" s="22" t="n"/>
      <c r="I58" s="22" t="n"/>
      <c r="J58" s="24" t="n"/>
      <c r="K58" s="22" t="n"/>
      <c r="L58" s="23" t="n"/>
    </row>
    <row r="59">
      <c r="A59" s="22" t="n"/>
      <c r="B59" s="24" t="n"/>
      <c r="C59" s="22" t="n"/>
      <c r="D59" s="22" t="n"/>
      <c r="E59" s="23" t="n"/>
      <c r="F59" s="22" t="n"/>
      <c r="G59" s="37" t="n"/>
      <c r="H59" s="22" t="n"/>
      <c r="I59" s="22" t="n"/>
      <c r="J59" s="24" t="n"/>
      <c r="K59" s="22" t="n"/>
      <c r="L59" s="23" t="n"/>
    </row>
    <row r="60">
      <c r="A60" s="22" t="n"/>
      <c r="B60" s="24" t="n"/>
      <c r="C60" s="22" t="n"/>
      <c r="D60" s="22" t="n"/>
      <c r="E60" s="23" t="n"/>
      <c r="F60" s="22" t="n"/>
      <c r="G60" s="37" t="n"/>
      <c r="H60" s="22" t="n"/>
      <c r="I60" s="22" t="n"/>
      <c r="J60" s="24" t="n"/>
      <c r="K60" s="22" t="n"/>
      <c r="L60" s="23" t="n"/>
    </row>
    <row r="61">
      <c r="A61" s="22" t="n"/>
      <c r="B61" s="24" t="n"/>
      <c r="C61" s="22" t="n"/>
      <c r="D61" s="22" t="n"/>
      <c r="E61" s="23" t="n"/>
      <c r="F61" s="22" t="n"/>
      <c r="G61" s="37" t="n"/>
      <c r="H61" s="22" t="n"/>
      <c r="I61" s="22" t="n"/>
      <c r="J61" s="24" t="n"/>
      <c r="K61" s="22" t="n"/>
      <c r="L61" s="23" t="n"/>
    </row>
    <row r="62">
      <c r="A62" s="22" t="n"/>
      <c r="B62" s="24" t="n"/>
      <c r="C62" s="22" t="n"/>
      <c r="D62" s="22" t="n"/>
      <c r="E62" s="23" t="n"/>
      <c r="F62" s="22" t="n"/>
      <c r="G62" s="37" t="n"/>
      <c r="H62" s="22" t="n"/>
      <c r="I62" s="22" t="n"/>
      <c r="J62" s="24" t="n"/>
      <c r="K62" s="22" t="n"/>
      <c r="L62" s="23" t="n"/>
    </row>
    <row r="63">
      <c r="A63" s="22" t="n"/>
      <c r="B63" s="24" t="n"/>
      <c r="C63" s="22" t="n"/>
      <c r="D63" s="22" t="n"/>
      <c r="E63" s="23" t="n"/>
      <c r="F63" s="22" t="n"/>
      <c r="G63" s="37" t="n"/>
      <c r="H63" s="22" t="n"/>
      <c r="I63" s="22" t="n"/>
      <c r="J63" s="24" t="n"/>
      <c r="K63" s="22" t="n"/>
      <c r="L63" s="23" t="n"/>
    </row>
    <row r="64">
      <c r="A64" s="22" t="n"/>
      <c r="B64" s="24" t="n"/>
      <c r="C64" s="22" t="n"/>
      <c r="D64" s="22" t="n"/>
      <c r="E64" s="23" t="n"/>
      <c r="F64" s="22" t="n"/>
      <c r="G64" s="37" t="n"/>
      <c r="H64" s="22" t="n"/>
      <c r="I64" s="22" t="n"/>
      <c r="J64" s="24" t="n"/>
      <c r="K64" s="22" t="n"/>
      <c r="L64" s="23" t="n"/>
    </row>
    <row r="65">
      <c r="A65" s="22" t="n"/>
      <c r="B65" s="24" t="n"/>
      <c r="C65" s="22" t="n"/>
      <c r="D65" s="22" t="n"/>
      <c r="E65" s="23" t="n"/>
      <c r="F65" s="22" t="n"/>
      <c r="G65" s="37" t="n"/>
      <c r="H65" s="22" t="n"/>
      <c r="I65" s="22" t="n"/>
      <c r="J65" s="24" t="n"/>
      <c r="K65" s="22" t="n"/>
      <c r="L65" s="23" t="n"/>
    </row>
    <row r="66">
      <c r="A66" s="22" t="n"/>
      <c r="B66" s="24" t="n"/>
      <c r="C66" s="22" t="n"/>
      <c r="D66" s="22" t="n"/>
      <c r="E66" s="23" t="n"/>
      <c r="F66" s="22" t="n"/>
      <c r="G66" s="37" t="n"/>
      <c r="H66" s="22" t="n"/>
      <c r="I66" s="22" t="n"/>
      <c r="J66" s="24" t="n"/>
      <c r="K66" s="22" t="n"/>
      <c r="L66" s="23" t="n"/>
    </row>
    <row r="67">
      <c r="A67" s="22" t="n"/>
      <c r="B67" s="24" t="n"/>
      <c r="C67" s="22" t="n"/>
      <c r="D67" s="22" t="n"/>
      <c r="E67" s="23" t="n"/>
      <c r="F67" s="22" t="n"/>
      <c r="G67" s="37" t="n"/>
      <c r="H67" s="22" t="n"/>
      <c r="I67" s="22" t="n"/>
      <c r="J67" s="24" t="n"/>
      <c r="K67" s="22" t="n"/>
      <c r="L67" s="23" t="n"/>
    </row>
    <row r="68">
      <c r="A68" s="22" t="n"/>
      <c r="B68" s="24" t="n"/>
      <c r="C68" s="22" t="n"/>
      <c r="D68" s="22" t="n"/>
      <c r="E68" s="23" t="n"/>
      <c r="F68" s="22" t="n"/>
      <c r="G68" s="37" t="n"/>
      <c r="H68" s="22" t="n"/>
      <c r="I68" s="22" t="n"/>
      <c r="J68" s="24" t="n"/>
      <c r="K68" s="22" t="n"/>
      <c r="L68" s="23" t="n"/>
    </row>
    <row r="69">
      <c r="A69" s="22" t="n"/>
      <c r="B69" s="24" t="n"/>
      <c r="C69" s="22" t="n"/>
      <c r="D69" s="22" t="n"/>
      <c r="E69" s="23" t="n"/>
      <c r="F69" s="22" t="n"/>
      <c r="G69" s="37" t="n"/>
      <c r="H69" s="22" t="n"/>
      <c r="I69" s="22" t="n"/>
      <c r="J69" s="24" t="n"/>
      <c r="K69" s="22" t="n"/>
      <c r="L69" s="23" t="n"/>
    </row>
    <row r="70">
      <c r="A70" s="22" t="n"/>
      <c r="B70" s="24" t="n"/>
      <c r="C70" s="22" t="n"/>
      <c r="D70" s="22" t="n"/>
      <c r="E70" s="23" t="n"/>
      <c r="F70" s="22" t="n"/>
      <c r="G70" s="37" t="n"/>
      <c r="H70" s="22" t="n"/>
      <c r="I70" s="22" t="n"/>
      <c r="J70" s="24" t="n"/>
      <c r="K70" s="22" t="n"/>
      <c r="L70" s="23" t="n"/>
    </row>
    <row r="71">
      <c r="A71" s="22" t="n"/>
      <c r="B71" s="24" t="n"/>
      <c r="C71" s="22" t="n"/>
      <c r="D71" s="22" t="n"/>
      <c r="E71" s="23" t="n"/>
      <c r="F71" s="22" t="n"/>
      <c r="G71" s="37" t="n"/>
      <c r="H71" s="22" t="n"/>
      <c r="I71" s="22" t="n"/>
      <c r="J71" s="24" t="n"/>
      <c r="K71" s="22" t="n"/>
      <c r="L71" s="23" t="n"/>
    </row>
    <row r="72">
      <c r="A72" s="22" t="n"/>
      <c r="B72" s="24" t="n"/>
      <c r="C72" s="22" t="n"/>
      <c r="D72" s="22" t="n"/>
      <c r="E72" s="23" t="n"/>
      <c r="F72" s="22" t="n"/>
      <c r="G72" s="37" t="n"/>
      <c r="H72" s="22" t="n"/>
      <c r="I72" s="22" t="n"/>
      <c r="J72" s="24" t="n"/>
      <c r="K72" s="22" t="n"/>
      <c r="L72" s="23" t="n"/>
    </row>
    <row r="73">
      <c r="A73" s="22" t="n"/>
      <c r="B73" s="24" t="n"/>
      <c r="C73" s="22" t="n"/>
      <c r="D73" s="22" t="n"/>
      <c r="E73" s="23" t="n"/>
      <c r="F73" s="22" t="n"/>
      <c r="G73" s="37" t="n"/>
      <c r="H73" s="22" t="n"/>
      <c r="I73" s="22" t="n"/>
      <c r="J73" s="24" t="n"/>
      <c r="K73" s="22" t="n"/>
      <c r="L73" s="23" t="n"/>
    </row>
    <row r="74">
      <c r="A74" s="22" t="n"/>
      <c r="B74" s="24" t="n"/>
      <c r="C74" s="22" t="n"/>
      <c r="D74" s="22" t="n"/>
      <c r="E74" s="23" t="n"/>
      <c r="F74" s="22" t="n"/>
      <c r="G74" s="37" t="n"/>
      <c r="H74" s="22" t="n"/>
      <c r="I74" s="22" t="n"/>
      <c r="J74" s="24" t="n"/>
      <c r="K74" s="22" t="n"/>
      <c r="L74" s="23" t="n"/>
    </row>
    <row r="75">
      <c r="A75" s="22" t="n"/>
      <c r="B75" s="24" t="n"/>
      <c r="C75" s="22" t="n"/>
      <c r="D75" s="22" t="n"/>
      <c r="E75" s="23" t="n"/>
      <c r="F75" s="22" t="n"/>
      <c r="G75" s="37" t="n"/>
      <c r="H75" s="22" t="n"/>
      <c r="I75" s="22" t="n"/>
      <c r="J75" s="24" t="n"/>
      <c r="K75" s="22" t="n"/>
      <c r="L75" s="23" t="n"/>
    </row>
    <row r="76">
      <c r="A76" s="22" t="n"/>
      <c r="B76" s="24" t="n"/>
      <c r="C76" s="22" t="n"/>
      <c r="D76" s="22" t="n"/>
      <c r="E76" s="23" t="n"/>
      <c r="F76" s="22" t="n"/>
      <c r="G76" s="37" t="n"/>
      <c r="H76" s="22" t="n"/>
      <c r="I76" s="22" t="n"/>
      <c r="J76" s="24" t="n"/>
      <c r="K76" s="22" t="n"/>
      <c r="L76" s="23" t="n"/>
    </row>
    <row r="77">
      <c r="A77" s="22" t="n"/>
      <c r="B77" s="24" t="n"/>
      <c r="C77" s="22" t="n"/>
      <c r="D77" s="22" t="n"/>
      <c r="E77" s="23" t="n"/>
      <c r="F77" s="22" t="n"/>
      <c r="G77" s="37" t="n"/>
      <c r="H77" s="22" t="n"/>
      <c r="I77" s="22" t="n"/>
      <c r="J77" s="24" t="n"/>
      <c r="K77" s="22" t="n"/>
      <c r="L77" s="23" t="n"/>
    </row>
    <row r="78">
      <c r="A78" s="22" t="n"/>
      <c r="B78" s="24" t="n"/>
      <c r="C78" s="22" t="n"/>
      <c r="D78" s="22" t="n"/>
      <c r="E78" s="23" t="n"/>
      <c r="F78" s="22" t="n"/>
      <c r="G78" s="37" t="n"/>
      <c r="H78" s="22" t="n"/>
      <c r="I78" s="22" t="n"/>
      <c r="J78" s="24" t="n"/>
      <c r="K78" s="22" t="n"/>
      <c r="L78" s="23" t="n"/>
    </row>
    <row r="79">
      <c r="A79" s="22" t="n"/>
      <c r="B79" s="24" t="n"/>
      <c r="C79" s="22" t="n"/>
      <c r="D79" s="22" t="n"/>
      <c r="E79" s="23" t="n"/>
      <c r="F79" s="22" t="n"/>
      <c r="G79" s="37" t="n"/>
      <c r="H79" s="22" t="n"/>
      <c r="I79" s="22" t="n"/>
      <c r="J79" s="24" t="n"/>
      <c r="K79" s="22" t="n"/>
      <c r="L79" s="23" t="n"/>
    </row>
    <row r="80">
      <c r="A80" s="22" t="n"/>
      <c r="B80" s="24" t="n"/>
      <c r="C80" s="22" t="n"/>
      <c r="D80" s="22" t="n"/>
      <c r="E80" s="23" t="n"/>
      <c r="F80" s="22" t="n"/>
      <c r="G80" s="37" t="n"/>
      <c r="H80" s="22" t="n"/>
      <c r="I80" s="22" t="n"/>
      <c r="J80" s="24" t="n"/>
      <c r="K80" s="22" t="n"/>
      <c r="L80" s="23" t="n"/>
    </row>
    <row r="81">
      <c r="A81" s="22" t="n"/>
      <c r="B81" s="24" t="n"/>
      <c r="C81" s="22" t="n"/>
      <c r="D81" s="22" t="n"/>
      <c r="E81" s="23" t="n"/>
      <c r="F81" s="22" t="n"/>
      <c r="G81" s="37" t="n"/>
      <c r="H81" s="22" t="n"/>
      <c r="I81" s="22" t="n"/>
      <c r="J81" s="24" t="n"/>
      <c r="K81" s="22" t="n"/>
      <c r="L81" s="23" t="n"/>
    </row>
    <row r="82">
      <c r="A82" s="22" t="n"/>
      <c r="B82" s="24" t="n"/>
      <c r="C82" s="22" t="n"/>
      <c r="D82" s="22" t="n"/>
      <c r="E82" s="23" t="n"/>
      <c r="F82" s="22" t="n"/>
      <c r="G82" s="37" t="n"/>
      <c r="H82" s="22" t="n"/>
      <c r="I82" s="22" t="n"/>
      <c r="J82" s="24" t="n"/>
      <c r="K82" s="22" t="n"/>
      <c r="L82" s="23" t="n"/>
    </row>
    <row r="83">
      <c r="A83" s="22" t="n"/>
      <c r="B83" s="24" t="n"/>
      <c r="C83" s="22" t="n"/>
      <c r="D83" s="22" t="n"/>
      <c r="E83" s="23" t="n"/>
      <c r="F83" s="22" t="n"/>
      <c r="G83" s="37" t="n"/>
      <c r="H83" s="22" t="n"/>
      <c r="I83" s="22" t="n"/>
      <c r="J83" s="24" t="n"/>
      <c r="K83" s="22" t="n"/>
      <c r="L83" s="23" t="n"/>
    </row>
    <row r="84">
      <c r="A84" s="22" t="n"/>
      <c r="B84" s="24" t="n"/>
      <c r="C84" s="22" t="n"/>
      <c r="D84" s="22" t="n"/>
      <c r="E84" s="23" t="n"/>
      <c r="F84" s="22" t="n"/>
      <c r="G84" s="37" t="n"/>
      <c r="H84" s="22" t="n"/>
      <c r="I84" s="22" t="n"/>
      <c r="J84" s="24" t="n"/>
      <c r="K84" s="22" t="n"/>
      <c r="L84" s="23" t="n"/>
    </row>
    <row r="85">
      <c r="A85" s="22" t="n"/>
      <c r="B85" s="24" t="n"/>
      <c r="C85" s="22" t="n"/>
      <c r="D85" s="22" t="n"/>
      <c r="E85" s="23" t="n"/>
      <c r="F85" s="22" t="n"/>
      <c r="G85" s="37" t="n"/>
      <c r="H85" s="22" t="n"/>
      <c r="I85" s="22" t="n"/>
      <c r="J85" s="24" t="n"/>
      <c r="K85" s="22" t="n"/>
      <c r="L85" s="23" t="n"/>
    </row>
    <row r="86">
      <c r="A86" s="22" t="n"/>
      <c r="B86" s="24" t="n"/>
      <c r="C86" s="22" t="n"/>
      <c r="D86" s="22" t="n"/>
      <c r="E86" s="23" t="n"/>
      <c r="F86" s="22" t="n"/>
      <c r="G86" s="37" t="n"/>
      <c r="H86" s="22" t="n"/>
      <c r="I86" s="22" t="n"/>
      <c r="J86" s="24" t="n"/>
      <c r="K86" s="22" t="n"/>
      <c r="L86" s="23" t="n"/>
    </row>
    <row r="87">
      <c r="A87" s="22" t="n"/>
      <c r="B87" s="24" t="n"/>
      <c r="C87" s="22" t="n"/>
      <c r="D87" s="22" t="n"/>
      <c r="E87" s="23" t="n"/>
      <c r="F87" s="22" t="n"/>
      <c r="G87" s="37" t="n"/>
      <c r="H87" s="22" t="n"/>
      <c r="I87" s="22" t="n"/>
      <c r="J87" s="24" t="n"/>
      <c r="K87" s="22" t="n"/>
      <c r="L87" s="23" t="n"/>
    </row>
    <row r="88">
      <c r="A88" s="22" t="n"/>
      <c r="B88" s="24" t="n"/>
      <c r="C88" s="22" t="n"/>
      <c r="D88" s="22" t="n"/>
      <c r="E88" s="23" t="n"/>
      <c r="F88" s="22" t="n"/>
      <c r="G88" s="37" t="n"/>
      <c r="H88" s="22" t="n"/>
      <c r="I88" s="22" t="n"/>
      <c r="J88" s="24" t="n"/>
      <c r="K88" s="22" t="n"/>
      <c r="L88" s="23" t="n"/>
    </row>
    <row r="89">
      <c r="A89" s="22" t="n"/>
      <c r="B89" s="24" t="n"/>
      <c r="C89" s="22" t="n"/>
      <c r="D89" s="22" t="n"/>
      <c r="E89" s="23" t="n"/>
      <c r="F89" s="22" t="n"/>
      <c r="G89" s="37" t="n"/>
      <c r="H89" s="22" t="n"/>
      <c r="I89" s="22" t="n"/>
      <c r="J89" s="24" t="n"/>
      <c r="K89" s="22" t="n"/>
      <c r="L89" s="23" t="n"/>
    </row>
    <row r="90">
      <c r="A90" s="22" t="n"/>
      <c r="B90" s="24" t="n"/>
      <c r="C90" s="22" t="n"/>
      <c r="D90" s="22" t="n"/>
      <c r="E90" s="23" t="n"/>
      <c r="F90" s="22" t="n"/>
      <c r="G90" s="37" t="n"/>
      <c r="H90" s="22" t="n"/>
      <c r="I90" s="22" t="n"/>
      <c r="J90" s="24" t="n"/>
      <c r="K90" s="22" t="n"/>
      <c r="L90" s="23" t="n"/>
    </row>
    <row r="91">
      <c r="A91" s="22" t="n"/>
      <c r="B91" s="24" t="n"/>
      <c r="C91" s="22" t="n"/>
      <c r="D91" s="22" t="n"/>
      <c r="E91" s="23" t="n"/>
      <c r="F91" s="22" t="n"/>
      <c r="G91" s="37" t="n"/>
      <c r="H91" s="22" t="n"/>
      <c r="I91" s="22" t="n"/>
      <c r="J91" s="24" t="n"/>
      <c r="K91" s="22" t="n"/>
      <c r="L91" s="23" t="n"/>
    </row>
    <row r="92">
      <c r="A92" s="22" t="n"/>
      <c r="B92" s="24" t="n"/>
      <c r="C92" s="22" t="n"/>
      <c r="D92" s="22" t="n"/>
      <c r="E92" s="23" t="n"/>
      <c r="F92" s="22" t="n"/>
      <c r="G92" s="37" t="n"/>
      <c r="H92" s="22" t="n"/>
      <c r="I92" s="22" t="n"/>
      <c r="J92" s="24" t="n"/>
      <c r="K92" s="22" t="n"/>
      <c r="L92" s="23" t="n"/>
    </row>
    <row r="93">
      <c r="A93" s="22" t="n"/>
      <c r="B93" s="24" t="n"/>
      <c r="C93" s="22" t="n"/>
      <c r="D93" s="22" t="n"/>
      <c r="E93" s="23" t="n"/>
      <c r="F93" s="22" t="n"/>
      <c r="G93" s="37" t="n"/>
      <c r="H93" s="22" t="n"/>
      <c r="I93" s="22" t="n"/>
      <c r="J93" s="24" t="n"/>
      <c r="K93" s="22" t="n"/>
      <c r="L93" s="23" t="n"/>
    </row>
    <row r="94">
      <c r="A94" s="22" t="n"/>
      <c r="B94" s="24" t="n"/>
      <c r="C94" s="22" t="n"/>
      <c r="D94" s="22" t="n"/>
      <c r="E94" s="23" t="n"/>
      <c r="F94" s="22" t="n"/>
      <c r="G94" s="37" t="n"/>
      <c r="H94" s="22" t="n"/>
      <c r="I94" s="22" t="n"/>
      <c r="J94" s="24" t="n"/>
      <c r="K94" s="22" t="n"/>
      <c r="L94" s="23" t="n"/>
    </row>
    <row r="95">
      <c r="A95" s="22" t="n"/>
      <c r="B95" s="24" t="n"/>
      <c r="C95" s="22" t="n"/>
      <c r="D95" s="22" t="n"/>
      <c r="E95" s="23" t="n"/>
      <c r="F95" s="22" t="n"/>
      <c r="G95" s="37" t="n"/>
      <c r="H95" s="22" t="n"/>
      <c r="I95" s="22" t="n"/>
      <c r="J95" s="24" t="n"/>
      <c r="K95" s="22" t="n"/>
      <c r="L95" s="23" t="n"/>
    </row>
    <row r="96">
      <c r="A96" s="22" t="n"/>
      <c r="B96" s="24" t="n"/>
      <c r="C96" s="22" t="n"/>
      <c r="D96" s="22" t="n"/>
      <c r="E96" s="23" t="n"/>
      <c r="F96" s="22" t="n"/>
      <c r="G96" s="37" t="n"/>
      <c r="H96" s="22" t="n"/>
      <c r="I96" s="22" t="n"/>
      <c r="J96" s="24" t="n"/>
      <c r="K96" s="22" t="n"/>
      <c r="L96" s="23" t="n"/>
    </row>
    <row r="97">
      <c r="A97" s="22" t="n"/>
      <c r="B97" s="24" t="n"/>
      <c r="C97" s="22" t="n"/>
      <c r="D97" s="22" t="n"/>
      <c r="E97" s="23" t="n"/>
      <c r="F97" s="22" t="n"/>
      <c r="G97" s="37" t="n"/>
      <c r="H97" s="22" t="n"/>
      <c r="I97" s="22" t="n"/>
      <c r="J97" s="24" t="n"/>
      <c r="K97" s="22" t="n"/>
      <c r="L97" s="23" t="n"/>
    </row>
    <row r="98">
      <c r="A98" s="22" t="n"/>
      <c r="B98" s="24" t="n"/>
      <c r="C98" s="22" t="n"/>
      <c r="D98" s="22" t="n"/>
      <c r="E98" s="23" t="n"/>
      <c r="F98" s="22" t="n"/>
      <c r="G98" s="37" t="n"/>
      <c r="H98" s="22" t="n"/>
      <c r="I98" s="22" t="n"/>
      <c r="J98" s="24" t="n"/>
      <c r="K98" s="22" t="n"/>
      <c r="L98" s="23" t="n"/>
    </row>
    <row r="99">
      <c r="A99" s="22" t="n"/>
      <c r="B99" s="24" t="n"/>
      <c r="C99" s="22" t="n"/>
      <c r="D99" s="22" t="n"/>
      <c r="E99" s="23" t="n"/>
      <c r="F99" s="22" t="n"/>
      <c r="G99" s="37" t="n"/>
      <c r="H99" s="22" t="n"/>
      <c r="I99" s="22" t="n"/>
      <c r="J99" s="24" t="n"/>
      <c r="K99" s="22" t="n"/>
      <c r="L99" s="23" t="n"/>
    </row>
    <row r="100">
      <c r="A100" s="22" t="n"/>
      <c r="B100" s="24" t="n"/>
      <c r="C100" s="22" t="n"/>
      <c r="D100" s="22" t="n"/>
      <c r="E100" s="23" t="n"/>
      <c r="F100" s="22" t="n"/>
      <c r="G100" s="37" t="n"/>
      <c r="H100" s="22" t="n"/>
      <c r="I100" s="22" t="n"/>
      <c r="J100" s="24" t="n"/>
      <c r="K100" s="22" t="n"/>
      <c r="L100" s="23" t="n"/>
    </row>
    <row r="101">
      <c r="A101" s="22" t="n"/>
      <c r="B101" s="24" t="n"/>
      <c r="C101" s="22" t="n"/>
      <c r="D101" s="22" t="n"/>
      <c r="E101" s="23" t="n"/>
      <c r="F101" s="22" t="n"/>
      <c r="G101" s="37" t="n"/>
      <c r="H101" s="22" t="n"/>
      <c r="I101" s="22" t="n"/>
      <c r="J101" s="24" t="n"/>
      <c r="K101" s="22" t="n"/>
      <c r="L101" s="23" t="n"/>
    </row>
    <row r="102">
      <c r="A102" s="22" t="n"/>
      <c r="B102" s="24" t="n"/>
      <c r="C102" s="22" t="n"/>
      <c r="D102" s="22" t="n"/>
      <c r="E102" s="23" t="n"/>
      <c r="F102" s="22" t="n"/>
      <c r="G102" s="37" t="n"/>
      <c r="H102" s="22" t="n"/>
      <c r="I102" s="22" t="n"/>
      <c r="J102" s="24" t="n"/>
      <c r="K102" s="22" t="n"/>
      <c r="L102" s="23" t="n"/>
    </row>
    <row r="103">
      <c r="A103" s="22" t="n"/>
      <c r="B103" s="24" t="n"/>
      <c r="C103" s="22" t="n"/>
      <c r="D103" s="22" t="n"/>
      <c r="E103" s="23" t="n"/>
      <c r="F103" s="22" t="n"/>
      <c r="G103" s="37" t="n"/>
      <c r="H103" s="22" t="n"/>
      <c r="I103" s="22" t="n"/>
      <c r="J103" s="24" t="n"/>
      <c r="K103" s="22" t="n"/>
      <c r="L103" s="23" t="n"/>
    </row>
    <row r="104">
      <c r="A104" s="22" t="n"/>
      <c r="B104" s="24" t="n"/>
      <c r="C104" s="22" t="n"/>
      <c r="D104" s="22" t="n"/>
      <c r="E104" s="23" t="n"/>
      <c r="F104" s="22" t="n"/>
      <c r="G104" s="37" t="n"/>
      <c r="H104" s="22" t="n"/>
      <c r="I104" s="22" t="n"/>
      <c r="J104" s="24" t="n"/>
      <c r="K104" s="22" t="n"/>
      <c r="L104" s="23" t="n"/>
    </row>
    <row r="105">
      <c r="A105" s="22" t="n"/>
      <c r="B105" s="24" t="n"/>
      <c r="C105" s="22" t="n"/>
      <c r="D105" s="22" t="n"/>
      <c r="E105" s="23" t="n"/>
      <c r="F105" s="22" t="n"/>
      <c r="G105" s="37" t="n"/>
      <c r="H105" s="22" t="n"/>
      <c r="I105" s="22" t="n"/>
      <c r="J105" s="24" t="n"/>
      <c r="K105" s="22" t="n"/>
      <c r="L105" s="23" t="n"/>
    </row>
    <row r="106">
      <c r="A106" s="22" t="n"/>
      <c r="B106" s="24" t="n"/>
      <c r="C106" s="22" t="n"/>
      <c r="D106" s="22" t="n"/>
      <c r="E106" s="23" t="n"/>
      <c r="F106" s="22" t="n"/>
      <c r="G106" s="37" t="n"/>
      <c r="H106" s="22" t="n"/>
      <c r="I106" s="22" t="n"/>
      <c r="J106" s="24" t="n"/>
      <c r="K106" s="22" t="n"/>
      <c r="L106" s="23" t="n"/>
    </row>
    <row r="107">
      <c r="A107" s="22" t="n"/>
      <c r="B107" s="24" t="n"/>
      <c r="C107" s="22" t="n"/>
      <c r="D107" s="22" t="n"/>
      <c r="E107" s="23" t="n"/>
      <c r="F107" s="22" t="n"/>
      <c r="G107" s="37" t="n"/>
      <c r="H107" s="22" t="n"/>
      <c r="I107" s="22" t="n"/>
      <c r="J107" s="24" t="n"/>
      <c r="K107" s="22" t="n"/>
      <c r="L107" s="23" t="n"/>
    </row>
    <row r="108">
      <c r="A108" s="22" t="n"/>
      <c r="B108" s="24" t="n"/>
      <c r="C108" s="22" t="n"/>
      <c r="D108" s="22" t="n"/>
      <c r="E108" s="23" t="n"/>
      <c r="F108" s="22" t="n"/>
      <c r="G108" s="37" t="n"/>
      <c r="H108" s="22" t="n"/>
      <c r="I108" s="22" t="n"/>
      <c r="J108" s="24" t="n"/>
      <c r="K108" s="22" t="n"/>
      <c r="L108" s="23" t="n"/>
    </row>
    <row r="109">
      <c r="A109" s="22" t="n"/>
      <c r="B109" s="24" t="n"/>
      <c r="C109" s="22" t="n"/>
      <c r="D109" s="22" t="n"/>
      <c r="E109" s="23" t="n"/>
      <c r="F109" s="22" t="n"/>
      <c r="G109" s="37" t="n"/>
      <c r="H109" s="22" t="n"/>
      <c r="I109" s="22" t="n"/>
      <c r="J109" s="24" t="n"/>
      <c r="K109" s="22" t="n"/>
      <c r="L109" s="23" t="n"/>
    </row>
    <row r="110">
      <c r="A110" s="22" t="n"/>
      <c r="B110" s="24" t="n"/>
      <c r="C110" s="22" t="n"/>
      <c r="D110" s="22" t="n"/>
      <c r="E110" s="23" t="n"/>
      <c r="F110" s="22" t="n"/>
      <c r="G110" s="37" t="n"/>
      <c r="H110" s="22" t="n"/>
      <c r="I110" s="22" t="n"/>
      <c r="J110" s="24" t="n"/>
      <c r="K110" s="22" t="n"/>
      <c r="L110" s="23" t="n"/>
    </row>
    <row r="111">
      <c r="A111" s="22" t="n"/>
      <c r="B111" s="24" t="n"/>
      <c r="C111" s="22" t="n"/>
      <c r="D111" s="22" t="n"/>
      <c r="E111" s="23" t="n"/>
      <c r="F111" s="22" t="n"/>
      <c r="G111" s="37" t="n"/>
      <c r="H111" s="22" t="n"/>
      <c r="I111" s="22" t="n"/>
      <c r="J111" s="24" t="n"/>
      <c r="K111" s="22" t="n"/>
      <c r="L111" s="23" t="n"/>
    </row>
    <row r="112">
      <c r="A112" s="22" t="n"/>
      <c r="B112" s="24" t="n"/>
      <c r="C112" s="22" t="n"/>
      <c r="D112" s="22" t="n"/>
      <c r="E112" s="23" t="n"/>
      <c r="F112" s="22" t="n"/>
      <c r="G112" s="37" t="n"/>
      <c r="H112" s="22" t="n"/>
      <c r="I112" s="22" t="n"/>
      <c r="J112" s="24" t="n"/>
      <c r="K112" s="22" t="n"/>
      <c r="L112" s="23" t="n"/>
    </row>
    <row r="113">
      <c r="A113" s="22" t="n"/>
      <c r="B113" s="24" t="n"/>
      <c r="C113" s="22" t="n"/>
      <c r="D113" s="22" t="n"/>
      <c r="E113" s="23" t="n"/>
      <c r="F113" s="22" t="n"/>
      <c r="G113" s="37" t="n"/>
      <c r="H113" s="22" t="n"/>
      <c r="I113" s="22" t="n"/>
      <c r="J113" s="24" t="n"/>
      <c r="K113" s="22" t="n"/>
      <c r="L113" s="23" t="n"/>
    </row>
    <row r="114">
      <c r="A114" s="22" t="n"/>
      <c r="B114" s="24" t="n"/>
      <c r="C114" s="22" t="n"/>
      <c r="D114" s="22" t="n"/>
      <c r="E114" s="23" t="n"/>
      <c r="F114" s="22" t="n"/>
      <c r="G114" s="37" t="n"/>
      <c r="H114" s="22" t="n"/>
      <c r="I114" s="22" t="n"/>
      <c r="J114" s="24" t="n"/>
      <c r="K114" s="22" t="n"/>
      <c r="L114" s="23" t="n"/>
    </row>
    <row r="115">
      <c r="A115" s="22" t="n"/>
      <c r="B115" s="24" t="n"/>
      <c r="C115" s="22" t="n"/>
      <c r="D115" s="22" t="n"/>
      <c r="E115" s="23" t="n"/>
      <c r="F115" s="22" t="n"/>
      <c r="G115" s="37" t="n"/>
      <c r="H115" s="22" t="n"/>
      <c r="I115" s="22" t="n"/>
      <c r="J115" s="24" t="n"/>
      <c r="K115" s="22" t="n"/>
      <c r="L115" s="23" t="n"/>
    </row>
    <row r="116">
      <c r="A116" s="22" t="n"/>
      <c r="B116" s="24" t="n"/>
      <c r="C116" s="22" t="n"/>
      <c r="D116" s="22" t="n"/>
      <c r="E116" s="23" t="n"/>
      <c r="F116" s="22" t="n"/>
      <c r="G116" s="37" t="n"/>
      <c r="H116" s="22" t="n"/>
      <c r="I116" s="22" t="n"/>
      <c r="J116" s="24" t="n"/>
      <c r="K116" s="22" t="n"/>
      <c r="L116" s="23" t="n"/>
    </row>
    <row r="117">
      <c r="A117" s="22" t="n"/>
      <c r="B117" s="24" t="n"/>
      <c r="C117" s="22" t="n"/>
      <c r="D117" s="22" t="n"/>
      <c r="E117" s="23" t="n"/>
      <c r="F117" s="22" t="n"/>
      <c r="G117" s="37" t="n"/>
      <c r="H117" s="22" t="n"/>
      <c r="I117" s="22" t="n"/>
      <c r="J117" s="24" t="n"/>
      <c r="K117" s="22" t="n"/>
      <c r="L117" s="23" t="n"/>
    </row>
    <row r="118">
      <c r="A118" s="22" t="n"/>
      <c r="B118" s="24" t="n"/>
      <c r="C118" s="22" t="n"/>
      <c r="D118" s="22" t="n"/>
      <c r="E118" s="23" t="n"/>
      <c r="F118" s="22" t="n"/>
      <c r="G118" s="37" t="n"/>
      <c r="H118" s="22" t="n"/>
      <c r="I118" s="22" t="n"/>
      <c r="J118" s="24" t="n"/>
      <c r="K118" s="22" t="n"/>
      <c r="L118" s="23" t="n"/>
    </row>
    <row r="119">
      <c r="A119" s="22" t="n"/>
      <c r="B119" s="24" t="n"/>
      <c r="C119" s="22" t="n"/>
      <c r="D119" s="22" t="n"/>
      <c r="E119" s="23" t="n"/>
      <c r="F119" s="22" t="n"/>
      <c r="G119" s="37" t="n"/>
      <c r="H119" s="22" t="n"/>
      <c r="I119" s="22" t="n"/>
      <c r="J119" s="24" t="n"/>
      <c r="K119" s="22" t="n"/>
      <c r="L119" s="23" t="n"/>
    </row>
    <row r="120">
      <c r="A120" s="22" t="n"/>
      <c r="B120" s="24" t="n"/>
      <c r="C120" s="22" t="n"/>
      <c r="D120" s="22" t="n"/>
      <c r="E120" s="23" t="n"/>
      <c r="F120" s="22" t="n"/>
      <c r="G120" s="37" t="n"/>
      <c r="H120" s="22" t="n"/>
      <c r="I120" s="22" t="n"/>
      <c r="J120" s="24" t="n"/>
      <c r="K120" s="22" t="n"/>
      <c r="L120" s="23" t="n"/>
    </row>
    <row r="121">
      <c r="A121" s="22" t="n"/>
      <c r="B121" s="24" t="n"/>
      <c r="C121" s="22" t="n"/>
      <c r="D121" s="22" t="n"/>
      <c r="E121" s="23" t="n"/>
      <c r="F121" s="22" t="n"/>
      <c r="G121" s="37" t="n"/>
      <c r="H121" s="22" t="n"/>
      <c r="I121" s="22" t="n"/>
      <c r="J121" s="24" t="n"/>
      <c r="K121" s="22" t="n"/>
      <c r="L121" s="23" t="n"/>
    </row>
    <row r="122">
      <c r="A122" s="22" t="n"/>
      <c r="B122" s="24" t="n"/>
      <c r="C122" s="22" t="n"/>
      <c r="D122" s="22" t="n"/>
      <c r="E122" s="23" t="n"/>
      <c r="F122" s="22" t="n"/>
      <c r="G122" s="37" t="n"/>
      <c r="H122" s="22" t="n"/>
      <c r="I122" s="22" t="n"/>
      <c r="J122" s="24" t="n"/>
      <c r="K122" s="22" t="n"/>
      <c r="L122" s="23" t="n"/>
    </row>
    <row r="123">
      <c r="A123" s="22" t="n"/>
      <c r="B123" s="24" t="n"/>
      <c r="C123" s="22" t="n"/>
      <c r="D123" s="22" t="n"/>
      <c r="E123" s="23" t="n"/>
      <c r="F123" s="22" t="n"/>
      <c r="G123" s="37" t="n"/>
      <c r="H123" s="22" t="n"/>
      <c r="I123" s="22" t="n"/>
      <c r="J123" s="24" t="n"/>
      <c r="K123" s="22" t="n"/>
      <c r="L123" s="23" t="n"/>
    </row>
    <row r="124">
      <c r="A124" s="22" t="n"/>
      <c r="B124" s="24" t="n"/>
      <c r="C124" s="22" t="n"/>
      <c r="D124" s="22" t="n"/>
      <c r="E124" s="23" t="n"/>
      <c r="F124" s="22" t="n"/>
      <c r="G124" s="37" t="n"/>
      <c r="H124" s="22" t="n"/>
      <c r="I124" s="22" t="n"/>
      <c r="J124" s="24" t="n"/>
      <c r="K124" s="22" t="n"/>
      <c r="L124" s="23" t="n"/>
    </row>
    <row r="125">
      <c r="A125" s="22" t="n"/>
      <c r="B125" s="24" t="n"/>
      <c r="C125" s="22" t="n"/>
      <c r="D125" s="22" t="n"/>
      <c r="E125" s="23" t="n"/>
      <c r="F125" s="22" t="n"/>
      <c r="G125" s="37" t="n"/>
      <c r="H125" s="22" t="n"/>
      <c r="I125" s="22" t="n"/>
      <c r="J125" s="24" t="n"/>
      <c r="K125" s="22" t="n"/>
      <c r="L125" s="23" t="n"/>
    </row>
    <row r="126">
      <c r="A126" s="22" t="n"/>
      <c r="B126" s="24" t="n"/>
      <c r="C126" s="22" t="n"/>
      <c r="D126" s="22" t="n"/>
      <c r="E126" s="23" t="n"/>
      <c r="F126" s="22" t="n"/>
      <c r="G126" s="37" t="n"/>
      <c r="H126" s="22" t="n"/>
      <c r="I126" s="22" t="n"/>
      <c r="J126" s="24" t="n"/>
      <c r="K126" s="22" t="n"/>
      <c r="L126" s="23" t="n"/>
    </row>
    <row r="127">
      <c r="A127" s="22" t="n"/>
      <c r="B127" s="24" t="n"/>
      <c r="C127" s="22" t="n"/>
      <c r="D127" s="22" t="n"/>
      <c r="E127" s="23" t="n"/>
      <c r="F127" s="22" t="n"/>
      <c r="G127" s="37" t="n"/>
      <c r="H127" s="22" t="n"/>
      <c r="I127" s="22" t="n"/>
      <c r="J127" s="24" t="n"/>
      <c r="K127" s="22" t="n"/>
      <c r="L127" s="23" t="n"/>
    </row>
    <row r="128">
      <c r="A128" s="22" t="n"/>
      <c r="B128" s="24" t="n"/>
      <c r="C128" s="22" t="n"/>
      <c r="D128" s="22" t="n"/>
      <c r="E128" s="23" t="n"/>
      <c r="F128" s="22" t="n"/>
      <c r="G128" s="37" t="n"/>
      <c r="H128" s="22" t="n"/>
      <c r="I128" s="22" t="n"/>
      <c r="J128" s="24" t="n"/>
      <c r="K128" s="22" t="n"/>
      <c r="L128" s="23" t="n"/>
    </row>
    <row r="129">
      <c r="A129" s="22" t="n"/>
      <c r="B129" s="24" t="n"/>
      <c r="C129" s="22" t="n"/>
      <c r="D129" s="22" t="n"/>
      <c r="E129" s="23" t="n"/>
      <c r="F129" s="22" t="n"/>
      <c r="G129" s="37" t="n"/>
      <c r="H129" s="22" t="n"/>
      <c r="I129" s="22" t="n"/>
      <c r="J129" s="24" t="n"/>
      <c r="K129" s="22" t="n"/>
      <c r="L129" s="23" t="n"/>
    </row>
    <row r="130">
      <c r="A130" s="22" t="n"/>
      <c r="B130" s="24" t="n"/>
      <c r="C130" s="22" t="n"/>
      <c r="D130" s="22" t="n"/>
      <c r="E130" s="23" t="n"/>
      <c r="F130" s="22" t="n"/>
      <c r="G130" s="37" t="n"/>
      <c r="H130" s="22" t="n"/>
      <c r="I130" s="22" t="n"/>
      <c r="J130" s="24" t="n"/>
      <c r="K130" s="22" t="n"/>
      <c r="L130" s="23" t="n"/>
    </row>
    <row r="131">
      <c r="A131" s="22" t="n"/>
      <c r="B131" s="24" t="n"/>
      <c r="C131" s="22" t="n"/>
      <c r="D131" s="22" t="n"/>
      <c r="E131" s="23" t="n"/>
      <c r="F131" s="22" t="n"/>
      <c r="G131" s="37" t="n"/>
      <c r="H131" s="22" t="n"/>
      <c r="I131" s="22" t="n"/>
      <c r="J131" s="24" t="n"/>
      <c r="K131" s="22" t="n"/>
      <c r="L131" s="23" t="n"/>
    </row>
    <row r="132">
      <c r="A132" s="22" t="n"/>
      <c r="B132" s="24" t="n"/>
      <c r="C132" s="22" t="n"/>
      <c r="D132" s="22" t="n"/>
      <c r="E132" s="23" t="n"/>
      <c r="F132" s="22" t="n"/>
      <c r="G132" s="37" t="n"/>
      <c r="H132" s="22" t="n"/>
      <c r="I132" s="22" t="n"/>
      <c r="J132" s="24" t="n"/>
      <c r="K132" s="22" t="n"/>
      <c r="L132" s="23" t="n"/>
    </row>
    <row r="133">
      <c r="A133" s="22" t="n"/>
      <c r="B133" s="24" t="n"/>
      <c r="C133" s="22" t="n"/>
      <c r="D133" s="22" t="n"/>
      <c r="E133" s="23" t="n"/>
      <c r="F133" s="22" t="n"/>
      <c r="G133" s="37" t="n"/>
      <c r="H133" s="22" t="n"/>
      <c r="I133" s="22" t="n"/>
      <c r="J133" s="24" t="n"/>
      <c r="K133" s="22" t="n"/>
      <c r="L133" s="23" t="n"/>
    </row>
    <row r="134">
      <c r="A134" s="22" t="n"/>
      <c r="B134" s="24" t="n"/>
      <c r="C134" s="22" t="n"/>
      <c r="D134" s="22" t="n"/>
      <c r="E134" s="23" t="n"/>
      <c r="F134" s="22" t="n"/>
      <c r="G134" s="37" t="n"/>
      <c r="H134" s="22" t="n"/>
      <c r="I134" s="22" t="n"/>
      <c r="J134" s="24" t="n"/>
      <c r="K134" s="22" t="n"/>
      <c r="L134" s="23" t="n"/>
    </row>
    <row r="135">
      <c r="A135" s="22" t="n"/>
      <c r="B135" s="24" t="n"/>
      <c r="C135" s="22" t="n"/>
      <c r="D135" s="22" t="n"/>
      <c r="E135" s="23" t="n"/>
      <c r="F135" s="22" t="n"/>
      <c r="G135" s="37" t="n"/>
      <c r="H135" s="22" t="n"/>
      <c r="I135" s="22" t="n"/>
      <c r="J135" s="24" t="n"/>
      <c r="K135" s="22" t="n"/>
      <c r="L135" s="23" t="n"/>
    </row>
    <row r="136">
      <c r="A136" s="22" t="n"/>
      <c r="B136" s="24" t="n"/>
      <c r="C136" s="22" t="n"/>
      <c r="D136" s="22" t="n"/>
      <c r="E136" s="23" t="n"/>
      <c r="F136" s="22" t="n"/>
      <c r="G136" s="37" t="n"/>
      <c r="H136" s="22" t="n"/>
      <c r="I136" s="22" t="n"/>
      <c r="J136" s="24" t="n"/>
      <c r="K136" s="22" t="n"/>
      <c r="L136" s="23" t="n"/>
    </row>
    <row r="137">
      <c r="A137" s="22" t="n"/>
      <c r="B137" s="24" t="n"/>
      <c r="C137" s="22" t="n"/>
      <c r="D137" s="22" t="n"/>
      <c r="E137" s="23" t="n"/>
      <c r="F137" s="22" t="n"/>
      <c r="G137" s="37" t="n"/>
      <c r="H137" s="22" t="n"/>
      <c r="I137" s="22" t="n"/>
      <c r="J137" s="24" t="n"/>
      <c r="K137" s="22" t="n"/>
      <c r="L137" s="23" t="n"/>
    </row>
    <row r="138">
      <c r="A138" s="22" t="n"/>
      <c r="B138" s="24" t="n"/>
      <c r="C138" s="22" t="n"/>
      <c r="D138" s="22" t="n"/>
      <c r="E138" s="23" t="n"/>
      <c r="F138" s="22" t="n"/>
      <c r="G138" s="37" t="n"/>
      <c r="H138" s="22" t="n"/>
      <c r="I138" s="22" t="n"/>
      <c r="J138" s="24" t="n"/>
      <c r="K138" s="22" t="n"/>
      <c r="L138" s="23" t="n"/>
    </row>
    <row r="139">
      <c r="A139" s="22" t="n"/>
      <c r="B139" s="24" t="n"/>
      <c r="C139" s="22" t="n"/>
      <c r="D139" s="22" t="n"/>
      <c r="E139" s="23" t="n"/>
      <c r="F139" s="22" t="n"/>
      <c r="G139" s="37" t="n"/>
      <c r="H139" s="22" t="n"/>
      <c r="I139" s="22" t="n"/>
      <c r="J139" s="24" t="n"/>
      <c r="K139" s="22" t="n"/>
      <c r="L139" s="23" t="n"/>
    </row>
    <row r="140">
      <c r="A140" s="22" t="n"/>
      <c r="B140" s="24" t="n"/>
      <c r="C140" s="22" t="n"/>
      <c r="D140" s="22" t="n"/>
      <c r="E140" s="23" t="n"/>
      <c r="F140" s="22" t="n"/>
      <c r="G140" s="37" t="n"/>
      <c r="H140" s="22" t="n"/>
      <c r="I140" s="22" t="n"/>
      <c r="J140" s="24" t="n"/>
      <c r="K140" s="22" t="n"/>
      <c r="L140" s="23" t="n"/>
    </row>
    <row r="141">
      <c r="A141" s="22" t="n"/>
      <c r="B141" s="24" t="n"/>
      <c r="C141" s="22" t="n"/>
      <c r="D141" s="22" t="n"/>
      <c r="E141" s="23" t="n"/>
      <c r="F141" s="22" t="n"/>
      <c r="G141" s="37" t="n"/>
      <c r="H141" s="22" t="n"/>
      <c r="I141" s="22" t="n"/>
      <c r="J141" s="24" t="n"/>
      <c r="K141" s="22" t="n"/>
      <c r="L141" s="23" t="n"/>
    </row>
    <row r="142">
      <c r="A142" s="22" t="n"/>
      <c r="B142" s="24" t="n"/>
      <c r="C142" s="22" t="n"/>
      <c r="D142" s="22" t="n"/>
      <c r="E142" s="23" t="n"/>
      <c r="F142" s="22" t="n"/>
      <c r="G142" s="37" t="n"/>
      <c r="H142" s="22" t="n"/>
      <c r="I142" s="22" t="n"/>
      <c r="J142" s="24" t="n"/>
      <c r="K142" s="22" t="n"/>
      <c r="L142" s="23" t="n"/>
    </row>
    <row r="143">
      <c r="A143" s="22" t="n"/>
      <c r="B143" s="24" t="n"/>
      <c r="C143" s="22" t="n"/>
      <c r="D143" s="22" t="n"/>
      <c r="E143" s="23" t="n"/>
      <c r="F143" s="22" t="n"/>
      <c r="G143" s="37" t="n"/>
      <c r="H143" s="22" t="n"/>
      <c r="I143" s="22" t="n"/>
      <c r="J143" s="24" t="n"/>
      <c r="K143" s="22" t="n"/>
      <c r="L143" s="23" t="n"/>
    </row>
    <row r="144">
      <c r="A144" s="22" t="n"/>
      <c r="B144" s="24" t="n"/>
      <c r="C144" s="22" t="n"/>
      <c r="D144" s="22" t="n"/>
      <c r="E144" s="23" t="n"/>
      <c r="F144" s="22" t="n"/>
      <c r="G144" s="37" t="n"/>
      <c r="H144" s="22" t="n"/>
      <c r="I144" s="22" t="n"/>
      <c r="J144" s="24" t="n"/>
      <c r="K144" s="22" t="n"/>
      <c r="L144" s="23" t="n"/>
    </row>
    <row r="145">
      <c r="A145" s="22" t="n"/>
      <c r="B145" s="24" t="n"/>
      <c r="C145" s="22" t="n"/>
      <c r="D145" s="22" t="n"/>
      <c r="E145" s="23" t="n"/>
      <c r="F145" s="22" t="n"/>
      <c r="G145" s="37" t="n"/>
      <c r="H145" s="22" t="n"/>
      <c r="I145" s="22" t="n"/>
      <c r="J145" s="24" t="n"/>
      <c r="K145" s="22" t="n"/>
      <c r="L145" s="23" t="n"/>
    </row>
    <row r="146">
      <c r="A146" s="22" t="n"/>
      <c r="B146" s="24" t="n"/>
      <c r="C146" s="22" t="n"/>
      <c r="D146" s="22" t="n"/>
      <c r="E146" s="23" t="n"/>
      <c r="F146" s="22" t="n"/>
      <c r="G146" s="37" t="n"/>
      <c r="H146" s="22" t="n"/>
      <c r="I146" s="22" t="n"/>
      <c r="J146" s="24" t="n"/>
      <c r="K146" s="22" t="n"/>
      <c r="L146" s="23" t="n"/>
    </row>
    <row r="147">
      <c r="A147" s="22" t="n"/>
      <c r="B147" s="24" t="n"/>
      <c r="C147" s="22" t="n"/>
      <c r="D147" s="22" t="n"/>
      <c r="E147" s="23" t="n"/>
      <c r="F147" s="22" t="n"/>
      <c r="G147" s="37" t="n"/>
      <c r="H147" s="22" t="n"/>
      <c r="I147" s="22" t="n"/>
      <c r="J147" s="24" t="n"/>
      <c r="K147" s="22" t="n"/>
      <c r="L147" s="23" t="n"/>
    </row>
    <row r="148">
      <c r="A148" s="22" t="n"/>
      <c r="B148" s="24" t="n"/>
      <c r="C148" s="22" t="n"/>
      <c r="D148" s="22" t="n"/>
      <c r="E148" s="23" t="n"/>
      <c r="F148" s="22" t="n"/>
      <c r="G148" s="37" t="n"/>
      <c r="H148" s="22" t="n"/>
      <c r="I148" s="22" t="n"/>
      <c r="J148" s="24" t="n"/>
      <c r="K148" s="22" t="n"/>
      <c r="L148" s="23" t="n"/>
    </row>
    <row r="149">
      <c r="A149" s="22" t="n"/>
      <c r="B149" s="24" t="n"/>
      <c r="C149" s="22" t="n"/>
      <c r="D149" s="22" t="n"/>
      <c r="E149" s="23" t="n"/>
      <c r="F149" s="22" t="n"/>
      <c r="G149" s="37" t="n"/>
      <c r="H149" s="22" t="n"/>
      <c r="I149" s="22" t="n"/>
      <c r="J149" s="24" t="n"/>
      <c r="K149" s="22" t="n"/>
      <c r="L149" s="23" t="n"/>
    </row>
    <row r="150">
      <c r="A150" s="22" t="n"/>
      <c r="B150" s="24" t="n"/>
      <c r="C150" s="22" t="n"/>
      <c r="D150" s="22" t="n"/>
      <c r="E150" s="23" t="n"/>
      <c r="F150" s="22" t="n"/>
      <c r="G150" s="37" t="n"/>
      <c r="H150" s="22" t="n"/>
      <c r="I150" s="22" t="n"/>
      <c r="J150" s="24" t="n"/>
      <c r="K150" s="22" t="n"/>
      <c r="L150" s="23" t="n"/>
    </row>
    <row r="151">
      <c r="A151" s="22" t="n"/>
      <c r="B151" s="24" t="n"/>
      <c r="C151" s="22" t="n"/>
      <c r="D151" s="22" t="n"/>
      <c r="E151" s="23" t="n"/>
      <c r="F151" s="22" t="n"/>
      <c r="G151" s="37" t="n"/>
      <c r="H151" s="22" t="n"/>
      <c r="I151" s="22" t="n"/>
      <c r="J151" s="24" t="n"/>
      <c r="K151" s="22" t="n"/>
      <c r="L151" s="23" t="n"/>
    </row>
    <row r="152">
      <c r="A152" s="22" t="n"/>
      <c r="B152" s="24" t="n"/>
      <c r="C152" s="22" t="n"/>
      <c r="D152" s="22" t="n"/>
      <c r="E152" s="23" t="n"/>
      <c r="F152" s="22" t="n"/>
      <c r="G152" s="37" t="n"/>
      <c r="H152" s="22" t="n"/>
      <c r="I152" s="22" t="n"/>
      <c r="J152" s="24" t="n"/>
      <c r="K152" s="22" t="n"/>
      <c r="L152" s="23" t="n"/>
    </row>
    <row r="153">
      <c r="A153" s="22" t="n"/>
      <c r="B153" s="24" t="n"/>
      <c r="C153" s="22" t="n"/>
      <c r="D153" s="22" t="n"/>
      <c r="E153" s="23" t="n"/>
      <c r="F153" s="22" t="n"/>
      <c r="G153" s="37" t="n"/>
      <c r="H153" s="22" t="n"/>
      <c r="I153" s="22" t="n"/>
      <c r="J153" s="24" t="n"/>
      <c r="K153" s="22" t="n"/>
      <c r="L153" s="23" t="n"/>
    </row>
  </sheetData>
  <sheetProtection selectLockedCells="0" selectUnlockedCells="0" sheet="1" objects="0" insertRows="0" insertHyperlinks="0" autoFilter="0" scenarios="0" formatColumns="0" deleteColumns="1" insertColumns="1" pivotTables="1" deleteRows="0" formatCells="0" formatRows="0" sort="0"/>
  <autoFilter ref="A3:L153"/>
  <conditionalFormatting sqref="I4:I153">
    <cfRule type="cellIs" priority="1" operator="equal" dxfId="1">
      <formula>"Pending"</formula>
    </cfRule>
  </conditionalFormatting>
  <dataValidations count="3">
    <dataValidation sqref="C4:C153" showDropDown="0" showInputMessage="0" showErrorMessage="0" allowBlank="1" error="Pick a value from the list." type="list" errorStyle="warning">
      <formula1>='Packages'!$B$4:$B$33</formula1>
    </dataValidation>
    <dataValidation sqref="F4:F153" showDropDown="0" showInputMessage="0" showErrorMessage="0" allowBlank="1" error="Pick a value from the list." type="list" errorStyle="warning">
      <formula1>=Lists!$Q$2:$Q$6</formula1>
    </dataValidation>
    <dataValidation sqref="I4:I153" showDropDown="0" showInputMessage="0" showErrorMessage="0" allowBlank="1" error="Pick a value from the list." type="list" errorStyle="warning">
      <formula1>=Lists!$P$2:$P$4</formula1>
    </dataValidation>
  </dataValidation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M51"/>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1" customWidth="1" min="1" max="1"/>
    <col width="40" customWidth="1" min="2" max="2"/>
    <col width="18" customWidth="1" min="3" max="3"/>
    <col width="22" customWidth="1" min="4" max="4"/>
    <col width="22" customWidth="1" min="5" max="5"/>
    <col width="8" customWidth="1" min="6" max="6"/>
    <col width="12" customWidth="1" min="7" max="7"/>
    <col width="12" customWidth="1" min="8" max="8"/>
    <col width="12" customWidth="1" min="9" max="9"/>
    <col width="10" customWidth="1" min="10" max="10"/>
    <col width="14" customWidth="1" min="11" max="11"/>
    <col width="14" customWidth="1" min="12" max="12"/>
    <col width="30" customWidth="1" min="13" max="13"/>
  </cols>
  <sheetData>
    <row r="1" ht="24" customHeight="1">
      <c r="A1" s="1" t="inlineStr">
        <is>
          <t>Inspections &amp; certificates</t>
        </is>
      </c>
    </row>
    <row r="2">
      <c r="A2" s="2" t="inlineStr">
        <is>
          <t>Mandatory inspections and the certificates the building surveyor needs at final. A missing certificate is the most common reason a final is delayed.</t>
        </is>
      </c>
    </row>
    <row r="3" ht="32" customHeight="1">
      <c r="A3" s="20" t="inlineStr">
        <is>
          <t>Type</t>
        </is>
      </c>
      <c r="B3" s="20" t="inlineStr">
        <is>
          <t>Inspection / certificate</t>
        </is>
      </c>
      <c r="C3" s="20" t="inlineStr">
        <is>
          <t>Standard / law</t>
        </is>
      </c>
      <c r="D3" s="20" t="inlineStr">
        <is>
          <t>Who provides it</t>
        </is>
      </c>
      <c r="E3" s="20" t="inlineStr">
        <is>
          <t>Package</t>
        </is>
      </c>
      <c r="F3" s="20" t="inlineStr">
        <is>
          <t>Gateway</t>
        </is>
      </c>
      <c r="G3" s="20" t="inlineStr">
        <is>
          <t>Requirement</t>
        </is>
      </c>
      <c r="H3" s="20" t="inlineStr">
        <is>
          <t>Booked / requested</t>
        </is>
      </c>
      <c r="I3" s="20" t="inlineStr">
        <is>
          <t>Passed / received</t>
        </is>
      </c>
      <c r="J3" s="20" t="inlineStr">
        <is>
          <t>Result</t>
        </is>
      </c>
      <c r="K3" s="20" t="inlineStr">
        <is>
          <t>Reference no.</t>
        </is>
      </c>
      <c r="L3" s="20" t="inlineStr">
        <is>
          <t>Doc ID</t>
        </is>
      </c>
      <c r="M3" s="20" t="inlineStr">
        <is>
          <t>Notes</t>
        </is>
      </c>
    </row>
    <row r="4">
      <c r="A4" s="22" t="inlineStr">
        <is>
          <t>Inspection</t>
        </is>
      </c>
      <c r="B4" s="23" t="inlineStr">
        <is>
          <t>Footings (before placing footings)</t>
        </is>
      </c>
      <c r="C4" s="22" t="inlineStr">
        <is>
          <t>Building permit</t>
        </is>
      </c>
      <c r="D4" s="22" t="inlineStr">
        <is>
          <t>Relevant building surveyor</t>
        </is>
      </c>
      <c r="E4" s="22" t="inlineStr">
        <is>
          <t>04 Concreter</t>
        </is>
      </c>
      <c r="F4" s="22" t="inlineStr">
        <is>
          <t>G4</t>
        </is>
      </c>
      <c r="G4" s="22" t="inlineStr">
        <is>
          <t>Must</t>
        </is>
      </c>
      <c r="H4" s="24" t="n"/>
      <c r="I4" s="24" t="n"/>
      <c r="J4" s="22" t="inlineStr">
        <is>
          <t>Pending</t>
        </is>
      </c>
      <c r="K4" s="22" t="n"/>
      <c r="L4" s="22" t="n"/>
      <c r="M4" s="23" t="n"/>
    </row>
    <row r="5">
      <c r="A5" s="22" t="inlineStr">
        <is>
          <t>Inspection</t>
        </is>
      </c>
      <c r="B5" s="23" t="inlineStr">
        <is>
          <t>Pre-slab (before pouring)</t>
        </is>
      </c>
      <c r="C5" s="22" t="inlineStr">
        <is>
          <t>Building permit</t>
        </is>
      </c>
      <c r="D5" s="22" t="inlineStr">
        <is>
          <t>Relevant building surveyor</t>
        </is>
      </c>
      <c r="E5" s="22" t="inlineStr">
        <is>
          <t>04 Concreter</t>
        </is>
      </c>
      <c r="F5" s="22" t="inlineStr">
        <is>
          <t>G4</t>
        </is>
      </c>
      <c r="G5" s="22" t="inlineStr">
        <is>
          <t>Must</t>
        </is>
      </c>
      <c r="H5" s="24" t="n"/>
      <c r="I5" s="24" t="n"/>
      <c r="J5" s="22" t="inlineStr">
        <is>
          <t>Pending</t>
        </is>
      </c>
      <c r="K5" s="22" t="n"/>
      <c r="L5" s="22" t="n"/>
      <c r="M5" s="23" t="n"/>
    </row>
    <row r="6">
      <c r="A6" s="22" t="inlineStr">
        <is>
          <t>Inspection</t>
        </is>
      </c>
      <c r="B6" s="23" t="inlineStr">
        <is>
          <t>Frame</t>
        </is>
      </c>
      <c r="C6" s="22" t="inlineStr">
        <is>
          <t>Building permit</t>
        </is>
      </c>
      <c r="D6" s="22" t="inlineStr">
        <is>
          <t>Relevant building surveyor</t>
        </is>
      </c>
      <c r="E6" s="22" t="inlineStr">
        <is>
          <t>07 Carpenter (frame)</t>
        </is>
      </c>
      <c r="F6" s="22" t="inlineStr">
        <is>
          <t>G5</t>
        </is>
      </c>
      <c r="G6" s="22" t="inlineStr">
        <is>
          <t>Must</t>
        </is>
      </c>
      <c r="H6" s="24" t="n"/>
      <c r="I6" s="24" t="n"/>
      <c r="J6" s="22" t="inlineStr">
        <is>
          <t>Pending</t>
        </is>
      </c>
      <c r="K6" s="22" t="n"/>
      <c r="L6" s="22" t="n"/>
      <c r="M6" s="23" t="n"/>
    </row>
    <row r="7">
      <c r="A7" s="22" t="inlineStr">
        <is>
          <t>Inspection</t>
        </is>
      </c>
      <c r="B7" s="23" t="inlineStr">
        <is>
          <t>Other stage listed on your permit (e.g. pre-plaster, retaining wall)</t>
        </is>
      </c>
      <c r="C7" s="22" t="inlineStr">
        <is>
          <t>Building permit</t>
        </is>
      </c>
      <c r="D7" s="22" t="inlineStr">
        <is>
          <t>Relevant building surveyor</t>
        </is>
      </c>
      <c r="E7" s="22" t="inlineStr"/>
      <c r="F7" s="22" t="inlineStr">
        <is>
          <t>G5</t>
        </is>
      </c>
      <c r="G7" s="22" t="inlineStr">
        <is>
          <t>If applies</t>
        </is>
      </c>
      <c r="H7" s="24" t="n"/>
      <c r="I7" s="24" t="n"/>
      <c r="J7" s="22" t="inlineStr">
        <is>
          <t>Pending</t>
        </is>
      </c>
      <c r="K7" s="22" t="n"/>
      <c r="L7" s="22" t="n"/>
      <c r="M7" s="23" t="n"/>
    </row>
    <row r="8">
      <c r="A8" s="22" t="inlineStr">
        <is>
          <t>Inspection</t>
        </is>
      </c>
      <c r="B8" s="23" t="inlineStr">
        <is>
          <t>Final inspection</t>
        </is>
      </c>
      <c r="C8" s="22" t="inlineStr">
        <is>
          <t>Building permit</t>
        </is>
      </c>
      <c r="D8" s="22" t="inlineStr">
        <is>
          <t>Relevant building surveyor</t>
        </is>
      </c>
      <c r="E8" s="22" t="inlineStr"/>
      <c r="F8" s="22" t="inlineStr">
        <is>
          <t>G7</t>
        </is>
      </c>
      <c r="G8" s="22" t="inlineStr">
        <is>
          <t>Must</t>
        </is>
      </c>
      <c r="H8" s="24" t="n"/>
      <c r="I8" s="24" t="n"/>
      <c r="J8" s="22" t="inlineStr">
        <is>
          <t>Pending</t>
        </is>
      </c>
      <c r="K8" s="22" t="n"/>
      <c r="L8" s="22" t="n"/>
      <c r="M8" s="23" t="n"/>
    </row>
    <row r="9">
      <c r="A9" s="22" t="inlineStr">
        <is>
          <t>Certificate</t>
        </is>
      </c>
      <c r="B9" s="23" t="inlineStr">
        <is>
          <t>Set-out certificate</t>
        </is>
      </c>
      <c r="C9" s="22" t="inlineStr"/>
      <c r="D9" s="22" t="inlineStr">
        <is>
          <t>Licensed land surveyor</t>
        </is>
      </c>
      <c r="E9" s="22" t="inlineStr">
        <is>
          <t>01 Surveyor</t>
        </is>
      </c>
      <c r="F9" s="22" t="inlineStr">
        <is>
          <t>G4</t>
        </is>
      </c>
      <c r="G9" s="22" t="inlineStr">
        <is>
          <t>Best practice</t>
        </is>
      </c>
      <c r="H9" s="24" t="n"/>
      <c r="I9" s="24" t="n"/>
      <c r="J9" s="22" t="inlineStr">
        <is>
          <t>Pending</t>
        </is>
      </c>
      <c r="K9" s="22" t="n"/>
      <c r="L9" s="22" t="n"/>
      <c r="M9" s="23" t="n"/>
    </row>
    <row r="10">
      <c r="A10" s="22" t="inlineStr">
        <is>
          <t>Certificate</t>
        </is>
      </c>
      <c r="B10" s="23" t="inlineStr">
        <is>
          <t>Engineer pour approval / footing sign-off</t>
        </is>
      </c>
      <c r="C10" s="22" t="inlineStr">
        <is>
          <t>AS 2870</t>
        </is>
      </c>
      <c r="D10" s="22" t="inlineStr">
        <is>
          <t>Structural engineer</t>
        </is>
      </c>
      <c r="E10" s="22" t="inlineStr">
        <is>
          <t>04 Concreter</t>
        </is>
      </c>
      <c r="F10" s="22" t="inlineStr">
        <is>
          <t>G4</t>
        </is>
      </c>
      <c r="G10" s="22" t="inlineStr">
        <is>
          <t>If applies</t>
        </is>
      </c>
      <c r="H10" s="24" t="n"/>
      <c r="I10" s="24" t="n"/>
      <c r="J10" s="22" t="inlineStr">
        <is>
          <t>Pending</t>
        </is>
      </c>
      <c r="K10" s="22" t="n"/>
      <c r="L10" s="22" t="n"/>
      <c r="M10" s="23" t="n"/>
    </row>
    <row r="11">
      <c r="A11" s="22" t="inlineStr">
        <is>
          <t>Certificate</t>
        </is>
      </c>
      <c r="B11" s="23" t="inlineStr">
        <is>
          <t>Plumbing compliance certificate: drainage &amp; sewer</t>
        </is>
      </c>
      <c r="C11" s="22" t="inlineStr">
        <is>
          <t>Building Act 1993</t>
        </is>
      </c>
      <c r="D11" s="22" t="inlineStr">
        <is>
          <t>Licensed plumber</t>
        </is>
      </c>
      <c r="E11" s="22" t="inlineStr">
        <is>
          <t>03 Plumbing &amp; drainage</t>
        </is>
      </c>
      <c r="F11" s="22" t="inlineStr">
        <is>
          <t>G4</t>
        </is>
      </c>
      <c r="G11" s="22" t="inlineStr">
        <is>
          <t>Must</t>
        </is>
      </c>
      <c r="H11" s="24" t="n"/>
      <c r="I11" s="24" t="n"/>
      <c r="J11" s="22" t="inlineStr">
        <is>
          <t>Pending</t>
        </is>
      </c>
      <c r="K11" s="22" t="n"/>
      <c r="L11" s="22" t="n"/>
      <c r="M11" s="23" t="n"/>
    </row>
    <row r="12">
      <c r="A12" s="22" t="inlineStr">
        <is>
          <t>Certificate</t>
        </is>
      </c>
      <c r="B12" s="23" t="inlineStr">
        <is>
          <t>Termite management certificate &amp; durable notice</t>
        </is>
      </c>
      <c r="C12" s="22" t="inlineStr">
        <is>
          <t>AS 3660.1</t>
        </is>
      </c>
      <c r="D12" s="22" t="inlineStr">
        <is>
          <t>Licensed pest controller</t>
        </is>
      </c>
      <c r="E12" s="22" t="inlineStr">
        <is>
          <t>05 Termite management</t>
        </is>
      </c>
      <c r="F12" s="22" t="inlineStr">
        <is>
          <t>G4</t>
        </is>
      </c>
      <c r="G12" s="22" t="inlineStr">
        <is>
          <t>Must</t>
        </is>
      </c>
      <c r="H12" s="24" t="n"/>
      <c r="I12" s="24" t="n"/>
      <c r="J12" s="22" t="inlineStr">
        <is>
          <t>Pending</t>
        </is>
      </c>
      <c r="K12" s="22" t="n"/>
      <c r="L12" s="22" t="n"/>
      <c r="M12" s="23" t="n"/>
    </row>
    <row r="13">
      <c r="A13" s="22" t="inlineStr">
        <is>
          <t>Certificate</t>
        </is>
      </c>
      <c r="B13" s="23" t="inlineStr">
        <is>
          <t>Frame &amp; truss design certificates, bracing plan</t>
        </is>
      </c>
      <c r="C13" s="22" t="inlineStr">
        <is>
          <t>AS 1684 / AS 4440</t>
        </is>
      </c>
      <c r="D13" s="22" t="inlineStr">
        <is>
          <t>Frame &amp; truss supplier</t>
        </is>
      </c>
      <c r="E13" s="22" t="inlineStr">
        <is>
          <t>06 Frame &amp; truss supply</t>
        </is>
      </c>
      <c r="F13" s="22" t="inlineStr">
        <is>
          <t>G5</t>
        </is>
      </c>
      <c r="G13" s="22" t="inlineStr">
        <is>
          <t>Must</t>
        </is>
      </c>
      <c r="H13" s="24" t="n"/>
      <c r="I13" s="24" t="n"/>
      <c r="J13" s="22" t="inlineStr">
        <is>
          <t>Pending</t>
        </is>
      </c>
      <c r="K13" s="22" t="n"/>
      <c r="L13" s="22" t="n"/>
      <c r="M13" s="23" t="n"/>
    </row>
    <row r="14">
      <c r="A14" s="22" t="inlineStr">
        <is>
          <t>Certificate</t>
        </is>
      </c>
      <c r="B14" s="23" t="inlineStr">
        <is>
          <t>Plumbing compliance certificate: roofing</t>
        </is>
      </c>
      <c r="C14" s="22" t="inlineStr">
        <is>
          <t>AS/NZS 3500.3</t>
        </is>
      </c>
      <c r="D14" s="22" t="inlineStr">
        <is>
          <t>Licensed roof plumber</t>
        </is>
      </c>
      <c r="E14" s="22" t="inlineStr">
        <is>
          <t>08 Roofing</t>
        </is>
      </c>
      <c r="F14" s="22" t="inlineStr">
        <is>
          <t>G5</t>
        </is>
      </c>
      <c r="G14" s="22" t="inlineStr">
        <is>
          <t>Must</t>
        </is>
      </c>
      <c r="H14" s="24" t="n"/>
      <c r="I14" s="24" t="n"/>
      <c r="J14" s="22" t="inlineStr">
        <is>
          <t>Pending</t>
        </is>
      </c>
      <c r="K14" s="22" t="n"/>
      <c r="L14" s="22" t="n"/>
      <c r="M14" s="23" t="n"/>
    </row>
    <row r="15">
      <c r="A15" s="22" t="inlineStr">
        <is>
          <t>Certificate</t>
        </is>
      </c>
      <c r="B15" s="23" t="inlineStr">
        <is>
          <t>Glazing certificate &amp; energy labels (WERS)</t>
        </is>
      </c>
      <c r="C15" s="22" t="inlineStr">
        <is>
          <t>AS 2047 / AS 1288</t>
        </is>
      </c>
      <c r="D15" s="22" t="inlineStr">
        <is>
          <t>Window supplier / glazier</t>
        </is>
      </c>
      <c r="E15" s="22" t="inlineStr">
        <is>
          <t>09 Windows &amp; external doors</t>
        </is>
      </c>
      <c r="F15" s="22" t="inlineStr">
        <is>
          <t>G5</t>
        </is>
      </c>
      <c r="G15" s="22" t="inlineStr">
        <is>
          <t>Must</t>
        </is>
      </c>
      <c r="H15" s="24" t="n"/>
      <c r="I15" s="24" t="n"/>
      <c r="J15" s="22" t="inlineStr">
        <is>
          <t>Pending</t>
        </is>
      </c>
      <c r="K15" s="22" t="n"/>
      <c r="L15" s="22" t="n"/>
      <c r="M15" s="23" t="n"/>
    </row>
    <row r="16">
      <c r="A16" s="22" t="inlineStr">
        <is>
          <t>Certificate</t>
        </is>
      </c>
      <c r="B16" s="23" t="inlineStr">
        <is>
          <t>Plumbing compliance certificate: rough-in</t>
        </is>
      </c>
      <c r="C16" s="22" t="inlineStr">
        <is>
          <t>Building Act 1993</t>
        </is>
      </c>
      <c r="D16" s="22" t="inlineStr">
        <is>
          <t>Licensed plumber</t>
        </is>
      </c>
      <c r="E16" s="22" t="inlineStr">
        <is>
          <t>03 Plumbing &amp; drainage</t>
        </is>
      </c>
      <c r="F16" s="22" t="inlineStr">
        <is>
          <t>G5</t>
        </is>
      </c>
      <c r="G16" s="22" t="inlineStr">
        <is>
          <t>Must</t>
        </is>
      </c>
      <c r="H16" s="24" t="n"/>
      <c r="I16" s="24" t="n"/>
      <c r="J16" s="22" t="inlineStr">
        <is>
          <t>Pending</t>
        </is>
      </c>
      <c r="K16" s="22" t="n"/>
      <c r="L16" s="22" t="n"/>
      <c r="M16" s="23" t="n"/>
    </row>
    <row r="17">
      <c r="A17" s="22" t="inlineStr">
        <is>
          <t>Certificate</t>
        </is>
      </c>
      <c r="B17" s="23" t="inlineStr">
        <is>
          <t>Insulation certificate (R-values per energy report)</t>
        </is>
      </c>
      <c r="C17" s="22" t="inlineStr">
        <is>
          <t>NCC 2022</t>
        </is>
      </c>
      <c r="D17" s="22" t="inlineStr">
        <is>
          <t>Insulation installer</t>
        </is>
      </c>
      <c r="E17" s="22" t="inlineStr">
        <is>
          <t>12 Insulation</t>
        </is>
      </c>
      <c r="F17" s="22" t="inlineStr">
        <is>
          <t>G5</t>
        </is>
      </c>
      <c r="G17" s="22" t="inlineStr">
        <is>
          <t>Must</t>
        </is>
      </c>
      <c r="H17" s="24" t="n"/>
      <c r="I17" s="24" t="n"/>
      <c r="J17" s="22" t="inlineStr">
        <is>
          <t>Pending</t>
        </is>
      </c>
      <c r="K17" s="22" t="n"/>
      <c r="L17" s="22" t="n"/>
      <c r="M17" s="23" t="n"/>
    </row>
    <row r="18">
      <c r="A18" s="22" t="inlineStr">
        <is>
          <t>Certificate</t>
        </is>
      </c>
      <c r="B18" s="23" t="inlineStr">
        <is>
          <t>Waterproofing certificate</t>
        </is>
      </c>
      <c r="C18" s="22" t="inlineStr">
        <is>
          <t>AS 3740</t>
        </is>
      </c>
      <c r="D18" s="22" t="inlineStr">
        <is>
          <t>Waterproofer</t>
        </is>
      </c>
      <c r="E18" s="22" t="inlineStr">
        <is>
          <t>14 Waterproofer</t>
        </is>
      </c>
      <c r="F18" s="22" t="inlineStr">
        <is>
          <t>G6</t>
        </is>
      </c>
      <c r="G18" s="22" t="inlineStr">
        <is>
          <t>Must</t>
        </is>
      </c>
      <c r="H18" s="24" t="n"/>
      <c r="I18" s="24" t="n"/>
      <c r="J18" s="22" t="inlineStr">
        <is>
          <t>Pending</t>
        </is>
      </c>
      <c r="K18" s="22" t="n"/>
      <c r="L18" s="22" t="n"/>
      <c r="M18" s="23" t="n"/>
    </row>
    <row r="19">
      <c r="A19" s="22" t="inlineStr">
        <is>
          <t>Certificate</t>
        </is>
      </c>
      <c r="B19" s="23" t="inlineStr">
        <is>
          <t>Plumbing compliance certificate: fit-off</t>
        </is>
      </c>
      <c r="C19" s="22" t="inlineStr">
        <is>
          <t>Building Act 1993</t>
        </is>
      </c>
      <c r="D19" s="22" t="inlineStr">
        <is>
          <t>Licensed plumber</t>
        </is>
      </c>
      <c r="E19" s="22" t="inlineStr">
        <is>
          <t>03 Plumbing &amp; drainage</t>
        </is>
      </c>
      <c r="F19" s="22" t="inlineStr">
        <is>
          <t>G6</t>
        </is>
      </c>
      <c r="G19" s="22" t="inlineStr">
        <is>
          <t>Must</t>
        </is>
      </c>
      <c r="H19" s="24" t="n"/>
      <c r="I19" s="24" t="n"/>
      <c r="J19" s="22" t="inlineStr">
        <is>
          <t>Pending</t>
        </is>
      </c>
      <c r="K19" s="22" t="n"/>
      <c r="L19" s="22" t="n"/>
      <c r="M19" s="23" t="n"/>
    </row>
    <row r="20">
      <c r="A20" s="22" t="inlineStr">
        <is>
          <t>Certificate</t>
        </is>
      </c>
      <c r="B20" s="23" t="inlineStr">
        <is>
          <t>Plumbing compliance certificate: gas</t>
        </is>
      </c>
      <c r="C20" s="22" t="inlineStr">
        <is>
          <t>Building Act 1993</t>
        </is>
      </c>
      <c r="D20" s="22" t="inlineStr">
        <is>
          <t>Licensed gasfitter</t>
        </is>
      </c>
      <c r="E20" s="22" t="inlineStr">
        <is>
          <t>03 Plumbing &amp; drainage</t>
        </is>
      </c>
      <c r="F20" s="22" t="inlineStr">
        <is>
          <t>G6</t>
        </is>
      </c>
      <c r="G20" s="22" t="inlineStr">
        <is>
          <t>If applies</t>
        </is>
      </c>
      <c r="H20" s="24" t="n"/>
      <c r="I20" s="24" t="n"/>
      <c r="J20" s="22" t="inlineStr">
        <is>
          <t>Pending</t>
        </is>
      </c>
      <c r="K20" s="22" t="n"/>
      <c r="L20" s="22" t="n"/>
      <c r="M20" s="23" t="n"/>
    </row>
    <row r="21">
      <c r="A21" s="22" t="inlineStr">
        <is>
          <t>Certificate</t>
        </is>
      </c>
      <c r="B21" s="23" t="inlineStr">
        <is>
          <t>Certificate of Electrical Safety</t>
        </is>
      </c>
      <c r="C21" s="22" t="inlineStr">
        <is>
          <t>Electricity Safety Act 1998</t>
        </is>
      </c>
      <c r="D21" s="22" t="inlineStr">
        <is>
          <t>Licensed electrician</t>
        </is>
      </c>
      <c r="E21" s="22" t="inlineStr">
        <is>
          <t>11 Electrician</t>
        </is>
      </c>
      <c r="F21" s="22" t="inlineStr">
        <is>
          <t>G6</t>
        </is>
      </c>
      <c r="G21" s="22" t="inlineStr">
        <is>
          <t>Must</t>
        </is>
      </c>
      <c r="H21" s="24" t="n"/>
      <c r="I21" s="24" t="n"/>
      <c r="J21" s="22" t="inlineStr">
        <is>
          <t>Pending</t>
        </is>
      </c>
      <c r="K21" s="22" t="n"/>
      <c r="L21" s="22" t="n"/>
      <c r="M21" s="23" t="n"/>
    </row>
    <row r="22">
      <c r="A22" s="22" t="inlineStr">
        <is>
          <t>Certificate</t>
        </is>
      </c>
      <c r="B22" s="23" t="inlineStr">
        <is>
          <t>Smoke alarm certificate</t>
        </is>
      </c>
      <c r="C22" s="22" t="inlineStr">
        <is>
          <t>AS 3786</t>
        </is>
      </c>
      <c r="D22" s="22" t="inlineStr">
        <is>
          <t>Licensed electrician</t>
        </is>
      </c>
      <c r="E22" s="22" t="inlineStr">
        <is>
          <t>11 Electrician</t>
        </is>
      </c>
      <c r="F22" s="22" t="inlineStr">
        <is>
          <t>G6</t>
        </is>
      </c>
      <c r="G22" s="22" t="inlineStr">
        <is>
          <t>Must</t>
        </is>
      </c>
      <c r="H22" s="24" t="n"/>
      <c r="I22" s="24" t="n"/>
      <c r="J22" s="22" t="inlineStr">
        <is>
          <t>Pending</t>
        </is>
      </c>
      <c r="K22" s="22" t="n"/>
      <c r="L22" s="22" t="n"/>
      <c r="M22" s="23" t="n"/>
    </row>
    <row r="23">
      <c r="A23" s="22" t="inlineStr">
        <is>
          <t>Certificate</t>
        </is>
      </c>
      <c r="B23" s="23" t="inlineStr">
        <is>
          <t>HVAC commissioning sheet &amp; warranty</t>
        </is>
      </c>
      <c r="C23" s="22" t="inlineStr"/>
      <c r="D23" s="22" t="inlineStr">
        <is>
          <t>HVAC installer (ARC licence)</t>
        </is>
      </c>
      <c r="E23" s="22" t="inlineStr">
        <is>
          <t>19 Heating &amp; cooling</t>
        </is>
      </c>
      <c r="F23" s="22" t="inlineStr">
        <is>
          <t>G6</t>
        </is>
      </c>
      <c r="G23" s="22" t="inlineStr">
        <is>
          <t>If applies</t>
        </is>
      </c>
      <c r="H23" s="24" t="n"/>
      <c r="I23" s="24" t="n"/>
      <c r="J23" s="22" t="inlineStr">
        <is>
          <t>Pending</t>
        </is>
      </c>
      <c r="K23" s="22" t="n"/>
      <c r="L23" s="22" t="n"/>
      <c r="M23" s="23" t="n"/>
    </row>
    <row r="24">
      <c r="A24" s="22" t="inlineStr">
        <is>
          <t>Certificate</t>
        </is>
      </c>
      <c r="B24" s="23" t="inlineStr">
        <is>
          <t>Energy compliance (as-built matches energy report)</t>
        </is>
      </c>
      <c r="C24" s="22" t="inlineStr">
        <is>
          <t>NCC 2022</t>
        </is>
      </c>
      <c r="D24" s="22" t="inlineStr">
        <is>
          <t>Energy assessor / RBS</t>
        </is>
      </c>
      <c r="E24" s="22" t="inlineStr"/>
      <c r="F24" s="22" t="inlineStr">
        <is>
          <t>G7</t>
        </is>
      </c>
      <c r="G24" s="22" t="inlineStr">
        <is>
          <t>Must</t>
        </is>
      </c>
      <c r="H24" s="24" t="n"/>
      <c r="I24" s="24" t="n"/>
      <c r="J24" s="22" t="inlineStr">
        <is>
          <t>Pending</t>
        </is>
      </c>
      <c r="K24" s="22" t="n"/>
      <c r="L24" s="22" t="n"/>
      <c r="M24" s="23" t="n"/>
    </row>
    <row r="25">
      <c r="A25" s="22" t="inlineStr">
        <is>
          <t>Certificate</t>
        </is>
      </c>
      <c r="B25" s="23" t="inlineStr">
        <is>
          <t>Asbestos clearance certificate</t>
        </is>
      </c>
      <c r="C25" s="22" t="inlineStr">
        <is>
          <t>OHS Regulations 2017</t>
        </is>
      </c>
      <c r="D25" s="22" t="inlineStr">
        <is>
          <t>Licensed asbestos assessor</t>
        </is>
      </c>
      <c r="E25" s="22" t="inlineStr">
        <is>
          <t>02 Demolition &amp; earthworks</t>
        </is>
      </c>
      <c r="F25" s="22" t="inlineStr">
        <is>
          <t>G4</t>
        </is>
      </c>
      <c r="G25" s="22" t="inlineStr">
        <is>
          <t>If applies</t>
        </is>
      </c>
      <c r="H25" s="24" t="n"/>
      <c r="I25" s="24" t="n"/>
      <c r="J25" s="22" t="inlineStr">
        <is>
          <t>Pending</t>
        </is>
      </c>
      <c r="K25" s="22" t="n"/>
      <c r="L25" s="22" t="n"/>
      <c r="M25" s="23" t="n"/>
    </row>
    <row r="26">
      <c r="A26" s="22" t="inlineStr">
        <is>
          <t>Permit</t>
        </is>
      </c>
      <c r="B26" s="23" t="inlineStr">
        <is>
          <t>Occupancy permit or certificate of final inspection</t>
        </is>
      </c>
      <c r="C26" s="22" t="inlineStr">
        <is>
          <t>Building Act 1993</t>
        </is>
      </c>
      <c r="D26" s="22" t="inlineStr">
        <is>
          <t>Relevant building surveyor</t>
        </is>
      </c>
      <c r="E26" s="22" t="inlineStr"/>
      <c r="F26" s="22" t="inlineStr">
        <is>
          <t>G7</t>
        </is>
      </c>
      <c r="G26" s="22" t="inlineStr">
        <is>
          <t>Must</t>
        </is>
      </c>
      <c r="H26" s="24" t="n"/>
      <c r="I26" s="24" t="n"/>
      <c r="J26" s="22" t="inlineStr">
        <is>
          <t>Pending</t>
        </is>
      </c>
      <c r="K26" s="22" t="n"/>
      <c r="L26" s="22" t="n"/>
      <c r="M26" s="23" t="n"/>
    </row>
    <row r="27">
      <c r="A27" s="22" t="n"/>
      <c r="B27" s="23" t="n"/>
      <c r="C27" s="22" t="n"/>
      <c r="D27" s="22" t="n"/>
      <c r="E27" s="22" t="n"/>
      <c r="F27" s="22" t="n"/>
      <c r="G27" s="22" t="n"/>
      <c r="H27" s="24" t="n"/>
      <c r="I27" s="24" t="n"/>
      <c r="J27" s="22" t="n"/>
      <c r="K27" s="22" t="n"/>
      <c r="L27" s="22" t="n"/>
      <c r="M27" s="23" t="n"/>
    </row>
    <row r="28">
      <c r="A28" s="22" t="n"/>
      <c r="B28" s="23" t="n"/>
      <c r="C28" s="22" t="n"/>
      <c r="D28" s="22" t="n"/>
      <c r="E28" s="22" t="n"/>
      <c r="F28" s="22" t="n"/>
      <c r="G28" s="22" t="n"/>
      <c r="H28" s="24" t="n"/>
      <c r="I28" s="24" t="n"/>
      <c r="J28" s="22" t="n"/>
      <c r="K28" s="22" t="n"/>
      <c r="L28" s="22" t="n"/>
      <c r="M28" s="23" t="n"/>
    </row>
    <row r="29">
      <c r="A29" s="22" t="n"/>
      <c r="B29" s="23" t="n"/>
      <c r="C29" s="22" t="n"/>
      <c r="D29" s="22" t="n"/>
      <c r="E29" s="22" t="n"/>
      <c r="F29" s="22" t="n"/>
      <c r="G29" s="22" t="n"/>
      <c r="H29" s="24" t="n"/>
      <c r="I29" s="24" t="n"/>
      <c r="J29" s="22" t="n"/>
      <c r="K29" s="22" t="n"/>
      <c r="L29" s="22" t="n"/>
      <c r="M29" s="23" t="n"/>
    </row>
    <row r="30">
      <c r="A30" s="22" t="n"/>
      <c r="B30" s="23" t="n"/>
      <c r="C30" s="22" t="n"/>
      <c r="D30" s="22" t="n"/>
      <c r="E30" s="22" t="n"/>
      <c r="F30" s="22" t="n"/>
      <c r="G30" s="22" t="n"/>
      <c r="H30" s="24" t="n"/>
      <c r="I30" s="24" t="n"/>
      <c r="J30" s="22" t="n"/>
      <c r="K30" s="22" t="n"/>
      <c r="L30" s="22" t="n"/>
      <c r="M30" s="23" t="n"/>
    </row>
    <row r="31">
      <c r="A31" s="22" t="n"/>
      <c r="B31" s="23" t="n"/>
      <c r="C31" s="22" t="n"/>
      <c r="D31" s="22" t="n"/>
      <c r="E31" s="22" t="n"/>
      <c r="F31" s="22" t="n"/>
      <c r="G31" s="22" t="n"/>
      <c r="H31" s="24" t="n"/>
      <c r="I31" s="24" t="n"/>
      <c r="J31" s="22" t="n"/>
      <c r="K31" s="22" t="n"/>
      <c r="L31" s="22" t="n"/>
      <c r="M31" s="23" t="n"/>
    </row>
    <row r="32">
      <c r="A32" s="22" t="n"/>
      <c r="B32" s="23" t="n"/>
      <c r="C32" s="22" t="n"/>
      <c r="D32" s="22" t="n"/>
      <c r="E32" s="22" t="n"/>
      <c r="F32" s="22" t="n"/>
      <c r="G32" s="22" t="n"/>
      <c r="H32" s="24" t="n"/>
      <c r="I32" s="24" t="n"/>
      <c r="J32" s="22" t="n"/>
      <c r="K32" s="22" t="n"/>
      <c r="L32" s="22" t="n"/>
      <c r="M32" s="23" t="n"/>
    </row>
    <row r="33">
      <c r="A33" s="22" t="n"/>
      <c r="B33" s="23" t="n"/>
      <c r="C33" s="22" t="n"/>
      <c r="D33" s="22" t="n"/>
      <c r="E33" s="22" t="n"/>
      <c r="F33" s="22" t="n"/>
      <c r="G33" s="22" t="n"/>
      <c r="H33" s="24" t="n"/>
      <c r="I33" s="24" t="n"/>
      <c r="J33" s="22" t="n"/>
      <c r="K33" s="22" t="n"/>
      <c r="L33" s="22" t="n"/>
      <c r="M33" s="23" t="n"/>
    </row>
    <row r="34">
      <c r="A34" s="22" t="n"/>
      <c r="B34" s="23" t="n"/>
      <c r="C34" s="22" t="n"/>
      <c r="D34" s="22" t="n"/>
      <c r="E34" s="22" t="n"/>
      <c r="F34" s="22" t="n"/>
      <c r="G34" s="22" t="n"/>
      <c r="H34" s="24" t="n"/>
      <c r="I34" s="24" t="n"/>
      <c r="J34" s="22" t="n"/>
      <c r="K34" s="22" t="n"/>
      <c r="L34" s="22" t="n"/>
      <c r="M34" s="23" t="n"/>
    </row>
    <row r="35">
      <c r="A35" s="22" t="n"/>
      <c r="B35" s="23" t="n"/>
      <c r="C35" s="22" t="n"/>
      <c r="D35" s="22" t="n"/>
      <c r="E35" s="22" t="n"/>
      <c r="F35" s="22" t="n"/>
      <c r="G35" s="22" t="n"/>
      <c r="H35" s="24" t="n"/>
      <c r="I35" s="24" t="n"/>
      <c r="J35" s="22" t="n"/>
      <c r="K35" s="22" t="n"/>
      <c r="L35" s="22" t="n"/>
      <c r="M35" s="23" t="n"/>
    </row>
    <row r="36">
      <c r="A36" s="22" t="n"/>
      <c r="B36" s="23" t="n"/>
      <c r="C36" s="22" t="n"/>
      <c r="D36" s="22" t="n"/>
      <c r="E36" s="22" t="n"/>
      <c r="F36" s="22" t="n"/>
      <c r="G36" s="22" t="n"/>
      <c r="H36" s="24" t="n"/>
      <c r="I36" s="24" t="n"/>
      <c r="J36" s="22" t="n"/>
      <c r="K36" s="22" t="n"/>
      <c r="L36" s="22" t="n"/>
      <c r="M36" s="23" t="n"/>
    </row>
    <row r="37">
      <c r="A37" s="22" t="n"/>
      <c r="B37" s="23" t="n"/>
      <c r="C37" s="22" t="n"/>
      <c r="D37" s="22" t="n"/>
      <c r="E37" s="22" t="n"/>
      <c r="F37" s="22" t="n"/>
      <c r="G37" s="22" t="n"/>
      <c r="H37" s="24" t="n"/>
      <c r="I37" s="24" t="n"/>
      <c r="J37" s="22" t="n"/>
      <c r="K37" s="22" t="n"/>
      <c r="L37" s="22" t="n"/>
      <c r="M37" s="23" t="n"/>
    </row>
    <row r="38">
      <c r="A38" s="22" t="n"/>
      <c r="B38" s="23" t="n"/>
      <c r="C38" s="22" t="n"/>
      <c r="D38" s="22" t="n"/>
      <c r="E38" s="22" t="n"/>
      <c r="F38" s="22" t="n"/>
      <c r="G38" s="22" t="n"/>
      <c r="H38" s="24" t="n"/>
      <c r="I38" s="24" t="n"/>
      <c r="J38" s="22" t="n"/>
      <c r="K38" s="22" t="n"/>
      <c r="L38" s="22" t="n"/>
      <c r="M38" s="23" t="n"/>
    </row>
    <row r="39">
      <c r="A39" s="22" t="n"/>
      <c r="B39" s="23" t="n"/>
      <c r="C39" s="22" t="n"/>
      <c r="D39" s="22" t="n"/>
      <c r="E39" s="22" t="n"/>
      <c r="F39" s="22" t="n"/>
      <c r="G39" s="22" t="n"/>
      <c r="H39" s="24" t="n"/>
      <c r="I39" s="24" t="n"/>
      <c r="J39" s="22" t="n"/>
      <c r="K39" s="22" t="n"/>
      <c r="L39" s="22" t="n"/>
      <c r="M39" s="23" t="n"/>
    </row>
    <row r="40">
      <c r="A40" s="22" t="n"/>
      <c r="B40" s="23" t="n"/>
      <c r="C40" s="22" t="n"/>
      <c r="D40" s="22" t="n"/>
      <c r="E40" s="22" t="n"/>
      <c r="F40" s="22" t="n"/>
      <c r="G40" s="22" t="n"/>
      <c r="H40" s="24" t="n"/>
      <c r="I40" s="24" t="n"/>
      <c r="J40" s="22" t="n"/>
      <c r="K40" s="22" t="n"/>
      <c r="L40" s="22" t="n"/>
      <c r="M40" s="23" t="n"/>
    </row>
    <row r="41">
      <c r="A41" s="22" t="n"/>
      <c r="B41" s="23" t="n"/>
      <c r="C41" s="22" t="n"/>
      <c r="D41" s="22" t="n"/>
      <c r="E41" s="22" t="n"/>
      <c r="F41" s="22" t="n"/>
      <c r="G41" s="22" t="n"/>
      <c r="H41" s="24" t="n"/>
      <c r="I41" s="24" t="n"/>
      <c r="J41" s="22" t="n"/>
      <c r="K41" s="22" t="n"/>
      <c r="L41" s="22" t="n"/>
      <c r="M41" s="23" t="n"/>
    </row>
    <row r="42">
      <c r="A42" s="22" t="n"/>
      <c r="B42" s="23" t="n"/>
      <c r="C42" s="22" t="n"/>
      <c r="D42" s="22" t="n"/>
      <c r="E42" s="22" t="n"/>
      <c r="F42" s="22" t="n"/>
      <c r="G42" s="22" t="n"/>
      <c r="H42" s="24" t="n"/>
      <c r="I42" s="24" t="n"/>
      <c r="J42" s="22" t="n"/>
      <c r="K42" s="22" t="n"/>
      <c r="L42" s="22" t="n"/>
      <c r="M42" s="23" t="n"/>
    </row>
    <row r="43">
      <c r="A43" s="22" t="n"/>
      <c r="B43" s="23" t="n"/>
      <c r="C43" s="22" t="n"/>
      <c r="D43" s="22" t="n"/>
      <c r="E43" s="22" t="n"/>
      <c r="F43" s="22" t="n"/>
      <c r="G43" s="22" t="n"/>
      <c r="H43" s="24" t="n"/>
      <c r="I43" s="24" t="n"/>
      <c r="J43" s="22" t="n"/>
      <c r="K43" s="22" t="n"/>
      <c r="L43" s="22" t="n"/>
      <c r="M43" s="23" t="n"/>
    </row>
    <row r="44">
      <c r="A44" s="22" t="n"/>
      <c r="B44" s="23" t="n"/>
      <c r="C44" s="22" t="n"/>
      <c r="D44" s="22" t="n"/>
      <c r="E44" s="22" t="n"/>
      <c r="F44" s="22" t="n"/>
      <c r="G44" s="22" t="n"/>
      <c r="H44" s="24" t="n"/>
      <c r="I44" s="24" t="n"/>
      <c r="J44" s="22" t="n"/>
      <c r="K44" s="22" t="n"/>
      <c r="L44" s="22" t="n"/>
      <c r="M44" s="23" t="n"/>
    </row>
    <row r="45">
      <c r="A45" s="22" t="n"/>
      <c r="B45" s="23" t="n"/>
      <c r="C45" s="22" t="n"/>
      <c r="D45" s="22" t="n"/>
      <c r="E45" s="22" t="n"/>
      <c r="F45" s="22" t="n"/>
      <c r="G45" s="22" t="n"/>
      <c r="H45" s="24" t="n"/>
      <c r="I45" s="24" t="n"/>
      <c r="J45" s="22" t="n"/>
      <c r="K45" s="22" t="n"/>
      <c r="L45" s="22" t="n"/>
      <c r="M45" s="23" t="n"/>
    </row>
    <row r="46">
      <c r="A46" s="22" t="n"/>
      <c r="B46" s="23" t="n"/>
      <c r="C46" s="22" t="n"/>
      <c r="D46" s="22" t="n"/>
      <c r="E46" s="22" t="n"/>
      <c r="F46" s="22" t="n"/>
      <c r="G46" s="22" t="n"/>
      <c r="H46" s="24" t="n"/>
      <c r="I46" s="24" t="n"/>
      <c r="J46" s="22" t="n"/>
      <c r="K46" s="22" t="n"/>
      <c r="L46" s="22" t="n"/>
      <c r="M46" s="23" t="n"/>
    </row>
    <row r="47">
      <c r="A47" s="22" t="n"/>
      <c r="B47" s="23" t="n"/>
      <c r="C47" s="22" t="n"/>
      <c r="D47" s="22" t="n"/>
      <c r="E47" s="22" t="n"/>
      <c r="F47" s="22" t="n"/>
      <c r="G47" s="22" t="n"/>
      <c r="H47" s="24" t="n"/>
      <c r="I47" s="24" t="n"/>
      <c r="J47" s="22" t="n"/>
      <c r="K47" s="22" t="n"/>
      <c r="L47" s="22" t="n"/>
      <c r="M47" s="23" t="n"/>
    </row>
    <row r="48">
      <c r="A48" s="22" t="n"/>
      <c r="B48" s="23" t="n"/>
      <c r="C48" s="22" t="n"/>
      <c r="D48" s="22" t="n"/>
      <c r="E48" s="22" t="n"/>
      <c r="F48" s="22" t="n"/>
      <c r="G48" s="22" t="n"/>
      <c r="H48" s="24" t="n"/>
      <c r="I48" s="24" t="n"/>
      <c r="J48" s="22" t="n"/>
      <c r="K48" s="22" t="n"/>
      <c r="L48" s="22" t="n"/>
      <c r="M48" s="23" t="n"/>
    </row>
    <row r="49">
      <c r="A49" s="22" t="n"/>
      <c r="B49" s="23" t="n"/>
      <c r="C49" s="22" t="n"/>
      <c r="D49" s="22" t="n"/>
      <c r="E49" s="22" t="n"/>
      <c r="F49" s="22" t="n"/>
      <c r="G49" s="22" t="n"/>
      <c r="H49" s="24" t="n"/>
      <c r="I49" s="24" t="n"/>
      <c r="J49" s="22" t="n"/>
      <c r="K49" s="22" t="n"/>
      <c r="L49" s="22" t="n"/>
      <c r="M49" s="23" t="n"/>
    </row>
    <row r="50">
      <c r="A50" s="22" t="n"/>
      <c r="B50" s="23" t="n"/>
      <c r="C50" s="22" t="n"/>
      <c r="D50" s="22" t="n"/>
      <c r="E50" s="22" t="n"/>
      <c r="F50" s="22" t="n"/>
      <c r="G50" s="22" t="n"/>
      <c r="H50" s="24" t="n"/>
      <c r="I50" s="24" t="n"/>
      <c r="J50" s="22" t="n"/>
      <c r="K50" s="22" t="n"/>
      <c r="L50" s="22" t="n"/>
      <c r="M50" s="23" t="n"/>
    </row>
    <row r="51">
      <c r="A51" s="22" t="n"/>
      <c r="B51" s="23" t="n"/>
      <c r="C51" s="22" t="n"/>
      <c r="D51" s="22" t="n"/>
      <c r="E51" s="22" t="n"/>
      <c r="F51" s="22" t="n"/>
      <c r="G51" s="22" t="n"/>
      <c r="H51" s="24" t="n"/>
      <c r="I51" s="24" t="n"/>
      <c r="J51" s="22" t="n"/>
      <c r="K51" s="22" t="n"/>
      <c r="L51" s="22" t="n"/>
      <c r="M51" s="23" t="n"/>
    </row>
  </sheetData>
  <sheetProtection selectLockedCells="0" selectUnlockedCells="0" sheet="1" objects="0" insertRows="0" insertHyperlinks="0" autoFilter="0" scenarios="0" formatColumns="0" deleteColumns="1" insertColumns="1" pivotTables="1" deleteRows="0" formatCells="0" formatRows="0" sort="0"/>
  <autoFilter ref="A3:M51"/>
  <conditionalFormatting sqref="J4:J51">
    <cfRule type="cellIs" priority="1" operator="equal" dxfId="0">
      <formula>"Pass"</formula>
    </cfRule>
    <cfRule type="cellIs" priority="2" operator="equal" dxfId="2">
      <formula>"Fail"</formula>
    </cfRule>
  </conditionalFormatting>
  <dataValidations count="5">
    <dataValidation sqref="A4:A51" showDropDown="0" showInputMessage="0" showErrorMessage="0" allowBlank="1" error="Pick a value from the list." type="list" errorStyle="warning">
      <formula1>=Lists!$R$2:$R$4</formula1>
    </dataValidation>
    <dataValidation sqref="E4:E51" showDropDown="0" showInputMessage="0" showErrorMessage="0" allowBlank="1" error="Pick a value from the list." type="list" errorStyle="warning">
      <formula1>='Packages'!$B$4:$B$33</formula1>
    </dataValidation>
    <dataValidation sqref="F4:F51" showDropDown="0" showInputMessage="0" showErrorMessage="0" allowBlank="1" error="Pick a value from the list." type="list" errorStyle="warning">
      <formula1>=Lists!$A$2:$A$9</formula1>
    </dataValidation>
    <dataValidation sqref="G4:G51" showDropDown="0" showInputMessage="0" showErrorMessage="0" allowBlank="1" error="Pick a value from the list." type="list" errorStyle="warning">
      <formula1>=Lists!$E$2:$E$4</formula1>
    </dataValidation>
    <dataValidation sqref="J4:J51" showDropDown="0" showInputMessage="0" showErrorMessage="0" allowBlank="1" error="Pick a value from the list." type="list" errorStyle="warning">
      <formula1>=Lists!$S$2:$S$5</formula1>
    </dataValidation>
  </dataValidation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58" customWidth="1" min="1" max="1"/>
    <col width="14" customWidth="1" min="2" max="2"/>
    <col width="70" customWidth="1" min="3" max="3"/>
  </cols>
  <sheetData>
    <row r="1" ht="24" customHeight="1">
      <c r="A1" s="1" t="inlineStr">
        <is>
          <t>Settings</t>
        </is>
      </c>
    </row>
    <row r="2">
      <c r="A2" s="2" t="inlineStr">
        <is>
          <t>The legal thresholds and rules of thumb behind the checks. Update a figure here when the law changes and every tab follows.</t>
        </is>
      </c>
    </row>
    <row r="3">
      <c r="A3" s="3" t="inlineStr">
        <is>
          <t>Setting</t>
        </is>
      </c>
      <c r="B3" s="3" t="inlineStr">
        <is>
          <t>Value</t>
        </is>
      </c>
      <c r="C3" s="3" t="inlineStr">
        <is>
          <t>Notes</t>
        </is>
      </c>
    </row>
    <row r="4">
      <c r="A4" t="inlineStr">
        <is>
          <t>Deposit cap: contracts under the threshold</t>
        </is>
      </c>
      <c r="B4" s="19" t="n">
        <v>0.1</v>
      </c>
      <c r="C4" s="2" t="inlineStr">
        <is>
          <t>Domestic Building Contracts Act 1995</t>
        </is>
      </c>
    </row>
    <row r="5">
      <c r="A5" t="inlineStr">
        <is>
          <t>Deposit cap threshold ($)</t>
        </is>
      </c>
      <c r="B5" s="18" t="n">
        <v>20000</v>
      </c>
      <c r="C5" s="2" t="inlineStr"/>
    </row>
    <row r="6">
      <c r="A6" t="inlineStr">
        <is>
          <t>Deposit cap: contracts at or over the threshold</t>
        </is>
      </c>
      <c r="B6" s="19" t="n">
        <v>0.05</v>
      </c>
      <c r="C6" s="2" t="inlineStr"/>
    </row>
    <row r="7">
      <c r="A7" t="inlineStr">
        <is>
          <t>Registered builder and written major domestic building contract over ($)</t>
        </is>
      </c>
      <c r="B7" s="18" t="n">
        <v>10000</v>
      </c>
      <c r="C7" s="2" t="inlineStr">
        <is>
          <t>An increase to $20,000 has been proposed. Change it here if it's adopted.</t>
        </is>
      </c>
    </row>
    <row r="8">
      <c r="A8" t="inlineStr">
        <is>
          <t>Home warranty cover required over ($)</t>
        </is>
      </c>
      <c r="B8" s="18" t="n">
        <v>20000</v>
      </c>
      <c r="C8" s="2" t="inlineStr">
        <is>
          <t>First Resort Home Warranty Scheme, contracts signed from 1 July 2026</t>
        </is>
      </c>
    </row>
    <row r="9">
      <c r="A9" t="inlineStr">
        <is>
          <t>Certificate of consent required over ($)</t>
        </is>
      </c>
      <c r="B9" s="18" t="n">
        <v>20000</v>
      </c>
      <c r="C9" s="2" t="inlineStr">
        <is>
          <t>Was $16,000 before 1 July 2026</t>
        </is>
      </c>
    </row>
    <row r="10">
      <c r="A10" t="inlineStr">
        <is>
          <t>Principal contractor required from ($)</t>
        </is>
      </c>
      <c r="B10" s="18" t="n">
        <v>350000</v>
      </c>
      <c r="C10" s="2" t="inlineStr">
        <is>
          <t>OHS Regulations 2017</t>
        </is>
      </c>
    </row>
    <row r="11">
      <c r="A11" t="inlineStr">
        <is>
          <t>Warn about expiring licences and insurance (days ahead)</t>
        </is>
      </c>
      <c r="B11" s="38" t="n">
        <v>30</v>
      </c>
      <c r="C11" s="2" t="inlineStr"/>
    </row>
    <row r="12">
      <c r="A12" t="inlineStr">
        <is>
          <t>Flag quotes this far under the median</t>
        </is>
      </c>
      <c r="B12" s="19" t="n">
        <v>0.15</v>
      </c>
      <c r="C12" s="2" t="inlineStr">
        <is>
          <t>Something is probably missing from the quote</t>
        </is>
      </c>
    </row>
    <row r="13">
      <c r="A13" t="inlineStr">
        <is>
          <t>Flag packages forecast over budget by more than</t>
        </is>
      </c>
      <c r="B13" s="19" t="n">
        <v>0.05</v>
      </c>
      <c r="C13" s="2" t="inlineStr"/>
    </row>
    <row r="14">
      <c r="A14" t="inlineStr">
        <is>
          <t>G3 target: share of package budgets committed</t>
        </is>
      </c>
      <c r="B14" s="19" t="n">
        <v>0.8</v>
      </c>
      <c r="C14" s="2" t="inlineStr">
        <is>
          <t>G3 exit check</t>
        </is>
      </c>
    </row>
    <row r="15">
      <c r="A15" t="inlineStr">
        <is>
          <t>Default ceiling height (m)</t>
        </is>
      </c>
      <c r="B15" s="39" t="n">
        <v>2.55</v>
      </c>
      <c r="C15" s="2" t="inlineStr">
        <is>
          <t>Used on Rooms when Ceiling is blank</t>
        </is>
      </c>
    </row>
    <row r="16">
      <c r="A16" t="inlineStr">
        <is>
          <t>Floor covering waste allowance</t>
        </is>
      </c>
      <c r="B16" s="19" t="n">
        <v>0.1</v>
      </c>
      <c r="C16" s="2" t="inlineStr">
        <is>
          <t>Used on Rooms</t>
        </is>
      </c>
    </row>
    <row r="18">
      <c r="A18" s="2" t="inlineStr">
        <is>
          <t>Victorian rules checked September 2026. General information, not legal advice.</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A25"/>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48" customWidth="1" min="27" max="27"/>
  </cols>
  <sheetData>
    <row r="1">
      <c r="A1" s="12" t="inlineStr">
        <is>
          <t>Gates</t>
        </is>
      </c>
      <c r="B1" s="12" t="inlineStr">
        <is>
          <t>YesNo</t>
        </is>
      </c>
      <c r="C1" s="12" t="inlineStr">
        <is>
          <t>YesNoNA</t>
        </is>
      </c>
      <c r="D1" s="12" t="inlineStr">
        <is>
          <t>Status</t>
        </is>
      </c>
      <c r="E1" s="12" t="inlineStr">
        <is>
          <t>Requirement</t>
        </is>
      </c>
      <c r="F1" s="12" t="inlineStr">
        <is>
          <t>GateItemType</t>
        </is>
      </c>
      <c r="G1" s="12" t="inlineStr">
        <is>
          <t>Decision</t>
        </is>
      </c>
      <c r="H1" s="12" t="inlineStr">
        <is>
          <t>SelectionStatus</t>
        </is>
      </c>
      <c r="I1" s="12" t="inlineStr">
        <is>
          <t>SelectionCategory</t>
        </is>
      </c>
      <c r="J1" s="12" t="inlineStr">
        <is>
          <t>DiaryType</t>
        </is>
      </c>
      <c r="K1" s="12" t="inlineStr">
        <is>
          <t>HoldPoint</t>
        </is>
      </c>
      <c r="L1" s="12" t="inlineStr">
        <is>
          <t>FolderCode</t>
        </is>
      </c>
      <c r="M1" s="12" t="inlineStr">
        <is>
          <t>DocType</t>
        </is>
      </c>
      <c r="N1" s="12" t="inlineStr">
        <is>
          <t>DocStatus</t>
        </is>
      </c>
      <c r="O1" s="12" t="inlineStr">
        <is>
          <t>TradeStatus</t>
        </is>
      </c>
      <c r="P1" s="12" t="inlineStr">
        <is>
          <t>VariationStatus</t>
        </is>
      </c>
      <c r="Q1" s="12" t="inlineStr">
        <is>
          <t>VariationReason</t>
        </is>
      </c>
      <c r="R1" s="12" t="inlineStr">
        <is>
          <t>CertType</t>
        </is>
      </c>
      <c r="S1" s="12" t="inlineStr">
        <is>
          <t>Result</t>
        </is>
      </c>
      <c r="T1" s="12" t="inlineStr">
        <is>
          <t>LowMedHigh</t>
        </is>
      </c>
      <c r="U1" s="12" t="inlineStr">
        <is>
          <t>RiskStatus</t>
        </is>
      </c>
      <c r="V1" s="12" t="inlineStr">
        <is>
          <t>Level</t>
        </is>
      </c>
      <c r="W1" s="12" t="inlineStr">
        <is>
          <t>AreaType</t>
        </is>
      </c>
      <c r="X1" s="12" t="inlineStr">
        <is>
          <t>ContractType</t>
        </is>
      </c>
      <c r="Z1" s="12" t="inlineStr">
        <is>
          <t>Doc type</t>
        </is>
      </c>
      <c r="AA1" s="12" t="inlineStr">
        <is>
          <t>Meaning</t>
        </is>
      </c>
    </row>
    <row r="2">
      <c r="A2" s="26" t="inlineStr">
        <is>
          <t>G0</t>
        </is>
      </c>
      <c r="B2" s="26" t="inlineStr">
        <is>
          <t>Yes</t>
        </is>
      </c>
      <c r="C2" s="26" t="inlineStr">
        <is>
          <t>Yes</t>
        </is>
      </c>
      <c r="D2" s="26" t="inlineStr">
        <is>
          <t>Not started</t>
        </is>
      </c>
      <c r="E2" s="26" t="inlineStr">
        <is>
          <t>Must</t>
        </is>
      </c>
      <c r="F2" s="26" t="inlineStr">
        <is>
          <t>Entry criteria</t>
        </is>
      </c>
      <c r="G2" s="26" t="inlineStr">
        <is>
          <t>Go</t>
        </is>
      </c>
      <c r="H2" s="26" t="inlineStr">
        <is>
          <t>To choose</t>
        </is>
      </c>
      <c r="I2" s="26" t="inlineStr">
        <is>
          <t>Base</t>
        </is>
      </c>
      <c r="J2" s="26" t="inlineStr">
        <is>
          <t>Site diary</t>
        </is>
      </c>
      <c r="K2" s="26" t="inlineStr">
        <is>
          <t>Footings</t>
        </is>
      </c>
      <c r="L2" s="26" t="inlineStr">
        <is>
          <t>00</t>
        </is>
      </c>
      <c r="M2" s="26" t="inlineStr">
        <is>
          <t>DWG</t>
        </is>
      </c>
      <c r="N2" s="26" t="inlineStr">
        <is>
          <t>Draft</t>
        </is>
      </c>
      <c r="O2" s="26" t="inlineStr">
        <is>
          <t>Invited</t>
        </is>
      </c>
      <c r="P2" s="26" t="inlineStr">
        <is>
          <t>Pending</t>
        </is>
      </c>
      <c r="Q2" s="26" t="inlineStr">
        <is>
          <t>Owner change</t>
        </is>
      </c>
      <c r="R2" s="26" t="inlineStr">
        <is>
          <t>Inspection</t>
        </is>
      </c>
      <c r="S2" s="26" t="inlineStr">
        <is>
          <t>Pending</t>
        </is>
      </c>
      <c r="T2" s="26" t="inlineStr">
        <is>
          <t>Low</t>
        </is>
      </c>
      <c r="U2" s="26" t="inlineStr">
        <is>
          <t>Open</t>
        </is>
      </c>
      <c r="V2" s="26" t="inlineStr">
        <is>
          <t>Ground</t>
        </is>
      </c>
      <c r="W2" s="26" t="inlineStr">
        <is>
          <t>Internal</t>
        </is>
      </c>
      <c r="X2" s="26" t="inlineStr">
        <is>
          <t>Lump sum (fixed price)</t>
        </is>
      </c>
      <c r="Z2" t="inlineStr">
        <is>
          <t>DWG</t>
        </is>
      </c>
      <c r="AA2" t="inlineStr">
        <is>
          <t>Drawing</t>
        </is>
      </c>
    </row>
    <row r="3">
      <c r="A3" s="26" t="inlineStr">
        <is>
          <t>G1</t>
        </is>
      </c>
      <c r="B3" s="26" t="inlineStr">
        <is>
          <t>No</t>
        </is>
      </c>
      <c r="C3" s="26" t="inlineStr">
        <is>
          <t>No</t>
        </is>
      </c>
      <c r="D3" s="26" t="inlineStr">
        <is>
          <t>In progress</t>
        </is>
      </c>
      <c r="E3" s="26" t="inlineStr">
        <is>
          <t>If applies</t>
        </is>
      </c>
      <c r="F3" s="26" t="inlineStr">
        <is>
          <t>Deliverable</t>
        </is>
      </c>
      <c r="G3" s="26" t="inlineStr">
        <is>
          <t>Hold</t>
        </is>
      </c>
      <c r="H3" s="26" t="inlineStr">
        <is>
          <t>Selected</t>
        </is>
      </c>
      <c r="I3" s="26" t="inlineStr">
        <is>
          <t>Frame &amp; roof</t>
        </is>
      </c>
      <c r="J3" s="26" t="inlineStr">
        <is>
          <t>Plan note</t>
        </is>
      </c>
      <c r="K3" s="26" t="inlineStr">
        <is>
          <t>Pre-slab</t>
        </is>
      </c>
      <c r="L3" s="26" t="inlineStr">
        <is>
          <t>01</t>
        </is>
      </c>
      <c r="M3" s="26" t="inlineStr">
        <is>
          <t>SPEC</t>
        </is>
      </c>
      <c r="N3" s="26" t="inlineStr">
        <is>
          <t>Current</t>
        </is>
      </c>
      <c r="O3" s="26" t="inlineStr">
        <is>
          <t>Quoted</t>
        </is>
      </c>
      <c r="P3" s="26" t="inlineStr">
        <is>
          <t>Approved</t>
        </is>
      </c>
      <c r="Q3" s="26" t="inlineStr">
        <is>
          <t>Site condition</t>
        </is>
      </c>
      <c r="R3" s="26" t="inlineStr">
        <is>
          <t>Certificate</t>
        </is>
      </c>
      <c r="S3" s="26" t="inlineStr">
        <is>
          <t>Pass</t>
        </is>
      </c>
      <c r="T3" s="26" t="inlineStr">
        <is>
          <t>Med</t>
        </is>
      </c>
      <c r="U3" s="26" t="inlineStr">
        <is>
          <t>Watching</t>
        </is>
      </c>
      <c r="V3" s="26" t="inlineStr">
        <is>
          <t>First</t>
        </is>
      </c>
      <c r="W3" s="26" t="inlineStr">
        <is>
          <t>Garage</t>
        </is>
      </c>
      <c r="X3" s="26" t="inlineStr">
        <is>
          <t>Schedule of rates</t>
        </is>
      </c>
      <c r="Z3" t="inlineStr">
        <is>
          <t>SPEC</t>
        </is>
      </c>
      <c r="AA3" t="inlineStr">
        <is>
          <t>Specification or spec sheet</t>
        </is>
      </c>
    </row>
    <row r="4">
      <c r="A4" s="26" t="inlineStr">
        <is>
          <t>G2</t>
        </is>
      </c>
      <c r="C4" s="26" t="inlineStr">
        <is>
          <t>N/A</t>
        </is>
      </c>
      <c r="D4" s="26" t="inlineStr">
        <is>
          <t>Done</t>
        </is>
      </c>
      <c r="E4" s="26" t="inlineStr">
        <is>
          <t>Best practice</t>
        </is>
      </c>
      <c r="F4" s="26" t="inlineStr">
        <is>
          <t>Exit check</t>
        </is>
      </c>
      <c r="G4" s="26" t="inlineStr">
        <is>
          <t>Stop</t>
        </is>
      </c>
      <c r="H4" s="26" t="inlineStr">
        <is>
          <t>Ordered</t>
        </is>
      </c>
      <c r="I4" s="26" t="inlineStr">
        <is>
          <t>Lock-up</t>
        </is>
      </c>
      <c r="J4" s="26" t="inlineStr">
        <is>
          <t>Instruction to trade</t>
        </is>
      </c>
      <c r="K4" s="26" t="inlineStr">
        <is>
          <t>Frame</t>
        </is>
      </c>
      <c r="L4" s="26" t="inlineStr">
        <is>
          <t>02</t>
        </is>
      </c>
      <c r="M4" s="26" t="inlineStr">
        <is>
          <t>ENG</t>
        </is>
      </c>
      <c r="N4" s="26" t="inlineStr">
        <is>
          <t>Superseded</t>
        </is>
      </c>
      <c r="O4" s="26" t="inlineStr">
        <is>
          <t>Engaged</t>
        </is>
      </c>
      <c r="P4" s="26" t="inlineStr">
        <is>
          <t>Rejected</t>
        </is>
      </c>
      <c r="Q4" s="26" t="inlineStr">
        <is>
          <t>Design change</t>
        </is>
      </c>
      <c r="R4" s="26" t="inlineStr">
        <is>
          <t>Permit</t>
        </is>
      </c>
      <c r="S4" s="26" t="inlineStr">
        <is>
          <t>Fail</t>
        </is>
      </c>
      <c r="T4" s="26" t="inlineStr">
        <is>
          <t>High</t>
        </is>
      </c>
      <c r="U4" s="26" t="inlineStr">
        <is>
          <t>Closed</t>
        </is>
      </c>
      <c r="V4" s="26" t="inlineStr">
        <is>
          <t>Second</t>
        </is>
      </c>
      <c r="W4" s="26" t="inlineStr">
        <is>
          <t>External</t>
        </is>
      </c>
      <c r="X4" s="26" t="inlineStr">
        <is>
          <t>Labour only</t>
        </is>
      </c>
      <c r="Z4" t="inlineStr">
        <is>
          <t>ENG</t>
        </is>
      </c>
      <c r="AA4" t="inlineStr">
        <is>
          <t>Engineering</t>
        </is>
      </c>
    </row>
    <row r="5">
      <c r="A5" s="26" t="inlineStr">
        <is>
          <t>G3</t>
        </is>
      </c>
      <c r="D5" s="26" t="inlineStr">
        <is>
          <t>N/A</t>
        </is>
      </c>
      <c r="H5" s="26" t="inlineStr">
        <is>
          <t>Delivered</t>
        </is>
      </c>
      <c r="I5" s="26" t="inlineStr">
        <is>
          <t>Services</t>
        </is>
      </c>
      <c r="J5" s="26" t="inlineStr">
        <is>
          <t>Defect</t>
        </is>
      </c>
      <c r="K5" s="26" t="inlineStr">
        <is>
          <t>Insulation</t>
        </is>
      </c>
      <c r="L5" s="26" t="inlineStr">
        <is>
          <t>03</t>
        </is>
      </c>
      <c r="M5" s="26" t="inlineStr">
        <is>
          <t>RPT</t>
        </is>
      </c>
      <c r="O5" s="26" t="inlineStr">
        <is>
          <t>Complete</t>
        </is>
      </c>
      <c r="Q5" s="26" t="inlineStr">
        <is>
          <t>Authority requirement</t>
        </is>
      </c>
      <c r="S5" s="26" t="inlineStr">
        <is>
          <t>N/A</t>
        </is>
      </c>
      <c r="V5" s="26" t="inlineStr">
        <is>
          <t>Basement</t>
        </is>
      </c>
      <c r="X5" s="26" t="inlineStr">
        <is>
          <t>Supply only</t>
        </is>
      </c>
      <c r="Z5" t="inlineStr">
        <is>
          <t>RPT</t>
        </is>
      </c>
      <c r="AA5" t="inlineStr">
        <is>
          <t>Report or assessment (soil, energy, BAL, asbestos, s137B)</t>
        </is>
      </c>
    </row>
    <row r="6">
      <c r="A6" s="26" t="inlineStr">
        <is>
          <t>G4</t>
        </is>
      </c>
      <c r="H6" s="26" t="inlineStr">
        <is>
          <t>Installed</t>
        </is>
      </c>
      <c r="I6" s="26" t="inlineStr">
        <is>
          <t>Fit-out</t>
        </is>
      </c>
      <c r="J6" s="26" t="inlineStr">
        <is>
          <t>Question for RBS</t>
        </is>
      </c>
      <c r="K6" s="26" t="inlineStr">
        <is>
          <t>Waterproofing</t>
        </is>
      </c>
      <c r="L6" s="26" t="inlineStr">
        <is>
          <t>04</t>
        </is>
      </c>
      <c r="M6" s="26" t="inlineStr">
        <is>
          <t>APP</t>
        </is>
      </c>
      <c r="O6" s="26" t="inlineStr">
        <is>
          <t>Not engaged</t>
        </is>
      </c>
      <c r="Q6" s="26" t="inlineStr">
        <is>
          <t>Other</t>
        </is>
      </c>
      <c r="V6" s="26" t="inlineStr">
        <is>
          <t>External</t>
        </is>
      </c>
      <c r="X6" s="26" t="inlineStr">
        <is>
          <t>Supply &amp; install</t>
        </is>
      </c>
      <c r="Z6" t="inlineStr">
        <is>
          <t>APP</t>
        </is>
      </c>
      <c r="AA6" t="inlineStr">
        <is>
          <t>Application</t>
        </is>
      </c>
    </row>
    <row r="7">
      <c r="A7" s="26" t="inlineStr">
        <is>
          <t>G5</t>
        </is>
      </c>
      <c r="I7" s="26" t="inlineStr">
        <is>
          <t>Appliances</t>
        </is>
      </c>
      <c r="J7" s="26" t="inlineStr">
        <is>
          <t>Variation request</t>
        </is>
      </c>
      <c r="K7" s="26" t="inlineStr">
        <is>
          <t>Pre-plaster</t>
        </is>
      </c>
      <c r="L7" s="26" t="inlineStr">
        <is>
          <t>05</t>
        </is>
      </c>
      <c r="M7" s="26" t="inlineStr">
        <is>
          <t>PMT</t>
        </is>
      </c>
      <c r="X7" s="26" t="inlineStr">
        <is>
          <t>Cost plus / do &amp; charge</t>
        </is>
      </c>
      <c r="Z7" t="inlineStr">
        <is>
          <t>PMT</t>
        </is>
      </c>
      <c r="AA7" t="inlineStr">
        <is>
          <t>Permit, consent or approval</t>
        </is>
      </c>
    </row>
    <row r="8">
      <c r="A8" s="26" t="inlineStr">
        <is>
          <t>G6</t>
        </is>
      </c>
      <c r="I8" s="26" t="inlineStr">
        <is>
          <t>External</t>
        </is>
      </c>
      <c r="K8" s="26" t="inlineStr">
        <is>
          <t>Final</t>
        </is>
      </c>
      <c r="L8" s="26" t="inlineStr">
        <is>
          <t>06</t>
        </is>
      </c>
      <c r="M8" s="26" t="inlineStr">
        <is>
          <t>INSP</t>
        </is>
      </c>
      <c r="Z8" t="inlineStr">
        <is>
          <t>INSP</t>
        </is>
      </c>
      <c r="AA8" t="inlineStr">
        <is>
          <t>Inspection report</t>
        </is>
      </c>
    </row>
    <row r="9">
      <c r="A9" s="26" t="inlineStr">
        <is>
          <t>G7</t>
        </is>
      </c>
      <c r="I9" s="26" t="inlineStr">
        <is>
          <t>Other</t>
        </is>
      </c>
      <c r="K9" s="26" t="inlineStr">
        <is>
          <t>Other</t>
        </is>
      </c>
      <c r="L9" s="26" t="inlineStr">
        <is>
          <t>07</t>
        </is>
      </c>
      <c r="M9" s="26" t="inlineStr">
        <is>
          <t>CERT</t>
        </is>
      </c>
      <c r="Z9" t="inlineStr">
        <is>
          <t>CERT</t>
        </is>
      </c>
      <c r="AA9" t="inlineStr">
        <is>
          <t>Certificate</t>
        </is>
      </c>
    </row>
    <row r="10">
      <c r="L10" s="26" t="inlineStr">
        <is>
          <t>08</t>
        </is>
      </c>
      <c r="M10" s="26" t="inlineStr">
        <is>
          <t>RFQ</t>
        </is>
      </c>
      <c r="Z10" t="inlineStr">
        <is>
          <t>RFQ</t>
        </is>
      </c>
      <c r="AA10" t="inlineStr">
        <is>
          <t>RFQ pack or addendum</t>
        </is>
      </c>
    </row>
    <row r="11">
      <c r="L11" s="26" t="inlineStr">
        <is>
          <t>99</t>
        </is>
      </c>
      <c r="M11" s="26" t="inlineStr">
        <is>
          <t>QUO</t>
        </is>
      </c>
      <c r="Z11" t="inlineStr">
        <is>
          <t>QUO</t>
        </is>
      </c>
      <c r="AA11" t="inlineStr">
        <is>
          <t>Quote or tender</t>
        </is>
      </c>
    </row>
    <row r="12">
      <c r="M12" s="26" t="inlineStr">
        <is>
          <t>CON</t>
        </is>
      </c>
      <c r="Z12" t="inlineStr">
        <is>
          <t>CON</t>
        </is>
      </c>
      <c r="AA12" t="inlineStr">
        <is>
          <t>Contract</t>
        </is>
      </c>
    </row>
    <row r="13">
      <c r="M13" s="26" t="inlineStr">
        <is>
          <t>VAR</t>
        </is>
      </c>
      <c r="Z13" t="inlineStr">
        <is>
          <t>VAR</t>
        </is>
      </c>
      <c r="AA13" t="inlineStr">
        <is>
          <t>Variation</t>
        </is>
      </c>
    </row>
    <row r="14">
      <c r="M14" s="26" t="inlineStr">
        <is>
          <t>INV</t>
        </is>
      </c>
      <c r="Z14" t="inlineStr">
        <is>
          <t>INV</t>
        </is>
      </c>
      <c r="AA14" t="inlineStr">
        <is>
          <t>Invoice</t>
        </is>
      </c>
    </row>
    <row r="15">
      <c r="M15" s="26" t="inlineStr">
        <is>
          <t>REC</t>
        </is>
      </c>
      <c r="Z15" t="inlineStr">
        <is>
          <t>REC</t>
        </is>
      </c>
      <c r="AA15" t="inlineStr">
        <is>
          <t>Receipt or payment record</t>
        </is>
      </c>
    </row>
    <row r="16">
      <c r="M16" s="26" t="inlineStr">
        <is>
          <t>INS</t>
        </is>
      </c>
      <c r="Z16" t="inlineStr">
        <is>
          <t>INS</t>
        </is>
      </c>
      <c r="AA16" t="inlineStr">
        <is>
          <t>Insurance policy or certificate of currency</t>
        </is>
      </c>
    </row>
    <row r="17">
      <c r="M17" s="26" t="inlineStr">
        <is>
          <t>LIC</t>
        </is>
      </c>
      <c r="Z17" t="inlineStr">
        <is>
          <t>LIC</t>
        </is>
      </c>
      <c r="AA17" t="inlineStr">
        <is>
          <t>Licence or registration</t>
        </is>
      </c>
    </row>
    <row r="18">
      <c r="M18" s="26" t="inlineStr">
        <is>
          <t>SWMS</t>
        </is>
      </c>
      <c r="Z18" t="inlineStr">
        <is>
          <t>SWMS</t>
        </is>
      </c>
      <c r="AA18" t="inlineStr">
        <is>
          <t>Safe work method statement</t>
        </is>
      </c>
    </row>
    <row r="19">
      <c r="M19" s="26" t="inlineStr">
        <is>
          <t>PHO</t>
        </is>
      </c>
      <c r="Z19" t="inlineStr">
        <is>
          <t>PHO</t>
        </is>
      </c>
      <c r="AA19" t="inlineStr">
        <is>
          <t>Photo</t>
        </is>
      </c>
    </row>
    <row r="20">
      <c r="M20" s="26" t="inlineStr">
        <is>
          <t>COR</t>
        </is>
      </c>
      <c r="Z20" t="inlineStr">
        <is>
          <t>COR</t>
        </is>
      </c>
      <c r="AA20" t="inlineStr">
        <is>
          <t>Correspondence</t>
        </is>
      </c>
    </row>
    <row r="21">
      <c r="M21" s="26" t="inlineStr">
        <is>
          <t>FIN</t>
        </is>
      </c>
      <c r="Z21" t="inlineStr">
        <is>
          <t>FIN</t>
        </is>
      </c>
      <c r="AA21" t="inlineStr">
        <is>
          <t>Finance (loan, valuation, drawdown)</t>
        </is>
      </c>
    </row>
    <row r="22">
      <c r="M22" s="26" t="inlineStr">
        <is>
          <t>PLN</t>
        </is>
      </c>
      <c r="Z22" t="inlineStr">
        <is>
          <t>PLN</t>
        </is>
      </c>
      <c r="AA22" t="inlineStr">
        <is>
          <t>Plan, program or cost plan</t>
        </is>
      </c>
    </row>
    <row r="23">
      <c r="M23" s="26" t="inlineStr">
        <is>
          <t>MAN</t>
        </is>
      </c>
      <c r="Z23" t="inlineStr">
        <is>
          <t>MAN</t>
        </is>
      </c>
      <c r="AA23" t="inlineStr">
        <is>
          <t>Manual</t>
        </is>
      </c>
    </row>
    <row r="24">
      <c r="M24" s="26" t="inlineStr">
        <is>
          <t>WAR</t>
        </is>
      </c>
      <c r="Z24" t="inlineStr">
        <is>
          <t>WAR</t>
        </is>
      </c>
      <c r="AA24" t="inlineStr">
        <is>
          <t>Warranty</t>
        </is>
      </c>
    </row>
    <row r="25">
      <c r="M25" s="26" t="inlineStr">
        <is>
          <t>OTH</t>
        </is>
      </c>
      <c r="Z25" t="inlineStr">
        <is>
          <t>OTH</t>
        </is>
      </c>
      <c r="AA25" t="inlineStr">
        <is>
          <t>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2026-10-17T08:28:51Z</dcterms:created>
  <dcterms:modified xmlns:dcterms="http://purl.org/dc/terms/" xmlns:xsi="http://www.w3.org/2001/XMLSchema-instance" xsi:type="dcterms:W3CDTF">2026-10-17T08:28:52Z</dcterms:modified>
</cp:coreProperties>
</file>