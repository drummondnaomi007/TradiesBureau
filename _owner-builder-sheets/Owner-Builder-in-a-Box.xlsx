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Dashboard" sheetId="2" state="visible" r:id="rId2"/>
    <sheet xmlns:r="http://schemas.openxmlformats.org/officeDocument/2006/relationships" name="Project" sheetId="3" state="visible" r:id="rId3"/>
    <sheet xmlns:r="http://schemas.openxmlformats.org/officeDocument/2006/relationships" name="Gate Review" sheetId="4" state="visible" r:id="rId4"/>
    <sheet xmlns:r="http://schemas.openxmlformats.org/officeDocument/2006/relationships" name="Gateways" sheetId="5" state="visible" r:id="rId5"/>
    <sheet xmlns:r="http://schemas.openxmlformats.org/officeDocument/2006/relationships" name="Compliance" sheetId="6" state="visible" r:id="rId6"/>
    <sheet xmlns:r="http://schemas.openxmlformats.org/officeDocument/2006/relationships" name="Rooms" sheetId="7" state="visible" r:id="rId7"/>
    <sheet xmlns:r="http://schemas.openxmlformats.org/officeDocument/2006/relationships" name="Selections" sheetId="8" state="visible" r:id="rId8"/>
    <sheet xmlns:r="http://schemas.openxmlformats.org/officeDocument/2006/relationships" name="Diary" sheetId="9" state="visible" r:id="rId9"/>
    <sheet xmlns:r="http://schemas.openxmlformats.org/officeDocument/2006/relationships" name="Photos" sheetId="10" state="visible" r:id="rId10"/>
    <sheet xmlns:r="http://schemas.openxmlformats.org/officeDocument/2006/relationships" name="Documents" sheetId="11" state="visible" r:id="rId11"/>
    <sheet xmlns:r="http://schemas.openxmlformats.org/officeDocument/2006/relationships" name="Packages" sheetId="12" state="visible" r:id="rId12"/>
    <sheet xmlns:r="http://schemas.openxmlformats.org/officeDocument/2006/relationships" name="Trades" sheetId="13" state="visible" r:id="rId13"/>
    <sheet xmlns:r="http://schemas.openxmlformats.org/officeDocument/2006/relationships" name="Tender Setup" sheetId="14" state="visible" r:id="rId14"/>
    <sheet xmlns:r="http://schemas.openxmlformats.org/officeDocument/2006/relationships" name="Tenders" sheetId="15" state="visible" r:id="rId15"/>
    <sheet xmlns:r="http://schemas.openxmlformats.org/officeDocument/2006/relationships" name="Variations" sheetId="16" state="visible" r:id="rId16"/>
    <sheet xmlns:r="http://schemas.openxmlformats.org/officeDocument/2006/relationships" name="Payments" sheetId="17" state="visible" r:id="rId17"/>
    <sheet xmlns:r="http://schemas.openxmlformats.org/officeDocument/2006/relationships" name="Certificates" sheetId="18" state="visible" r:id="rId18"/>
    <sheet xmlns:r="http://schemas.openxmlformats.org/officeDocument/2006/relationships" name="Risks" sheetId="19" state="visible" r:id="rId19"/>
    <sheet xmlns:r="http://schemas.openxmlformats.org/officeDocument/2006/relationships" name="Drive Map" sheetId="20" state="visible" r:id="rId20"/>
    <sheet xmlns:r="http://schemas.openxmlformats.org/officeDocument/2006/relationships" name="Guides" sheetId="21" state="visible" r:id="rId21"/>
    <sheet xmlns:r="http://schemas.openxmlformats.org/officeDocument/2006/relationships" name="Q&amp;A" sheetId="22" state="visible" r:id="rId22"/>
    <sheet xmlns:r="http://schemas.openxmlformats.org/officeDocument/2006/relationships" name="Reference" sheetId="23" state="visible" r:id="rId23"/>
    <sheet xmlns:r="http://schemas.openxmlformats.org/officeDocument/2006/relationships" name="Lists" sheetId="24" state="hidden" r:id="rId24"/>
  </sheets>
  <definedNames>
    <definedName name="_xlnm._FilterDatabase" localSheetId="3" hidden="1">'Gate Review'!$A$3:$O$11</definedName>
    <definedName name="_xlnm._FilterDatabase" localSheetId="4" hidden="1">'Gateways'!$A$3:$J$114</definedName>
    <definedName name="_xlnm._FilterDatabase" localSheetId="5" hidden="1">'Compliance'!$A$3:$M$79</definedName>
    <definedName name="_xlnm._FilterDatabase" localSheetId="6" hidden="1">'Rooms'!$A$3:$L$63</definedName>
    <definedName name="_xlnm._FilterDatabase" localSheetId="7" hidden="1">'Selections'!$A$3:$O$153</definedName>
    <definedName name="_xlnm._FilterDatabase" localSheetId="8" hidden="1">'Diary'!$A$3:$L$303</definedName>
    <definedName name="_xlnm._FilterDatabase" localSheetId="9" hidden="1">'Photos'!$A$3:$I$303</definedName>
    <definedName name="_xlnm._FilterDatabase" localSheetId="10" hidden="1">'Documents'!$A$3:$R$303</definedName>
    <definedName name="_xlnm._FilterDatabase" localSheetId="11" hidden="1">'Packages'!$A$3:$R$33</definedName>
    <definedName name="_xlnm._FilterDatabase" localSheetId="12" hidden="1">'Trades'!$A$3:$Z$103</definedName>
    <definedName name="_xlnm._FilterDatabase" localSheetId="13" hidden="1">'Tender Setup'!$A$3:$P$33</definedName>
    <definedName name="_xlnm._FilterDatabase" localSheetId="14" hidden="1">'Tenders'!$A$3:$AD$103</definedName>
    <definedName name="_xlnm._FilterDatabase" localSheetId="15" hidden="1">'Variations'!$A$3:$L$153</definedName>
    <definedName name="_xlnm._FilterDatabase" localSheetId="16" hidden="1">'Payments'!$A$3:$O$303</definedName>
    <definedName name="_xlnm._FilterDatabase" localSheetId="17" hidden="1">'Certificates'!$A$3:$M$51</definedName>
    <definedName name="_xlnm._FilterDatabase" localSheetId="18" hidden="1">'Risks'!$A$3:$K$63</definedName>
    <definedName name="_xlnm._FilterDatabase" localSheetId="20" hidden="1">'Guides'!$A$3:$E$18</definedName>
    <definedName name="_xlnm._FilterDatabase" localSheetId="21" hidden="1">'Q&amp;A'!$A$3:$C$42</definedName>
  </definedNames>
  <calcPr calcId="124519" fullCalcOnLoad="1"/>
</workbook>
</file>

<file path=xl/styles.xml><?xml version="1.0" encoding="utf-8"?>
<styleSheet xmlns="http://schemas.openxmlformats.org/spreadsheetml/2006/main">
  <numFmts count="5">
    <numFmt numFmtId="164" formatCode="d mmm yyyy"/>
    <numFmt numFmtId="165" formatCode="0.0"/>
    <numFmt numFmtId="166" formatCode="&quot;$&quot;#,##0"/>
    <numFmt numFmtId="167" formatCode="&quot;$&quot;#,##0;[Red](&quot;$&quot;#,##0)"/>
    <numFmt numFmtId="168" formatCode="&quot;$&quot;#,##0;[Red]-&quot;$&quot;#,##0"/>
  </numFmts>
  <fonts count="5">
    <font>
      <name val="Calibri"/>
      <family val="2"/>
      <color theme="1"/>
      <sz val="11"/>
      <scheme val="minor"/>
    </font>
    <font>
      <b val="1"/>
    </font>
    <font>
      <b val="1"/>
      <color rgb="000B6E8F"/>
      <sz val="16"/>
    </font>
    <font>
      <i val="1"/>
      <color rgb="005A6B7D"/>
    </font>
    <font>
      <b val="1"/>
      <color rgb="00FFFFFF"/>
    </font>
  </fonts>
  <fills count="8">
    <fill>
      <patternFill/>
    </fill>
    <fill>
      <patternFill patternType="gray125"/>
    </fill>
    <fill>
      <patternFill patternType="solid">
        <fgColor rgb="001A365D"/>
      </patternFill>
    </fill>
    <fill>
      <patternFill patternType="solid">
        <fgColor rgb="002D5A8C"/>
      </patternFill>
    </fill>
    <fill>
      <patternFill patternType="solid">
        <fgColor rgb="00F1F4F7"/>
      </patternFill>
    </fill>
    <fill>
      <patternFill patternType="solid">
        <fgColor rgb="00FFF4D6"/>
      </patternFill>
    </fill>
    <fill>
      <patternFill patternType="solid">
        <fgColor rgb="00E8F1F6"/>
      </patternFill>
    </fill>
    <fill>
      <patternFill patternType="solid">
        <fgColor rgb="00FFFBE6"/>
      </patternFill>
    </fill>
  </fills>
  <borders count="2">
    <border>
      <left/>
      <right/>
      <top/>
      <bottom/>
      <diagonal/>
    </border>
    <border>
      <bottom style="thin">
        <color rgb="00D5DDE5"/>
      </bottom>
    </border>
  </borders>
  <cellStyleXfs count="1">
    <xf numFmtId="0" fontId="0" fillId="0" borderId="0"/>
  </cellStyleXfs>
  <cellXfs count="34">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2"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4" borderId="0" pivotButton="0" quotePrefix="0" xfId="0"/>
    <xf numFmtId="9" fontId="0" fillId="4" borderId="0" pivotButton="0" quotePrefix="0" xfId="0"/>
    <xf numFmtId="166" fontId="0" fillId="4" borderId="0" pivotButton="0" quotePrefix="0" xfId="0"/>
    <xf numFmtId="167" fontId="0" fillId="4" borderId="0" pivotButton="0" quotePrefix="0" xfId="0"/>
    <xf numFmtId="0" fontId="1" fillId="0" borderId="0" pivotButton="0" quotePrefix="0" xfId="0"/>
    <xf numFmtId="9" fontId="0" fillId="0" borderId="0" pivotButton="0" quotePrefix="0" xfId="0"/>
    <xf numFmtId="0" fontId="1" fillId="6" borderId="0" pivotButton="0" quotePrefix="0" xfId="0"/>
    <xf numFmtId="0" fontId="0" fillId="6" borderId="0" pivotButton="0" quotePrefix="0" xfId="0"/>
    <xf numFmtId="0" fontId="0" fillId="7" borderId="1" pivotButton="0" quotePrefix="0" xfId="0"/>
    <xf numFmtId="164" fontId="0" fillId="7" borderId="1" pivotButton="0" quotePrefix="0" xfId="0"/>
    <xf numFmtId="166" fontId="0" fillId="7" borderId="1" pivotButton="0" quotePrefix="0" xfId="0"/>
    <xf numFmtId="9" fontId="0" fillId="7" borderId="1" pivotButton="0" quotePrefix="0" xfId="0"/>
    <xf numFmtId="0" fontId="4" fillId="2" borderId="0" applyAlignment="1" pivotButton="0" quotePrefix="0" xfId="0">
      <alignment vertical="center" wrapText="1"/>
    </xf>
    <xf numFmtId="0" fontId="4" fillId="3" borderId="0" applyAlignment="1" pivotButton="0" quotePrefix="0" xfId="0">
      <alignment vertical="center" wrapText="1"/>
    </xf>
    <xf numFmtId="164" fontId="0" fillId="0" borderId="0" pivotButton="0" quotePrefix="0" xfId="0"/>
    <xf numFmtId="0" fontId="0" fillId="5" borderId="0" pivotButton="0" quotePrefix="0" xfId="0"/>
    <xf numFmtId="2" fontId="0" fillId="5" borderId="0" pivotButton="0" quotePrefix="0" xfId="0"/>
    <xf numFmtId="165" fontId="0" fillId="4" borderId="0" pivotButton="0" quotePrefix="0" xfId="0"/>
    <xf numFmtId="0" fontId="0" fillId="5" borderId="0" applyAlignment="1" pivotButton="0" quotePrefix="0" xfId="0">
      <alignment vertical="top" wrapText="1"/>
    </xf>
    <xf numFmtId="2" fontId="0" fillId="0" borderId="0" pivotButton="0" quotePrefix="0" xfId="0"/>
    <xf numFmtId="166" fontId="0" fillId="5" borderId="0" pivotButton="0" quotePrefix="0" xfId="0"/>
    <xf numFmtId="164" fontId="0" fillId="5" borderId="0" pivotButton="0" quotePrefix="0" xfId="0"/>
    <xf numFmtId="166" fontId="0" fillId="0" borderId="0" pivotButton="0" quotePrefix="0" xfId="0"/>
    <xf numFmtId="49" fontId="0" fillId="5" borderId="0" pivotButton="0" quotePrefix="0" xfId="0"/>
    <xf numFmtId="49" fontId="0" fillId="0" borderId="0" pivotButton="0" quotePrefix="0" xfId="0"/>
    <xf numFmtId="168" fontId="0" fillId="0" borderId="0" pivotButton="0" quotePrefix="0" xfId="0"/>
    <xf numFmtId="49" fontId="0" fillId="0" borderId="0" applyAlignment="1" pivotButton="0" quotePrefix="0" xfId="0">
      <alignment vertical="top" wrapText="1"/>
    </xf>
  </cellXfs>
  <cellStyles count="1">
    <cellStyle name="Normal" xfId="0" builtinId="0" hidden="0"/>
  </cellStyles>
  <dxfs count="3">
    <dxf>
      <fill>
        <patternFill patternType="solid">
          <fgColor rgb="00D4EDDA"/>
        </patternFill>
      </fill>
    </dxf>
    <dxf>
      <fill>
        <patternFill patternType="solid">
          <fgColor rgb="00FFE8B0"/>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B6E8F"/>
    <outlinePr summaryBelow="1" summaryRight="1"/>
    <pageSetUpPr/>
  </sheetPr>
  <dimension ref="A1:B30"/>
  <sheetViews>
    <sheetView workbookViewId="0">
      <selection activeCell="A1" sqref="A1"/>
    </sheetView>
  </sheetViews>
  <sheetFormatPr baseColWidth="8" defaultRowHeight="15"/>
  <cols>
    <col width="22" customWidth="1" min="1" max="1"/>
    <col width="100" customWidth="1" min="2" max="2"/>
  </cols>
  <sheetData>
    <row r="1" ht="24" customHeight="1">
      <c r="A1" s="1" t="inlineStr">
        <is>
          <t>Owner Builder in a Box: offline workbook</t>
        </is>
      </c>
    </row>
    <row r="2">
      <c r="A2" s="2" t="inlineStr">
        <is>
          <t>Your whole owner-build in one spreadsheet. Works offline in Excel, Numbers, LibreOffice or Google Sheets (offline mode).</t>
        </is>
      </c>
    </row>
    <row r="4">
      <c r="A4" s="3" t="inlineStr">
        <is>
          <t>How it works</t>
        </is>
      </c>
      <c r="B4" s="4" t="n"/>
    </row>
    <row r="5">
      <c r="A5" s="5" t="inlineStr">
        <is>
          <t>Colours</t>
        </is>
      </c>
      <c r="B5" s="6" t="inlineStr">
        <is>
          <t>White cells are for you. Grey cells are calculated, so don't type over them. Pale yellow rows are examples: delete them when you're ready (the Dashboard counts what's left).</t>
        </is>
      </c>
    </row>
    <row r="6">
      <c r="A6" s="5" t="inlineStr">
        <is>
          <t>Start here</t>
        </is>
      </c>
      <c r="B6" s="6" t="inlineStr">
        <is>
          <t>1. Fill in the Project tab.  2. Set your budgets on Packages.  3. Work through Compliance and Gateways from G0.  4. Log everything else as it happens.</t>
        </is>
      </c>
    </row>
    <row r="7">
      <c r="A7" s="5" t="inlineStr">
        <is>
          <t>Files</t>
        </is>
      </c>
      <c r="B7" s="6" t="inlineStr">
        <is>
          <t>Documents live in Google Drive, not in the workbook. Register each one on the Documents tab: it builds a Doc ID (e.g. 02-DWG-012), the file name to use, and the Drive folder to save it in. Paste the Drive link once it's uploaded.</t>
        </is>
      </c>
    </row>
    <row r="8">
      <c r="A8" s="5" t="inlineStr">
        <is>
          <t>Offline</t>
        </is>
      </c>
      <c r="B8" s="6" t="inlineStr">
        <is>
          <t>Excel / Numbers / LibreOffice: open this file and work. With Google Drive for desktop the project folder is on your computer too, so you can save files offline and they sync later. Google Sheets: turn on Drive &gt; Settings &gt; Offline, or in the Sheets app tap ⋮ &gt; Make available offline. The Apps Script menu needs a connection.</t>
        </is>
      </c>
    </row>
    <row r="9">
      <c r="A9" s="5" t="inlineStr">
        <is>
          <t>Google Sheets set-up</t>
        </is>
      </c>
      <c r="B9" s="6" t="inlineStr">
        <is>
          <t>Upload this file to Drive, open it, then File &gt; Save as Google Sheets. Then Extensions &gt; Apps Script, paste in Code.gs, save and reload. A new Owner Builder menu appears: Set up Drive folders creates the folder tree for this build and links every folder path in the workbook.</t>
        </is>
      </c>
    </row>
    <row r="10">
      <c r="A10" s="3" t="inlineStr">
        <is>
          <t>Tabs</t>
        </is>
      </c>
      <c r="B10" s="4" t="n"/>
    </row>
    <row r="11">
      <c r="A11" s="5" t="inlineStr">
        <is>
          <t>Dashboard</t>
        </is>
      </c>
      <c r="B11" s="6" t="inlineStr">
        <is>
          <t>Current gateway, money, compliance progress and everything that needs attention.</t>
        </is>
      </c>
    </row>
    <row r="12">
      <c r="A12" s="5" t="inlineStr">
        <is>
          <t>Project</t>
        </is>
      </c>
      <c r="B12" s="6" t="inlineStr">
        <is>
          <t>Address, title, owners, budget, permits, site classification.</t>
        </is>
      </c>
    </row>
    <row r="13">
      <c r="A13" s="5" t="inlineStr">
        <is>
          <t>Gate Review</t>
        </is>
      </c>
      <c r="B13" s="6" t="inlineStr">
        <is>
          <t>G0 to G7: progress against entry, deliverables and exit checks, with your Go / Hold / Stop decision.</t>
        </is>
      </c>
    </row>
    <row r="14">
      <c r="A14" s="5" t="inlineStr">
        <is>
          <t>Gateways</t>
        </is>
      </c>
      <c r="B14" s="6" t="inlineStr">
        <is>
          <t>Every entry criterion, deliverable and exit check for each gate.</t>
        </is>
      </c>
    </row>
    <row r="15">
      <c r="A15" s="5" t="inlineStr">
        <is>
          <t>Compliance</t>
        </is>
      </c>
      <c r="B15" s="6" t="inlineStr">
        <is>
          <t>The 11-stage Victorian owner-builder checklist, with the folder to file the evidence in.</t>
        </is>
      </c>
    </row>
    <row r="16">
      <c r="A16" s="5" t="inlineStr">
        <is>
          <t>Rooms</t>
        </is>
      </c>
      <c r="B16" s="6" t="inlineStr">
        <is>
          <t>Room sizes give floor area, paint area, skirting length and tile quantities.</t>
        </is>
      </c>
    </row>
    <row r="17">
      <c r="A17" s="5" t="inlineStr">
        <is>
          <t>Selections</t>
        </is>
      </c>
      <c r="B17" s="6" t="inlineStr">
        <is>
          <t>Every product decision: spec, supplier, price, status.</t>
        </is>
      </c>
    </row>
    <row r="18">
      <c r="A18" s="5" t="inlineStr">
        <is>
          <t>Diary</t>
        </is>
      </c>
      <c r="B18" s="6" t="inlineStr">
        <is>
          <t>Site diary, plan notes, instructions to trades, defects, questions for the building surveyor.</t>
        </is>
      </c>
    </row>
    <row r="19">
      <c r="A19" s="5" t="inlineStr">
        <is>
          <t>Photos</t>
        </is>
      </c>
      <c r="B19" s="6" t="inlineStr">
        <is>
          <t>Log of site photos, especially before anything is covered.</t>
        </is>
      </c>
    </row>
    <row r="20">
      <c r="A20" s="5" t="inlineStr">
        <is>
          <t>Documents</t>
        </is>
      </c>
      <c r="B20" s="6" t="inlineStr">
        <is>
          <t>The register of every file in Google Drive, with Doc IDs and file names.</t>
        </is>
      </c>
    </row>
    <row r="21">
      <c r="A21" s="5" t="inlineStr">
        <is>
          <t>Packages</t>
        </is>
      </c>
      <c r="B21" s="6" t="inlineStr">
        <is>
          <t>20 trade packages: budget, committed, paid and forecast.</t>
        </is>
      </c>
    </row>
    <row r="22">
      <c r="A22" s="5" t="inlineStr">
        <is>
          <t>Trades</t>
        </is>
      </c>
      <c r="B22" s="6" t="inlineStr">
        <is>
          <t>Contacts, licences, insurance, SWMS, contracts, deposit checks, expiry alerts.</t>
        </is>
      </c>
    </row>
    <row r="23">
      <c r="A23" s="5" t="inlineStr">
        <is>
          <t>Tender Setup / Tenders</t>
        </is>
      </c>
      <c r="B23" s="6" t="inlineStr">
        <is>
          <t>Quote comparison: compliance gates, price levelling, weighted scoring and a recommendation per package.</t>
        </is>
      </c>
    </row>
    <row r="24">
      <c r="A24" s="5" t="inlineStr">
        <is>
          <t>Variations / Payments</t>
        </is>
      </c>
      <c r="B24" s="6" t="inlineStr">
        <is>
          <t>Written variations and every invoice. They feed the Packages costs.</t>
        </is>
      </c>
    </row>
    <row r="25">
      <c r="A25" s="5" t="inlineStr">
        <is>
          <t>Certificates</t>
        </is>
      </c>
      <c r="B25" s="6" t="inlineStr">
        <is>
          <t>Mandatory inspections and the certificates needed for the final inspection.</t>
        </is>
      </c>
    </row>
    <row r="26">
      <c r="A26" s="5" t="inlineStr">
        <is>
          <t>Risks</t>
        </is>
      </c>
      <c r="B26" s="6" t="inlineStr">
        <is>
          <t>Starter risk register with likelihood × impact ratings.</t>
        </is>
      </c>
    </row>
    <row r="27">
      <c r="A27" s="5" t="inlineStr">
        <is>
          <t>Drive Map</t>
        </is>
      </c>
      <c r="B27" s="6" t="inlineStr">
        <is>
          <t>The Google Drive folder tree, what goes in each folder, and the file naming rules.</t>
        </is>
      </c>
    </row>
    <row r="28">
      <c r="A28" s="5" t="inlineStr">
        <is>
          <t>Guides / Q&amp;A / Reference</t>
        </is>
      </c>
      <c r="B28" s="6" t="inlineStr">
        <is>
          <t>Buying guides, plain-English answers and key numbers from Owner Builder in a Box. Read-only.</t>
        </is>
      </c>
    </row>
    <row r="29">
      <c r="A29" s="3" t="inlineStr">
        <is>
          <t>Important</t>
        </is>
      </c>
      <c r="B29" s="4" t="n"/>
    </row>
    <row r="30">
      <c r="A30" s="5" t="inlineStr">
        <is>
          <t>Not advice</t>
        </is>
      </c>
      <c r="B30" s="6" t="inlineStr">
        <is>
          <t>General information only. It is not legal, financial or building advice. Always confirm current requirements with the Building and Plumbing Commission (BPC), your relevant building surveyor, your council and WorkSafe Victoria. Victorian rules checked September 2026.</t>
        </is>
      </c>
    </row>
  </sheetData>
  <pageMargins left="0.75" right="0.75" top="1" bottom="1" header="0.5" footer="0.5"/>
</worksheet>
</file>

<file path=xl/worksheets/sheet2.xml><?xml version="1.0" encoding="utf-8"?>
<worksheet xmlns="http://schemas.openxmlformats.org/spreadsheetml/2006/main">
  <sheetPr>
    <tabColor rgb="000B6E8F"/>
    <outlinePr summaryBelow="1" summaryRight="1"/>
    <pageSetUpPr/>
  </sheetPr>
  <dimension ref="A1:F51"/>
  <sheetViews>
    <sheetView workbookViewId="0">
      <selection activeCell="A1" sqref="A1"/>
    </sheetView>
  </sheetViews>
  <sheetFormatPr baseColWidth="8" defaultRowHeight="15"/>
  <cols>
    <col width="34" customWidth="1" min="1" max="1"/>
    <col width="16" customWidth="1" min="2" max="2"/>
    <col width="12" customWidth="1" min="3" max="3"/>
    <col width="12" customWidth="1" min="4" max="4"/>
    <col width="12" customWidth="1" min="5" max="5"/>
    <col width="40" customWidth="1" min="6" max="6"/>
  </cols>
  <sheetData>
    <row r="1" ht="24" customHeight="1">
      <c r="A1" s="1" t="inlineStr">
        <is>
          <t>Dashboard</t>
        </is>
      </c>
    </row>
    <row r="2">
      <c r="A2" s="2" t="inlineStr">
        <is>
          <t>Where the build is up to. Everything here is calculated; change the other tabs, not this one.</t>
        </is>
      </c>
    </row>
    <row r="4">
      <c r="A4" s="3" t="inlineStr">
        <is>
          <t>Project</t>
        </is>
      </c>
      <c r="B4" s="4" t="n"/>
      <c r="C4" s="4" t="n"/>
      <c r="D4" s="4" t="n"/>
      <c r="E4" s="4" t="n"/>
      <c r="F4" s="4" t="n"/>
    </row>
    <row r="5">
      <c r="A5" t="inlineStr">
        <is>
          <t>Project</t>
        </is>
      </c>
      <c r="B5" s="7">
        <f>IF(Project!$B$5="","(name it on the Project tab)",Project!$B$5)</f>
        <v/>
      </c>
    </row>
    <row r="6">
      <c r="A6" t="inlineStr">
        <is>
          <t>Current gateway</t>
        </is>
      </c>
      <c r="B6" s="7">
        <f>Project!$B$12&amp;" "&amp;IFERROR(INDEX('Gate Review'!$B$4:$B$11,MATCH(Project!$B$12,'Gate Review'!$A$4:$A$11,0)),"")</f>
        <v/>
      </c>
    </row>
    <row r="7">
      <c r="A7" t="inlineStr">
        <is>
          <t>Exit checks done at this gate</t>
        </is>
      </c>
      <c r="B7" s="8">
        <f>IFERROR(INDEX('Gate Review'!$H$4:$H$11,MATCH(Project!$B$12,'Gate Review'!$A$4:$A$11,0)),"")</f>
        <v/>
      </c>
    </row>
    <row r="8">
      <c r="A8" t="inlineStr">
        <is>
          <t>Ready to pass?</t>
        </is>
      </c>
      <c r="B8" s="7">
        <f>IFERROR(INDEX('Gate Review'!$I$4:$I$11,MATCH(Project!$B$12,'Gate Review'!$A$4:$A$11,0)),"")</f>
        <v/>
      </c>
    </row>
    <row r="10">
      <c r="A10" s="3" t="inlineStr">
        <is>
          <t>Money</t>
        </is>
      </c>
      <c r="B10" s="4" t="n"/>
      <c r="C10" s="4" t="n"/>
      <c r="D10" s="4" t="n"/>
      <c r="E10" s="4" t="n"/>
      <c r="F10" s="4" t="n"/>
    </row>
    <row r="11">
      <c r="A11" t="inlineStr">
        <is>
          <t>Total budget</t>
        </is>
      </c>
      <c r="B11" s="9">
        <f>N(Project!$B$16)</f>
        <v/>
      </c>
    </row>
    <row r="12">
      <c r="A12" t="inlineStr">
        <is>
          <t>Contingency in the budget</t>
        </is>
      </c>
      <c r="B12" s="9">
        <f>B11*N(Project!$B$17)</f>
        <v/>
      </c>
    </row>
    <row r="13">
      <c r="A13" t="inlineStr">
        <is>
          <t>Allocated to packages</t>
        </is>
      </c>
      <c r="B13" s="9">
        <f>SUM('Packages'!$H$4:$H$33)</f>
        <v/>
      </c>
      <c r="F13" s="2" t="inlineStr">
        <is>
          <t>Sum of Packages budgets. Should be about the total budget less contingency.</t>
        </is>
      </c>
    </row>
    <row r="14">
      <c r="A14" t="inlineStr">
        <is>
          <t>Committed (contracts + approved variations)</t>
        </is>
      </c>
      <c r="B14" s="9">
        <f>SUM('Packages'!$K$4:$K$33)</f>
        <v/>
      </c>
    </row>
    <row r="15">
      <c r="A15" t="inlineStr">
        <is>
          <t>Committed as % of package budgets</t>
        </is>
      </c>
      <c r="B15" s="8">
        <f>IF(B13=0,"",B14/B13)</f>
        <v/>
      </c>
      <c r="F15" s="2" t="inlineStr">
        <is>
          <t>G3 exit check: at least 80% committed before going to site.</t>
        </is>
      </c>
    </row>
    <row r="16">
      <c r="A16" t="inlineStr">
        <is>
          <t>Spent to date (paid)</t>
        </is>
      </c>
      <c r="B16" s="9">
        <f>SUMIFS('Payments'!$F$4:$F$303,'Payments'!$K$4:$K$303,"Yes")</f>
        <v/>
      </c>
    </row>
    <row r="17">
      <c r="A17" t="inlineStr">
        <is>
          <t>Budget used</t>
        </is>
      </c>
      <c r="B17" s="8">
        <f>IF(B11=0,"",B16/B11)</f>
        <v/>
      </c>
    </row>
    <row r="18">
      <c r="A18" t="inlineStr">
        <is>
          <t>Forecast final cost</t>
        </is>
      </c>
      <c r="B18" s="9">
        <f>SUM('Packages'!$M$4:$M$33)</f>
        <v/>
      </c>
    </row>
    <row r="19">
      <c r="A19" t="inlineStr">
        <is>
          <t>Forecast under / (over) total budget</t>
        </is>
      </c>
      <c r="B19" s="10">
        <f>B11-B18</f>
        <v/>
      </c>
    </row>
    <row r="20">
      <c r="A20" t="inlineStr">
        <is>
          <t>Selections total</t>
        </is>
      </c>
      <c r="B20" s="9">
        <f>SUM('Selections'!$I$4:$I$153)</f>
        <v/>
      </c>
    </row>
    <row r="22">
      <c r="A22" s="3" t="inlineStr">
        <is>
          <t>Compliance by stage</t>
        </is>
      </c>
      <c r="B22" s="3" t="inlineStr">
        <is>
          <t>Items</t>
        </is>
      </c>
      <c r="C22" s="3" t="inlineStr">
        <is>
          <t>N/A</t>
        </is>
      </c>
      <c r="D22" s="3" t="inlineStr">
        <is>
          <t>Done</t>
        </is>
      </c>
      <c r="E22" s="3" t="inlineStr">
        <is>
          <t>% done</t>
        </is>
      </c>
      <c r="F22" s="4" t="n"/>
    </row>
    <row r="23">
      <c r="A23" t="inlineStr">
        <is>
          <t>1. Eligibility</t>
        </is>
      </c>
      <c r="B23" s="7">
        <f>COUNTIFS('Compliance'!$B$4:$B$79,$A23)</f>
        <v/>
      </c>
      <c r="C23" s="7">
        <f>COUNTIFS('Compliance'!$B$4:$B$79,$A23,'Compliance'!$G$4:$G$79,"N/A")</f>
        <v/>
      </c>
      <c r="D23" s="7">
        <f>COUNTIFS('Compliance'!$B$4:$B$79,$A23,'Compliance'!$G$4:$G$79,"Done")</f>
        <v/>
      </c>
      <c r="E23" s="8">
        <f>IF(B23-C23=0,"",D23/(B23-C23))</f>
        <v/>
      </c>
    </row>
    <row r="24">
      <c r="A24" t="inlineStr">
        <is>
          <t>2. Certificate of consent</t>
        </is>
      </c>
      <c r="B24" s="7">
        <f>COUNTIFS('Compliance'!$B$4:$B$79,$A24)</f>
        <v/>
      </c>
      <c r="C24" s="7">
        <f>COUNTIFS('Compliance'!$B$4:$B$79,$A24,'Compliance'!$G$4:$G$79,"N/A")</f>
        <v/>
      </c>
      <c r="D24" s="7">
        <f>COUNTIFS('Compliance'!$B$4:$B$79,$A24,'Compliance'!$G$4:$G$79,"Done")</f>
        <v/>
      </c>
      <c r="E24" s="8">
        <f>IF(B24-C24=0,"",D24/(B24-C24))</f>
        <v/>
      </c>
    </row>
    <row r="25">
      <c r="A25" t="inlineStr">
        <is>
          <t>3. Site, planning &amp; design</t>
        </is>
      </c>
      <c r="B25" s="7">
        <f>COUNTIFS('Compliance'!$B$4:$B$79,$A25)</f>
        <v/>
      </c>
      <c r="C25" s="7">
        <f>COUNTIFS('Compliance'!$B$4:$B$79,$A25,'Compliance'!$G$4:$G$79,"N/A")</f>
        <v/>
      </c>
      <c r="D25" s="7">
        <f>COUNTIFS('Compliance'!$B$4:$B$79,$A25,'Compliance'!$G$4:$G$79,"Done")</f>
        <v/>
      </c>
      <c r="E25" s="8">
        <f>IF(B25-C25=0,"",D25/(B25-C25))</f>
        <v/>
      </c>
    </row>
    <row r="26">
      <c r="A26" t="inlineStr">
        <is>
          <t>4. Building permit &amp; pre-start</t>
        </is>
      </c>
      <c r="B26" s="7">
        <f>COUNTIFS('Compliance'!$B$4:$B$79,$A26)</f>
        <v/>
      </c>
      <c r="C26" s="7">
        <f>COUNTIFS('Compliance'!$B$4:$B$79,$A26,'Compliance'!$G$4:$G$79,"N/A")</f>
        <v/>
      </c>
      <c r="D26" s="7">
        <f>COUNTIFS('Compliance'!$B$4:$B$79,$A26,'Compliance'!$G$4:$G$79,"Done")</f>
        <v/>
      </c>
      <c r="E26" s="8">
        <f>IF(B26-C26=0,"",D26/(B26-C26))</f>
        <v/>
      </c>
    </row>
    <row r="27">
      <c r="A27" t="inlineStr">
        <is>
          <t>5. Health &amp; safety (WorkSafe Victoria)</t>
        </is>
      </c>
      <c r="B27" s="7">
        <f>COUNTIFS('Compliance'!$B$4:$B$79,$A27)</f>
        <v/>
      </c>
      <c r="C27" s="7">
        <f>COUNTIFS('Compliance'!$B$4:$B$79,$A27,'Compliance'!$G$4:$G$79,"N/A")</f>
        <v/>
      </c>
      <c r="D27" s="7">
        <f>COUNTIFS('Compliance'!$B$4:$B$79,$A27,'Compliance'!$G$4:$G$79,"Done")</f>
        <v/>
      </c>
      <c r="E27" s="8">
        <f>IF(B27-C27=0,"",D27/(B27-C27))</f>
        <v/>
      </c>
    </row>
    <row r="28">
      <c r="A28" t="inlineStr">
        <is>
          <t>6. Insurance</t>
        </is>
      </c>
      <c r="B28" s="7">
        <f>COUNTIFS('Compliance'!$B$4:$B$79,$A28)</f>
        <v/>
      </c>
      <c r="C28" s="7">
        <f>COUNTIFS('Compliance'!$B$4:$B$79,$A28,'Compliance'!$G$4:$G$79,"N/A")</f>
        <v/>
      </c>
      <c r="D28" s="7">
        <f>COUNTIFS('Compliance'!$B$4:$B$79,$A28,'Compliance'!$G$4:$G$79,"Done")</f>
        <v/>
      </c>
      <c r="E28" s="8">
        <f>IF(B28-C28=0,"",D28/(B28-C28))</f>
        <v/>
      </c>
    </row>
    <row r="29">
      <c r="A29" t="inlineStr">
        <is>
          <t>7. Engaging trades</t>
        </is>
      </c>
      <c r="B29" s="7">
        <f>COUNTIFS('Compliance'!$B$4:$B$79,$A29)</f>
        <v/>
      </c>
      <c r="C29" s="7">
        <f>COUNTIFS('Compliance'!$B$4:$B$79,$A29,'Compliance'!$G$4:$G$79,"N/A")</f>
        <v/>
      </c>
      <c r="D29" s="7">
        <f>COUNTIFS('Compliance'!$B$4:$B$79,$A29,'Compliance'!$G$4:$G$79,"Done")</f>
        <v/>
      </c>
      <c r="E29" s="8">
        <f>IF(B29-C29=0,"",D29/(B29-C29))</f>
        <v/>
      </c>
    </row>
    <row r="30">
      <c r="A30" t="inlineStr">
        <is>
          <t>8. During construction</t>
        </is>
      </c>
      <c r="B30" s="7">
        <f>COUNTIFS('Compliance'!$B$4:$B$79,$A30)</f>
        <v/>
      </c>
      <c r="C30" s="7">
        <f>COUNTIFS('Compliance'!$B$4:$B$79,$A30,'Compliance'!$G$4:$G$79,"N/A")</f>
        <v/>
      </c>
      <c r="D30" s="7">
        <f>COUNTIFS('Compliance'!$B$4:$B$79,$A30,'Compliance'!$G$4:$G$79,"Done")</f>
        <v/>
      </c>
      <c r="E30" s="8">
        <f>IF(B30-C30=0,"",D30/(B30-C30))</f>
        <v/>
      </c>
    </row>
    <row r="31">
      <c r="A31" t="inlineStr">
        <is>
          <t>9. Completion &amp; occupancy</t>
        </is>
      </c>
      <c r="B31" s="7">
        <f>COUNTIFS('Compliance'!$B$4:$B$79,$A31)</f>
        <v/>
      </c>
      <c r="C31" s="7">
        <f>COUNTIFS('Compliance'!$B$4:$B$79,$A31,'Compliance'!$G$4:$G$79,"N/A")</f>
        <v/>
      </c>
      <c r="D31" s="7">
        <f>COUNTIFS('Compliance'!$B$4:$B$79,$A31,'Compliance'!$G$4:$G$79,"Done")</f>
        <v/>
      </c>
      <c r="E31" s="8">
        <f>IF(B31-C31=0,"",D31/(B31-C31))</f>
        <v/>
      </c>
    </row>
    <row r="32">
      <c r="A32" t="inlineStr">
        <is>
          <t>10. Records &amp; selling</t>
        </is>
      </c>
      <c r="B32" s="7">
        <f>COUNTIFS('Compliance'!$B$4:$B$79,$A32)</f>
        <v/>
      </c>
      <c r="C32" s="7">
        <f>COUNTIFS('Compliance'!$B$4:$B$79,$A32,'Compliance'!$G$4:$G$79,"N/A")</f>
        <v/>
      </c>
      <c r="D32" s="7">
        <f>COUNTIFS('Compliance'!$B$4:$B$79,$A32,'Compliance'!$G$4:$G$79,"Done")</f>
        <v/>
      </c>
      <c r="E32" s="8">
        <f>IF(B32-C32=0,"",D32/(B32-C32))</f>
        <v/>
      </c>
    </row>
    <row r="33">
      <c r="A33" t="inlineStr">
        <is>
          <t>11. Finance &amp; tax</t>
        </is>
      </c>
      <c r="B33" s="7">
        <f>COUNTIFS('Compliance'!$B$4:$B$79,$A33)</f>
        <v/>
      </c>
      <c r="C33" s="7">
        <f>COUNTIFS('Compliance'!$B$4:$B$79,$A33,'Compliance'!$G$4:$G$79,"N/A")</f>
        <v/>
      </c>
      <c r="D33" s="7">
        <f>COUNTIFS('Compliance'!$B$4:$B$79,$A33,'Compliance'!$G$4:$G$79,"Done")</f>
        <v/>
      </c>
      <c r="E33" s="8">
        <f>IF(B33-C33=0,"",D33/(B33-C33))</f>
        <v/>
      </c>
    </row>
    <row r="34">
      <c r="A34" s="11" t="inlineStr">
        <is>
          <t>All stages</t>
        </is>
      </c>
      <c r="B34" s="11">
        <f>SUM(B23:B33)</f>
        <v/>
      </c>
      <c r="C34" s="11">
        <f>SUM(C23:C33)</f>
        <v/>
      </c>
      <c r="D34" s="11">
        <f>SUM(D23:D33)</f>
        <v/>
      </c>
      <c r="E34" s="12">
        <f>IF(B34-C34=0,"",D34/(B34-C34))</f>
        <v/>
      </c>
    </row>
    <row r="36">
      <c r="A36" s="3" t="inlineStr">
        <is>
          <t>Needs attention</t>
        </is>
      </c>
      <c r="B36" s="3" t="inlineStr">
        <is>
          <t>Count</t>
        </is>
      </c>
      <c r="C36" s="4" t="n"/>
      <c r="D36" s="4" t="n"/>
      <c r="E36" s="4" t="n"/>
      <c r="F36" s="4" t="n"/>
    </row>
    <row r="37">
      <c r="A37" t="inlineStr">
        <is>
          <t>Trade paperwork expired</t>
        </is>
      </c>
      <c r="B37" s="7">
        <f>COUNTIF('Trades'!$W$4:$W$103,"Expired")</f>
        <v/>
      </c>
      <c r="F37" s="2" t="inlineStr">
        <is>
          <t>Trades tab: licence or insurance past its expiry date.</t>
        </is>
      </c>
    </row>
    <row r="38">
      <c r="A38" t="inlineStr">
        <is>
          <t>Trade paperwork expiring within 30 days</t>
        </is>
      </c>
      <c r="B38" s="7">
        <f>COUNTIF('Trades'!$W$4:$W$103,"Expires within 30 days")</f>
        <v/>
      </c>
      <c r="F38" s="2" t="inlineStr">
        <is>
          <t>Ask for new certificates of currency now.</t>
        </is>
      </c>
    </row>
    <row r="39">
      <c r="A39" t="inlineStr">
        <is>
          <t>Deposits over the statutory cap</t>
        </is>
      </c>
      <c r="B39" s="7">
        <f>COUNTIF('Trades'!$V$4:$V$103,"Over statutory cap")</f>
        <v/>
      </c>
      <c r="F39" s="2" t="inlineStr">
        <is>
          <t>10% under $20,000, 5% at $20,000 or more.</t>
        </is>
      </c>
    </row>
    <row r="40">
      <c r="A40" t="inlineStr">
        <is>
          <t>Invoices charging GST from unregistered trades</t>
        </is>
      </c>
      <c r="B40" s="7">
        <f>COUNTIF('Payments'!$I$4:$I$303,"GST charged, not registered")</f>
        <v/>
      </c>
    </row>
    <row r="41">
      <c r="A41" t="inlineStr">
        <is>
          <t>Unpaid invoices</t>
        </is>
      </c>
      <c r="B41" s="7">
        <f>COUNTIFS('Payments'!$F$4:$F$303,"&gt;0",'Payments'!$K$4:$K$303,"&lt;&gt;Yes")</f>
        <v/>
      </c>
    </row>
    <row r="42">
      <c r="A42" t="inlineStr">
        <is>
          <t>Open defects</t>
        </is>
      </c>
      <c r="B42" s="7">
        <f>COUNTIFS('Diary'!$B$4:$B$303,"Defect",'Diary'!$J$4:$J$303,"&lt;&gt;Yes")</f>
        <v/>
      </c>
      <c r="F42" s="2" t="inlineStr">
        <is>
          <t>Diary tab</t>
        </is>
      </c>
    </row>
    <row r="43">
      <c r="A43" t="inlineStr">
        <is>
          <t>Open questions for the building surveyor</t>
        </is>
      </c>
      <c r="B43" s="7">
        <f>COUNTIFS('Diary'!$B$4:$B$303,"Question for RBS",'Diary'!$J$4:$J$303,"&lt;&gt;Yes")</f>
        <v/>
      </c>
      <c r="F43" s="2" t="inlineStr">
        <is>
          <t>Diary tab</t>
        </is>
      </c>
    </row>
    <row r="44">
      <c r="A44" t="inlineStr">
        <is>
          <t>Pending variations</t>
        </is>
      </c>
      <c r="B44" s="7">
        <f>COUNTIF('Variations'!$I$4:$I$153,"Pending")</f>
        <v/>
      </c>
      <c r="F44" s="2" t="inlineStr">
        <is>
          <t>Don't let work start before the price is agreed.</t>
        </is>
      </c>
    </row>
    <row r="45">
      <c r="A45" t="inlineStr">
        <is>
          <t>Selections still to choose</t>
        </is>
      </c>
      <c r="B45" s="7">
        <f>COUNTIF('Selections'!$J$4:$J$153,"To choose")</f>
        <v/>
      </c>
      <c r="F45" s="2" t="inlineStr">
        <is>
          <t>All selections must be locked before G6.</t>
        </is>
      </c>
    </row>
    <row r="46">
      <c r="A46" t="inlineStr">
        <is>
          <t>Packages forecast more than 5% over budget</t>
        </is>
      </c>
      <c r="B46" s="7">
        <f>COUNTIF('Packages'!$O$4:$O$33,"Over &gt;5%")</f>
        <v/>
      </c>
    </row>
    <row r="47">
      <c r="A47" t="inlineStr">
        <is>
          <t>Tender weights that don't add to 100</t>
        </is>
      </c>
      <c r="B47" s="7">
        <f>SUMPRODUCT(('Tender Setup'!$A$4:$A$33&lt;&gt;"")*('Tender Setup'!$I$4:$I$33&lt;&gt;100))</f>
        <v/>
      </c>
      <c r="F47" s="2" t="inlineStr">
        <is>
          <t>Tender Setup tab</t>
        </is>
      </c>
    </row>
    <row r="48">
      <c r="A48" t="inlineStr">
        <is>
          <t>Must-have certificates not yet passed</t>
        </is>
      </c>
      <c r="B48" s="7">
        <f>COUNTIFS('Certificates'!$G$4:$G$51,"Must",'Certificates'!$J$4:$J$51,"&lt;&gt;Pass")</f>
        <v/>
      </c>
      <c r="F48" s="2" t="inlineStr">
        <is>
          <t>Certificates tab. Needed before the final inspection.</t>
        </is>
      </c>
    </row>
    <row r="49">
      <c r="A49" t="inlineStr">
        <is>
          <t>High risks still open</t>
        </is>
      </c>
      <c r="B49" s="7">
        <f>COUNTIFS('Risks'!$F$4:$F$63,"High",'Risks'!$I$4:$I$63,"&lt;&gt;Closed")</f>
        <v/>
      </c>
    </row>
    <row r="50">
      <c r="A50" t="inlineStr">
        <is>
          <t>Duplicate Doc IDs</t>
        </is>
      </c>
      <c r="B50" s="7">
        <f>SUMPRODUCT(('Documents'!$E$4:$E$303&lt;&gt;"")*(COUNTIF('Documents'!$E$4:$E$303,'Documents'!$E$4:$E$303)&gt;1))</f>
        <v/>
      </c>
      <c r="F50" s="2" t="inlineStr">
        <is>
          <t>Documents tab: rows sharing a Doc ID. Should be 0.</t>
        </is>
      </c>
    </row>
    <row r="51">
      <c r="A51" t="inlineStr">
        <is>
          <t>Example rows still in the workbook</t>
        </is>
      </c>
      <c r="B51" s="7">
        <f>COUNTIF('Rooms'!$L$4:$L$63,"EXAMPLE: delete this row")+COUNTIF('Selections'!$O$4:$O$153,"EXAMPLE: delete this row")+COUNTIF('Diary'!$L$4:$L$303,"EXAMPLE: delete this row")+COUNTIF('Photos'!$I$4:$I$303,"EXAMPLE: delete this row")+COUNTIF('Documents'!$R$4:$R$303,"EXAMPLE: delete this row")+COUNTIF('Trades'!$Z$4:$Z$103,"EXAMPLE: delete this row")+COUNTIF('Tenders'!$AD$4:$AD$103,"EXAMPLE: delete this row")+COUNTIF('Payments'!$O$4:$O$303,"EXAMPLE: delete this row")</f>
        <v/>
      </c>
      <c r="F51" s="2" t="inlineStr">
        <is>
          <t>Delete them once you've seen how each tab works.</t>
        </is>
      </c>
    </row>
  </sheetData>
  <conditionalFormatting sqref="E23:E34">
    <cfRule type="cellIs" priority="1" operator="equal" dxfId="0">
      <formula>1</formula>
    </cfRule>
  </conditionalFormatting>
  <conditionalFormatting sqref="B37:B51">
    <cfRule type="cellIs" priority="2" operator="notEqual" dxfId="1">
      <formula>0</formula>
    </cfRule>
  </conditionalFormatting>
  <pageMargins left="0.75" right="0.75" top="1" bottom="1" header="0.5" footer="0.5"/>
</worksheet>
</file>

<file path=xl/worksheets/sheet3.xml><?xml version="1.0" encoding="utf-8"?>
<worksheet xmlns="http://schemas.openxmlformats.org/spreadsheetml/2006/main">
  <sheetPr>
    <tabColor rgb="000B6E8F"/>
    <outlinePr summaryBelow="1" summaryRight="1"/>
    <pageSetUpPr/>
  </sheetPr>
  <dimension ref="A1:C30"/>
  <sheetViews>
    <sheetView workbookViewId="0">
      <selection activeCell="A1" sqref="A1"/>
    </sheetView>
  </sheetViews>
  <sheetFormatPr baseColWidth="8" defaultRowHeight="15"/>
  <cols>
    <col width="32" customWidth="1" min="1" max="1"/>
    <col width="46" customWidth="1" min="2" max="2"/>
    <col width="50" customWidth="1" min="3" max="3"/>
  </cols>
  <sheetData>
    <row r="1" ht="24" customHeight="1">
      <c r="A1" s="1" t="inlineStr">
        <is>
          <t>Project</t>
        </is>
      </c>
    </row>
    <row r="2">
      <c r="A2" s="2" t="inlineStr">
        <is>
          <t>The basics, always at hand. Yellow cells are yours to fill in.</t>
        </is>
      </c>
    </row>
    <row r="4">
      <c r="A4" s="13" t="inlineStr">
        <is>
          <t>Project</t>
        </is>
      </c>
      <c r="B4" s="14" t="n"/>
    </row>
    <row r="5">
      <c r="A5" t="inlineStr">
        <is>
          <t>Project name</t>
        </is>
      </c>
      <c r="B5" s="15" t="n"/>
    </row>
    <row r="6">
      <c r="A6" t="inlineStr">
        <is>
          <t>Site address</t>
        </is>
      </c>
      <c r="B6" s="15" t="n"/>
    </row>
    <row r="7">
      <c r="A7" t="inlineStr">
        <is>
          <t>Lot / plan of subdivision</t>
        </is>
      </c>
      <c r="B7" s="15" t="n"/>
    </row>
    <row r="8">
      <c r="A8" t="inlineStr">
        <is>
          <t>Title volume / folio</t>
        </is>
      </c>
      <c r="B8" s="15" t="n"/>
    </row>
    <row r="9">
      <c r="A9" t="inlineStr">
        <is>
          <t>Owner-builder(s)</t>
        </is>
      </c>
      <c r="B9" s="15" t="n"/>
    </row>
    <row r="10">
      <c r="A10" t="inlineStr">
        <is>
          <t>Phone</t>
        </is>
      </c>
      <c r="B10" s="15" t="n"/>
    </row>
    <row r="11">
      <c r="A11" t="inlineStr">
        <is>
          <t>Email</t>
        </is>
      </c>
      <c r="B11" s="15" t="n"/>
    </row>
    <row r="12">
      <c r="A12" t="inlineStr">
        <is>
          <t>Current gateway</t>
        </is>
      </c>
      <c r="B12" s="15" t="inlineStr">
        <is>
          <t>G0</t>
        </is>
      </c>
    </row>
    <row r="13">
      <c r="A13" t="inlineStr">
        <is>
          <t>Target start</t>
        </is>
      </c>
      <c r="B13" s="16" t="n"/>
    </row>
    <row r="14">
      <c r="A14" t="inlineStr">
        <is>
          <t>Target finish</t>
        </is>
      </c>
      <c r="B14" s="16" t="n"/>
    </row>
    <row r="15">
      <c r="A15" s="13" t="inlineStr">
        <is>
          <t>Money</t>
        </is>
      </c>
      <c r="B15" s="14" t="n"/>
    </row>
    <row r="16">
      <c r="A16" t="inlineStr">
        <is>
          <t>Total budget inc GST ($)</t>
        </is>
      </c>
      <c r="B16" s="17" t="n"/>
    </row>
    <row r="17">
      <c r="A17" t="inlineStr">
        <is>
          <t>Contingency (%)</t>
        </is>
      </c>
      <c r="B17" s="18" t="n">
        <v>0.12</v>
      </c>
      <c r="C17" s="2" t="inlineStr">
        <is>
          <t>10–15% is typical. Owner-builders often underestimate site works, services and finishes.</t>
        </is>
      </c>
    </row>
    <row r="18">
      <c r="A18" t="inlineStr">
        <is>
          <t>Lender</t>
        </is>
      </c>
      <c r="B18" s="15" t="n"/>
    </row>
    <row r="19">
      <c r="A19" s="13" t="inlineStr">
        <is>
          <t>Approvals</t>
        </is>
      </c>
      <c r="B19" s="14" t="n"/>
    </row>
    <row r="20">
      <c r="A20" t="inlineStr">
        <is>
          <t>Certificate of consent no.</t>
        </is>
      </c>
      <c r="B20" s="15" t="n"/>
    </row>
    <row r="21">
      <c r="A21" t="inlineStr">
        <is>
          <t>Relevant building surveyor</t>
        </is>
      </c>
      <c r="B21" s="15" t="n"/>
    </row>
    <row r="22">
      <c r="A22" t="inlineStr">
        <is>
          <t>Building permit no.</t>
        </is>
      </c>
      <c r="B22" s="15" t="n"/>
    </row>
    <row r="23">
      <c r="A23" t="inlineStr">
        <is>
          <t>Planning permit no. (if any)</t>
        </is>
      </c>
      <c r="B23" s="15" t="n"/>
    </row>
    <row r="24">
      <c r="A24" s="13" t="inlineStr">
        <is>
          <t>Site &amp; design</t>
        </is>
      </c>
      <c r="B24" s="14" t="n"/>
    </row>
    <row r="25">
      <c r="A25" t="inlineStr">
        <is>
          <t>Soil classification (AS 2870)</t>
        </is>
      </c>
      <c r="B25" s="15" t="n"/>
    </row>
    <row r="26">
      <c r="A26" t="inlineStr">
        <is>
          <t>Wind classification</t>
        </is>
      </c>
      <c r="B26" s="15" t="n"/>
    </row>
    <row r="27">
      <c r="A27" t="inlineStr">
        <is>
          <t>BAL rating (if bushfire prone)</t>
        </is>
      </c>
      <c r="B27" s="15" t="n"/>
    </row>
    <row r="28">
      <c r="A28" t="inlineStr">
        <is>
          <t>Energy rating (stars)</t>
        </is>
      </c>
      <c r="B28" s="15" t="n"/>
    </row>
    <row r="29">
      <c r="A29" s="13" t="inlineStr">
        <is>
          <t>Google Drive</t>
        </is>
      </c>
      <c r="B29" s="14" t="n"/>
    </row>
    <row r="30">
      <c r="A30" t="inlineStr">
        <is>
          <t>Project folder link</t>
        </is>
      </c>
      <c r="B30" s="15" t="n"/>
      <c r="C30" s="2" t="inlineStr">
        <is>
          <t>Filled in by Owner Builder &gt; Set up Drive folders in Google Sheets.</t>
        </is>
      </c>
    </row>
  </sheetData>
  <dataValidations count="1">
    <dataValidation sqref="B12"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36" customWidth="1" min="3" max="3"/>
    <col width="11" customWidth="1" min="4" max="4"/>
    <col width="11" customWidth="1" min="5" max="5"/>
    <col width="8" customWidth="1" min="6" max="6"/>
    <col width="9" customWidth="1" min="7" max="7"/>
    <col width="8" customWidth="1" min="8" max="8"/>
    <col width="11" customWidth="1" min="9" max="9"/>
    <col width="9" customWidth="1" min="10" max="10"/>
    <col width="12" customWidth="1" min="11" max="11"/>
    <col width="44" customWidth="1" min="12" max="12"/>
    <col width="12" customWidth="1" min="13" max="13"/>
    <col width="14" customWidth="1" min="14" max="14"/>
    <col width="30" customWidth="1" min="15" max="15"/>
  </cols>
  <sheetData>
    <row r="1" ht="24" customHeight="1">
      <c r="A1" s="1" t="inlineStr">
        <is>
          <t>Gate review</t>
        </is>
      </c>
    </row>
    <row r="2">
      <c r="A2" s="2" t="inlineStr">
        <is>
          <t>At each gate decide Go, Hold or Stop. A gate is ready when every exit check on the Gateways tab is Yes.</t>
        </is>
      </c>
    </row>
    <row r="3" ht="32" customHeight="1">
      <c r="A3" s="19" t="inlineStr">
        <is>
          <t>Gate</t>
        </is>
      </c>
      <c r="B3" s="19" t="inlineStr">
        <is>
          <t>Name</t>
        </is>
      </c>
      <c r="C3" s="19" t="inlineStr">
        <is>
          <t>Purpose</t>
        </is>
      </c>
      <c r="D3" s="20" t="inlineStr">
        <is>
          <t>Entry criteria met</t>
        </is>
      </c>
      <c r="E3" s="20" t="inlineStr">
        <is>
          <t>Deliverables done</t>
        </is>
      </c>
      <c r="F3" s="20" t="inlineStr">
        <is>
          <t>Exit checks</t>
        </is>
      </c>
      <c r="G3" s="20" t="inlineStr">
        <is>
          <t>Exit checks done</t>
        </is>
      </c>
      <c r="H3" s="20" t="inlineStr">
        <is>
          <t>Exit %</t>
        </is>
      </c>
      <c r="I3" s="20" t="inlineStr">
        <is>
          <t>Ready to pass?</t>
        </is>
      </c>
      <c r="J3" s="19" t="inlineStr">
        <is>
          <t>Decision</t>
        </is>
      </c>
      <c r="K3" s="19" t="inlineStr">
        <is>
          <t>Decision date</t>
        </is>
      </c>
      <c r="L3" s="19" t="inlineStr">
        <is>
          <t>Decision guide</t>
        </is>
      </c>
      <c r="M3" s="19" t="inlineStr">
        <is>
          <t>Typical budget spent</t>
        </is>
      </c>
      <c r="N3" s="19" t="inlineStr">
        <is>
          <t>Typical duration</t>
        </is>
      </c>
      <c r="O3" s="19" t="inlineStr">
        <is>
          <t>Notes</t>
        </is>
      </c>
    </row>
    <row r="4">
      <c r="A4" t="inlineStr">
        <is>
          <t>G0</t>
        </is>
      </c>
      <c r="B4" t="inlineStr">
        <is>
          <t>Feasibility &amp; eligibility</t>
        </is>
      </c>
      <c r="C4" s="6" t="inlineStr">
        <is>
          <t>Can I, should I, and can I afford to owner-build?</t>
        </is>
      </c>
      <c r="D4" s="7">
        <f>COUNTIFS('Gateways'!$A$4:$A$114,A4,'Gateways'!$C$4:$C$114,"Entry criteria",'Gateways'!$E$4:$E$114,"Yes")&amp;" of "&amp;COUNTIFS('Gateways'!$A$4:$A$114,A4,'Gateways'!$C$4:$C$114,"Entry criteria")</f>
        <v/>
      </c>
      <c r="E4" s="7">
        <f>COUNTIFS('Gateways'!$A$4:$A$114,A4,'Gateways'!$C$4:$C$114,"Deliverable",'Gateways'!$E$4:$E$114,"Yes")&amp;" of "&amp;COUNTIFS('Gateways'!$A$4:$A$114,A4,'Gateways'!$C$4:$C$114,"Deliverable")</f>
        <v/>
      </c>
      <c r="F4" s="7">
        <f>COUNTIFS('Gateways'!$A$4:$A$114,A4,'Gateways'!$C$4:$C$114,"Exit check")</f>
        <v/>
      </c>
      <c r="G4" s="7">
        <f>COUNTIFS('Gateways'!$A$4:$A$114,A4,'Gateways'!$C$4:$C$114,"Exit check",'Gateways'!$E$4:$E$114,"Yes")</f>
        <v/>
      </c>
      <c r="H4" s="8">
        <f>IF(F4=0,"",G4/F4)</f>
        <v/>
      </c>
      <c r="I4" s="7">
        <f>IF(F4=0,"",IF(G4=F4,"Ready","Not yet"))</f>
        <v/>
      </c>
      <c r="K4" s="21" t="n"/>
      <c r="L4" s="6" t="inlineStr">
        <is>
          <t>Go to concept, or Stop and consider a builder or part-build instead.</t>
        </is>
      </c>
      <c r="M4" t="inlineStr">
        <is>
          <t>~0–1%</t>
        </is>
      </c>
      <c r="N4" t="inlineStr">
        <is>
          <t>1–3 months (with G1)</t>
        </is>
      </c>
      <c r="O4" s="6" t="n"/>
    </row>
    <row r="5">
      <c r="A5" t="inlineStr">
        <is>
          <t>G1</t>
        </is>
      </c>
      <c r="B5" t="inlineStr">
        <is>
          <t>Concept &amp; budget</t>
        </is>
      </c>
      <c r="C5" s="6" t="inlineStr">
        <is>
          <t>Lock the brief, the concept and the money.</t>
        </is>
      </c>
      <c r="D5" s="7">
        <f>COUNTIFS('Gateways'!$A$4:$A$114,A5,'Gateways'!$C$4:$C$114,"Entry criteria",'Gateways'!$E$4:$E$114,"Yes")&amp;" of "&amp;COUNTIFS('Gateways'!$A$4:$A$114,A5,'Gateways'!$C$4:$C$114,"Entry criteria")</f>
        <v/>
      </c>
      <c r="E5" s="7">
        <f>COUNTIFS('Gateways'!$A$4:$A$114,A5,'Gateways'!$C$4:$C$114,"Deliverable",'Gateways'!$E$4:$E$114,"Yes")&amp;" of "&amp;COUNTIFS('Gateways'!$A$4:$A$114,A5,'Gateways'!$C$4:$C$114,"Deliverable")</f>
        <v/>
      </c>
      <c r="F5" s="7">
        <f>COUNTIFS('Gateways'!$A$4:$A$114,A5,'Gateways'!$C$4:$C$114,"Exit check")</f>
        <v/>
      </c>
      <c r="G5" s="7">
        <f>COUNTIFS('Gateways'!$A$4:$A$114,A5,'Gateways'!$C$4:$C$114,"Exit check",'Gateways'!$E$4:$E$114,"Yes")</f>
        <v/>
      </c>
      <c r="H5" s="8">
        <f>IF(F5=0,"",G5/F5)</f>
        <v/>
      </c>
      <c r="I5" s="7">
        <f>IF(F5=0,"",IF(G5=F5,"Ready","Not yet"))</f>
        <v/>
      </c>
      <c r="K5" s="21" t="n"/>
      <c r="L5" s="6" t="inlineStr">
        <is>
          <t>Go to detailed design, or Hold and value-manage the concept.</t>
        </is>
      </c>
      <c r="M5" t="inlineStr">
        <is>
          <t>~2–3%</t>
        </is>
      </c>
      <c r="N5" t="inlineStr">
        <is>
          <t>1–3 months (with G0)</t>
        </is>
      </c>
      <c r="O5" s="6" t="n"/>
    </row>
    <row r="6">
      <c r="A6" t="inlineStr">
        <is>
          <t>G2</t>
        </is>
      </c>
      <c r="B6" t="inlineStr">
        <is>
          <t>Design &amp; approvals</t>
        </is>
      </c>
      <c r="C6" s="6" t="inlineStr">
        <is>
          <t>Everything you need for a building permit.</t>
        </is>
      </c>
      <c r="D6" s="7">
        <f>COUNTIFS('Gateways'!$A$4:$A$114,A6,'Gateways'!$C$4:$C$114,"Entry criteria",'Gateways'!$E$4:$E$114,"Yes")&amp;" of "&amp;COUNTIFS('Gateways'!$A$4:$A$114,A6,'Gateways'!$C$4:$C$114,"Entry criteria")</f>
        <v/>
      </c>
      <c r="E6" s="7">
        <f>COUNTIFS('Gateways'!$A$4:$A$114,A6,'Gateways'!$C$4:$C$114,"Deliverable",'Gateways'!$E$4:$E$114,"Yes")&amp;" of "&amp;COUNTIFS('Gateways'!$A$4:$A$114,A6,'Gateways'!$C$4:$C$114,"Deliverable")</f>
        <v/>
      </c>
      <c r="F6" s="7">
        <f>COUNTIFS('Gateways'!$A$4:$A$114,A6,'Gateways'!$C$4:$C$114,"Exit check")</f>
        <v/>
      </c>
      <c r="G6" s="7">
        <f>COUNTIFS('Gateways'!$A$4:$A$114,A6,'Gateways'!$C$4:$C$114,"Exit check",'Gateways'!$E$4:$E$114,"Yes")</f>
        <v/>
      </c>
      <c r="H6" s="8">
        <f>IF(F6=0,"",G6/F6)</f>
        <v/>
      </c>
      <c r="I6" s="7">
        <f>IF(F6=0,"",IF(G6=F6,"Ready","Not yet"))</f>
        <v/>
      </c>
      <c r="K6" s="21" t="n"/>
      <c r="L6" s="6" t="inlineStr">
        <is>
          <t>Go to procurement, or Hold for design changes.</t>
        </is>
      </c>
      <c r="M6" t="inlineStr">
        <is>
          <t>~5%</t>
        </is>
      </c>
      <c r="N6" t="inlineStr">
        <is>
          <t>2–6 months</t>
        </is>
      </c>
      <c r="O6" s="6" t="n"/>
    </row>
    <row r="7">
      <c r="A7" t="inlineStr">
        <is>
          <t>G3</t>
        </is>
      </c>
      <c r="B7" t="inlineStr">
        <is>
          <t>Procurement &amp; permit</t>
        </is>
      </c>
      <c r="C7" s="6" t="inlineStr">
        <is>
          <t>Right trades, right price, right paperwork. Ready to start.</t>
        </is>
      </c>
      <c r="D7" s="7">
        <f>COUNTIFS('Gateways'!$A$4:$A$114,A7,'Gateways'!$C$4:$C$114,"Entry criteria",'Gateways'!$E$4:$E$114,"Yes")&amp;" of "&amp;COUNTIFS('Gateways'!$A$4:$A$114,A7,'Gateways'!$C$4:$C$114,"Entry criteria")</f>
        <v/>
      </c>
      <c r="E7" s="7">
        <f>COUNTIFS('Gateways'!$A$4:$A$114,A7,'Gateways'!$C$4:$C$114,"Deliverable",'Gateways'!$E$4:$E$114,"Yes")&amp;" of "&amp;COUNTIFS('Gateways'!$A$4:$A$114,A7,'Gateways'!$C$4:$C$114,"Deliverable")</f>
        <v/>
      </c>
      <c r="F7" s="7">
        <f>COUNTIFS('Gateways'!$A$4:$A$114,A7,'Gateways'!$C$4:$C$114,"Exit check")</f>
        <v/>
      </c>
      <c r="G7" s="7">
        <f>COUNTIFS('Gateways'!$A$4:$A$114,A7,'Gateways'!$C$4:$C$114,"Exit check",'Gateways'!$E$4:$E$114,"Yes")</f>
        <v/>
      </c>
      <c r="H7" s="8">
        <f>IF(F7=0,"",G7/F7)</f>
        <v/>
      </c>
      <c r="I7" s="7">
        <f>IF(F7=0,"",IF(G7=F7,"Ready","Not yet"))</f>
        <v/>
      </c>
      <c r="K7" s="21" t="n"/>
      <c r="L7" s="6" t="inlineStr">
        <is>
          <t>Go to site, or Hold until the price and paperwork are right.</t>
        </is>
      </c>
      <c r="M7" t="inlineStr">
        <is>
          <t>~8%</t>
        </is>
      </c>
      <c r="N7" t="inlineStr">
        <is>
          <t>1–2 months</t>
        </is>
      </c>
      <c r="O7" s="6" t="n"/>
    </row>
    <row r="8">
      <c r="A8" t="inlineStr">
        <is>
          <t>G4</t>
        </is>
      </c>
      <c r="B8" t="inlineStr">
        <is>
          <t>Site works &amp; base</t>
        </is>
      </c>
      <c r="C8" s="6" t="inlineStr">
        <is>
          <t>Out of the ground: set-out, services, footings and slab.</t>
        </is>
      </c>
      <c r="D8" s="7">
        <f>COUNTIFS('Gateways'!$A$4:$A$114,A8,'Gateways'!$C$4:$C$114,"Entry criteria",'Gateways'!$E$4:$E$114,"Yes")&amp;" of "&amp;COUNTIFS('Gateways'!$A$4:$A$114,A8,'Gateways'!$C$4:$C$114,"Entry criteria")</f>
        <v/>
      </c>
      <c r="E8" s="7">
        <f>COUNTIFS('Gateways'!$A$4:$A$114,A8,'Gateways'!$C$4:$C$114,"Deliverable",'Gateways'!$E$4:$E$114,"Yes")&amp;" of "&amp;COUNTIFS('Gateways'!$A$4:$A$114,A8,'Gateways'!$C$4:$C$114,"Deliverable")</f>
        <v/>
      </c>
      <c r="F8" s="7">
        <f>COUNTIFS('Gateways'!$A$4:$A$114,A8,'Gateways'!$C$4:$C$114,"Exit check")</f>
        <v/>
      </c>
      <c r="G8" s="7">
        <f>COUNTIFS('Gateways'!$A$4:$A$114,A8,'Gateways'!$C$4:$C$114,"Exit check",'Gateways'!$E$4:$E$114,"Yes")</f>
        <v/>
      </c>
      <c r="H8" s="8">
        <f>IF(F8=0,"",G8/F8)</f>
        <v/>
      </c>
      <c r="I8" s="7">
        <f>IF(F8=0,"",IF(G8=F8,"Ready","Not yet"))</f>
        <v/>
      </c>
      <c r="K8" s="21" t="n"/>
      <c r="L8" s="6" t="inlineStr">
        <is>
          <t>Go to frame.</t>
        </is>
      </c>
      <c r="M8" t="inlineStr">
        <is>
          <t>~15–20%</t>
        </is>
      </c>
      <c r="N8" t="inlineStr">
        <is>
          <t>4–8 weeks</t>
        </is>
      </c>
      <c r="O8" s="6" t="n"/>
    </row>
    <row r="9">
      <c r="A9" t="inlineStr">
        <is>
          <t>G5</t>
        </is>
      </c>
      <c r="B9" t="inlineStr">
        <is>
          <t>Frame &amp; lock-up</t>
        </is>
      </c>
      <c r="C9" s="6" t="inlineStr">
        <is>
          <t>Structure, roof, windows and doors. Weather-tight and secure.</t>
        </is>
      </c>
      <c r="D9" s="7">
        <f>COUNTIFS('Gateways'!$A$4:$A$114,A9,'Gateways'!$C$4:$C$114,"Entry criteria",'Gateways'!$E$4:$E$114,"Yes")&amp;" of "&amp;COUNTIFS('Gateways'!$A$4:$A$114,A9,'Gateways'!$C$4:$C$114,"Entry criteria")</f>
        <v/>
      </c>
      <c r="E9" s="7">
        <f>COUNTIFS('Gateways'!$A$4:$A$114,A9,'Gateways'!$C$4:$C$114,"Deliverable",'Gateways'!$E$4:$E$114,"Yes")&amp;" of "&amp;COUNTIFS('Gateways'!$A$4:$A$114,A9,'Gateways'!$C$4:$C$114,"Deliverable")</f>
        <v/>
      </c>
      <c r="F9" s="7">
        <f>COUNTIFS('Gateways'!$A$4:$A$114,A9,'Gateways'!$C$4:$C$114,"Exit check")</f>
        <v/>
      </c>
      <c r="G9" s="7">
        <f>COUNTIFS('Gateways'!$A$4:$A$114,A9,'Gateways'!$C$4:$C$114,"Exit check",'Gateways'!$E$4:$E$114,"Yes")</f>
        <v/>
      </c>
      <c r="H9" s="8">
        <f>IF(F9=0,"",G9/F9)</f>
        <v/>
      </c>
      <c r="I9" s="7">
        <f>IF(F9=0,"",IF(G9=F9,"Ready","Not yet"))</f>
        <v/>
      </c>
      <c r="K9" s="21" t="n"/>
      <c r="L9" s="6" t="inlineStr">
        <is>
          <t>Go to fit-out.</t>
        </is>
      </c>
      <c r="M9" t="inlineStr">
        <is>
          <t>~45–55%</t>
        </is>
      </c>
      <c r="N9" t="inlineStr">
        <is>
          <t>8–12 weeks</t>
        </is>
      </c>
      <c r="O9" s="6" t="n"/>
    </row>
    <row r="10">
      <c r="A10" t="inlineStr">
        <is>
          <t>G6</t>
        </is>
      </c>
      <c r="B10" t="inlineStr">
        <is>
          <t>Fit-out &amp; fixing</t>
        </is>
      </c>
      <c r="C10" s="6" t="inlineStr">
        <is>
          <t>Plaster to paint, wet areas, kitchen, fit-off.</t>
        </is>
      </c>
      <c r="D10" s="7">
        <f>COUNTIFS('Gateways'!$A$4:$A$114,A10,'Gateways'!$C$4:$C$114,"Entry criteria",'Gateways'!$E$4:$E$114,"Yes")&amp;" of "&amp;COUNTIFS('Gateways'!$A$4:$A$114,A10,'Gateways'!$C$4:$C$114,"Entry criteria")</f>
        <v/>
      </c>
      <c r="E10" s="7">
        <f>COUNTIFS('Gateways'!$A$4:$A$114,A10,'Gateways'!$C$4:$C$114,"Deliverable",'Gateways'!$E$4:$E$114,"Yes")&amp;" of "&amp;COUNTIFS('Gateways'!$A$4:$A$114,A10,'Gateways'!$C$4:$C$114,"Deliverable")</f>
        <v/>
      </c>
      <c r="F10" s="7">
        <f>COUNTIFS('Gateways'!$A$4:$A$114,A10,'Gateways'!$C$4:$C$114,"Exit check")</f>
        <v/>
      </c>
      <c r="G10" s="7">
        <f>COUNTIFS('Gateways'!$A$4:$A$114,A10,'Gateways'!$C$4:$C$114,"Exit check",'Gateways'!$E$4:$E$114,"Yes")</f>
        <v/>
      </c>
      <c r="H10" s="8">
        <f>IF(F10=0,"",G10/F10)</f>
        <v/>
      </c>
      <c r="I10" s="7">
        <f>IF(F10=0,"",IF(G10=F10,"Ready","Not yet"))</f>
        <v/>
      </c>
      <c r="K10" s="21" t="n"/>
      <c r="L10" s="6" t="inlineStr">
        <is>
          <t>Go to final.</t>
        </is>
      </c>
      <c r="M10" t="inlineStr">
        <is>
          <t>~85–90%</t>
        </is>
      </c>
      <c r="N10" t="inlineStr">
        <is>
          <t>12–20 weeks</t>
        </is>
      </c>
      <c r="O10" s="6" t="n"/>
    </row>
    <row r="11">
      <c r="A11" t="inlineStr">
        <is>
          <t>G7</t>
        </is>
      </c>
      <c r="B11" t="inlineStr">
        <is>
          <t>Completion &amp; handover</t>
        </is>
      </c>
      <c r="C11" s="6" t="inlineStr">
        <is>
          <t>Occupancy, close-out and your handover file.</t>
        </is>
      </c>
      <c r="D11" s="7">
        <f>COUNTIFS('Gateways'!$A$4:$A$114,A11,'Gateways'!$C$4:$C$114,"Entry criteria",'Gateways'!$E$4:$E$114,"Yes")&amp;" of "&amp;COUNTIFS('Gateways'!$A$4:$A$114,A11,'Gateways'!$C$4:$C$114,"Entry criteria")</f>
        <v/>
      </c>
      <c r="E11" s="7">
        <f>COUNTIFS('Gateways'!$A$4:$A$114,A11,'Gateways'!$C$4:$C$114,"Deliverable",'Gateways'!$E$4:$E$114,"Yes")&amp;" of "&amp;COUNTIFS('Gateways'!$A$4:$A$114,A11,'Gateways'!$C$4:$C$114,"Deliverable")</f>
        <v/>
      </c>
      <c r="F11" s="7">
        <f>COUNTIFS('Gateways'!$A$4:$A$114,A11,'Gateways'!$C$4:$C$114,"Exit check")</f>
        <v/>
      </c>
      <c r="G11" s="7">
        <f>COUNTIFS('Gateways'!$A$4:$A$114,A11,'Gateways'!$C$4:$C$114,"Exit check",'Gateways'!$E$4:$E$114,"Yes")</f>
        <v/>
      </c>
      <c r="H11" s="8">
        <f>IF(F11=0,"",G11/F11)</f>
        <v/>
      </c>
      <c r="I11" s="7">
        <f>IF(F11=0,"",IF(G11=F11,"Ready","Not yet"))</f>
        <v/>
      </c>
      <c r="K11" s="21" t="n"/>
      <c r="L11" s="6" t="inlineStr">
        <is>
          <t>Close the project. Welcome home.</t>
        </is>
      </c>
      <c r="M11" t="inlineStr">
        <is>
          <t>100%</t>
        </is>
      </c>
      <c r="N11" t="inlineStr">
        <is>
          <t>2–6 weeks</t>
        </is>
      </c>
      <c r="O11" s="6" t="n"/>
    </row>
  </sheetData>
  <autoFilter ref="A3:O11"/>
  <conditionalFormatting sqref="I4:I11">
    <cfRule type="cellIs" priority="1" operator="equal" dxfId="0">
      <formula>"Ready"</formula>
    </cfRule>
  </conditionalFormatting>
  <conditionalFormatting sqref="J4:J11">
    <cfRule type="cellIs" priority="2" operator="equal" dxfId="0">
      <formula>"Go"</formula>
    </cfRule>
    <cfRule type="cellIs" priority="3" operator="equal" dxfId="1">
      <formula>"Hold"</formula>
    </cfRule>
    <cfRule type="cellIs" priority="4" operator="equal" dxfId="2">
      <formula>"Stop"</formula>
    </cfRule>
  </conditionalFormatting>
  <dataValidations count="1">
    <dataValidation sqref="J4:J11" showDropDown="0" showInputMessage="0" showErrorMessage="0" allowBlank="1" error="Pick a value from the list." type="list" errorStyle="warning">
      <formula1>=Lists!$G$2:$G$4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4"/>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52" customWidth="1" min="4" max="4"/>
    <col width="9" customWidth="1" min="5" max="5"/>
    <col width="12" customWidth="1" min="6" max="6"/>
    <col width="16" customWidth="1" min="7" max="7"/>
    <col width="30" customWidth="1" min="8" max="8"/>
    <col width="8" customWidth="1" min="9" max="9"/>
    <col width="36" customWidth="1" min="10" max="10"/>
  </cols>
  <sheetData>
    <row r="1" ht="24" customHeight="1">
      <c r="A1" s="1" t="inlineStr">
        <is>
          <t>Gateways G0 to G7</t>
        </is>
      </c>
    </row>
    <row r="2">
      <c r="A2" s="2" t="inlineStr">
        <is>
          <t>Tick each entry criterion, deliverable and exit check as it's met. A gate is ready to pass when every exit check is Yes (see Gate Review).</t>
        </is>
      </c>
    </row>
    <row r="3" ht="32" customHeight="1">
      <c r="A3" s="19" t="inlineStr">
        <is>
          <t>Gate</t>
        </is>
      </c>
      <c r="B3" s="19" t="inlineStr">
        <is>
          <t>Gate name</t>
        </is>
      </c>
      <c r="C3" s="19" t="inlineStr">
        <is>
          <t>Type</t>
        </is>
      </c>
      <c r="D3" s="19" t="inlineStr">
        <is>
          <t>Item</t>
        </is>
      </c>
      <c r="E3" s="19" t="inlineStr">
        <is>
          <t>Done?</t>
        </is>
      </c>
      <c r="F3" s="19" t="inlineStr">
        <is>
          <t>Date</t>
        </is>
      </c>
      <c r="G3" s="19" t="inlineStr">
        <is>
          <t>Evidence Doc ID</t>
        </is>
      </c>
      <c r="H3" s="19" t="inlineStr">
        <is>
          <t>Drive folder (suggested)</t>
        </is>
      </c>
      <c r="I3" s="20" t="inlineStr">
        <is>
          <t>Folder</t>
        </is>
      </c>
      <c r="J3" s="19" t="inlineStr">
        <is>
          <t>Notes</t>
        </is>
      </c>
    </row>
    <row r="4">
      <c r="A4" t="inlineStr">
        <is>
          <t>G0</t>
        </is>
      </c>
      <c r="B4" t="inlineStr">
        <is>
          <t>Feasibility &amp; eligibility</t>
        </is>
      </c>
      <c r="C4" t="inlineStr">
        <is>
          <t>Entry criteria</t>
        </is>
      </c>
      <c r="D4" s="6" t="inlineStr">
        <is>
          <t>You own, or are buying, the land</t>
        </is>
      </c>
      <c r="F4" s="21" t="n"/>
      <c r="H4" t="inlineStr"/>
      <c r="I4" s="7">
        <f>IF(H4="","",IF(IFERROR(INDEX('Drive Map'!$G$4:$G$33,MATCH(H4,'Drive Map'!$B$4:$B$33,0))&amp;"","")="","",HYPERLINK(INDEX('Drive Map'!$G$4:$G$33,MATCH(H4,'Drive Map'!$B$4:$B$33,0)),"Open")))</f>
        <v/>
      </c>
      <c r="J4" s="6" t="n"/>
    </row>
    <row r="5">
      <c r="A5" t="inlineStr">
        <is>
          <t>G0</t>
        </is>
      </c>
      <c r="B5" t="inlineStr">
        <is>
          <t>Feasibility &amp; eligibility</t>
        </is>
      </c>
      <c r="C5" t="inlineStr">
        <is>
          <t>Entry criteria</t>
        </is>
      </c>
      <c r="D5" s="6" t="inlineStr">
        <is>
          <t>You have a rough idea of the home you want</t>
        </is>
      </c>
      <c r="F5" s="21" t="n"/>
      <c r="H5" t="inlineStr"/>
      <c r="I5" s="7">
        <f>IF(H5="","",IF(IFERROR(INDEX('Drive Map'!$G$4:$G$33,MATCH(H5,'Drive Map'!$B$4:$B$33,0))&amp;"","")="","",HYPERLINK(INDEX('Drive Map'!$G$4:$G$33,MATCH(H5,'Drive Map'!$B$4:$B$33,0)),"Open")))</f>
        <v/>
      </c>
      <c r="J5" s="6" t="n"/>
    </row>
    <row r="6">
      <c r="A6" t="inlineStr">
        <is>
          <t>G0</t>
        </is>
      </c>
      <c r="B6" t="inlineStr">
        <is>
          <t>Feasibility &amp; eligibility</t>
        </is>
      </c>
      <c r="C6" t="inlineStr">
        <is>
          <t>Entry criteria</t>
        </is>
      </c>
      <c r="D6" s="6" t="inlineStr">
        <is>
          <t>You know how much time you can commit each week</t>
        </is>
      </c>
      <c r="F6" s="21" t="n"/>
      <c r="H6" t="inlineStr"/>
      <c r="I6" s="7">
        <f>IF(H6="","",IF(IFERROR(INDEX('Drive Map'!$G$4:$G$33,MATCH(H6,'Drive Map'!$B$4:$B$33,0))&amp;"","")="","",HYPERLINK(INDEX('Drive Map'!$G$4:$G$33,MATCH(H6,'Drive Map'!$B$4:$B$33,0)),"Open")))</f>
        <v/>
      </c>
      <c r="J6" s="6" t="n"/>
    </row>
    <row r="7">
      <c r="A7" t="inlineStr">
        <is>
          <t>G0</t>
        </is>
      </c>
      <c r="B7" t="inlineStr">
        <is>
          <t>Feasibility &amp; eligibility</t>
        </is>
      </c>
      <c r="C7" t="inlineStr">
        <is>
          <t>Deliverable</t>
        </is>
      </c>
      <c r="D7" s="6" t="inlineStr">
        <is>
          <t>Eligibility self-check (s25E)</t>
        </is>
      </c>
      <c r="F7" s="21" t="n"/>
      <c r="H7" t="inlineStr">
        <is>
          <t>01 Eligibility, Land &amp; Planning</t>
        </is>
      </c>
      <c r="I7" s="7">
        <f>IF(H7="","",IF(IFERROR(INDEX('Drive Map'!$G$4:$G$33,MATCH(H7,'Drive Map'!$B$4:$B$33,0))&amp;"","")="","",HYPERLINK(INDEX('Drive Map'!$G$4:$G$33,MATCH(H7,'Drive Map'!$B$4:$B$33,0)),"Open")))</f>
        <v/>
      </c>
      <c r="J7" s="6" t="n"/>
    </row>
    <row r="8">
      <c r="A8" t="inlineStr">
        <is>
          <t>G0</t>
        </is>
      </c>
      <c r="B8" t="inlineStr">
        <is>
          <t>Feasibility &amp; eligibility</t>
        </is>
      </c>
      <c r="C8" t="inlineStr">
        <is>
          <t>Deliverable</t>
        </is>
      </c>
      <c r="D8" s="6" t="inlineStr">
        <is>
          <t>Title, zoning &amp; overlay review</t>
        </is>
      </c>
      <c r="F8" s="21" t="n"/>
      <c r="H8" t="inlineStr">
        <is>
          <t>01 Eligibility, Land &amp; Planning</t>
        </is>
      </c>
      <c r="I8" s="7">
        <f>IF(H8="","",IF(IFERROR(INDEX('Drive Map'!$G$4:$G$33,MATCH(H8,'Drive Map'!$B$4:$B$33,0))&amp;"","")="","",HYPERLINK(INDEX('Drive Map'!$G$4:$G$33,MATCH(H8,'Drive Map'!$B$4:$B$33,0)),"Open")))</f>
        <v/>
      </c>
      <c r="J8" s="6" t="n"/>
    </row>
    <row r="9">
      <c r="A9" t="inlineStr">
        <is>
          <t>G0</t>
        </is>
      </c>
      <c r="B9" t="inlineStr">
        <is>
          <t>Feasibility &amp; eligibility</t>
        </is>
      </c>
      <c r="C9" t="inlineStr">
        <is>
          <t>Deliverable</t>
        </is>
      </c>
      <c r="D9" s="6" t="inlineStr">
        <is>
          <t>Order-of-magnitude budget ($/m² × area)</t>
        </is>
      </c>
      <c r="F9" s="21" t="n"/>
      <c r="H9" t="inlineStr">
        <is>
          <t>03 Permits, Insurance &amp; Finance</t>
        </is>
      </c>
      <c r="I9" s="7">
        <f>IF(H9="","",IF(IFERROR(INDEX('Drive Map'!$G$4:$G$33,MATCH(H9,'Drive Map'!$B$4:$B$33,0))&amp;"","")="","",HYPERLINK(INDEX('Drive Map'!$G$4:$G$33,MATCH(H9,'Drive Map'!$B$4:$B$33,0)),"Open")))</f>
        <v/>
      </c>
      <c r="J9" s="6" t="n"/>
    </row>
    <row r="10">
      <c r="A10" t="inlineStr">
        <is>
          <t>G0</t>
        </is>
      </c>
      <c r="B10" t="inlineStr">
        <is>
          <t>Feasibility &amp; eligibility</t>
        </is>
      </c>
      <c r="C10" t="inlineStr">
        <is>
          <t>Deliverable</t>
        </is>
      </c>
      <c r="D10" s="6" t="inlineStr">
        <is>
          <t>Finance conversation with an owner-builder-friendly lender</t>
        </is>
      </c>
      <c r="F10" s="21" t="n"/>
      <c r="H10" t="inlineStr">
        <is>
          <t>03 Permits, Insurance &amp; Finance</t>
        </is>
      </c>
      <c r="I10" s="7">
        <f>IF(H10="","",IF(IFERROR(INDEX('Drive Map'!$G$4:$G$33,MATCH(H10,'Drive Map'!$B$4:$B$33,0))&amp;"","")="","",HYPERLINK(INDEX('Drive Map'!$G$4:$G$33,MATCH(H10,'Drive Map'!$B$4:$B$33,0)),"Open")))</f>
        <v/>
      </c>
      <c r="J10" s="6" t="n"/>
    </row>
    <row r="11">
      <c r="A11" t="inlineStr">
        <is>
          <t>G0</t>
        </is>
      </c>
      <c r="B11" t="inlineStr">
        <is>
          <t>Feasibility &amp; eligibility</t>
        </is>
      </c>
      <c r="C11" t="inlineStr">
        <is>
          <t>Deliverable</t>
        </is>
      </c>
      <c r="D11" s="6" t="inlineStr">
        <is>
          <t>Honest skills &amp; time assessment</t>
        </is>
      </c>
      <c r="F11" s="21" t="n"/>
      <c r="H11" t="inlineStr">
        <is>
          <t>00 Project Register</t>
        </is>
      </c>
      <c r="I11" s="7">
        <f>IF(H11="","",IF(IFERROR(INDEX('Drive Map'!$G$4:$G$33,MATCH(H11,'Drive Map'!$B$4:$B$33,0))&amp;"","")="","",HYPERLINK(INDEX('Drive Map'!$G$4:$G$33,MATCH(H11,'Drive Map'!$B$4:$B$33,0)),"Open")))</f>
        <v/>
      </c>
      <c r="J11" s="6" t="n"/>
    </row>
    <row r="12">
      <c r="A12" t="inlineStr">
        <is>
          <t>G0</t>
        </is>
      </c>
      <c r="B12" t="inlineStr">
        <is>
          <t>Feasibility &amp; eligibility</t>
        </is>
      </c>
      <c r="C12" t="inlineStr">
        <is>
          <t>Exit check</t>
        </is>
      </c>
      <c r="D12" s="6" t="inlineStr">
        <is>
          <t>Eligible, or exemption pathway known</t>
        </is>
      </c>
      <c r="F12" s="21" t="n"/>
      <c r="H12" t="inlineStr"/>
      <c r="I12" s="7">
        <f>IF(H12="","",IF(IFERROR(INDEX('Drive Map'!$G$4:$G$33,MATCH(H12,'Drive Map'!$B$4:$B$33,0))&amp;"","")="","",HYPERLINK(INDEX('Drive Map'!$G$4:$G$33,MATCH(H12,'Drive Map'!$B$4:$B$33,0)),"Open")))</f>
        <v/>
      </c>
      <c r="J12" s="6" t="n"/>
    </row>
    <row r="13">
      <c r="A13" t="inlineStr">
        <is>
          <t>G0</t>
        </is>
      </c>
      <c r="B13" t="inlineStr">
        <is>
          <t>Feasibility &amp; eligibility</t>
        </is>
      </c>
      <c r="C13" t="inlineStr">
        <is>
          <t>Exit check</t>
        </is>
      </c>
      <c r="D13" s="6" t="inlineStr">
        <is>
          <t>No title or planning showstoppers</t>
        </is>
      </c>
      <c r="F13" s="21" t="n"/>
      <c r="H13" t="inlineStr"/>
      <c r="I13" s="7">
        <f>IF(H13="","",IF(IFERROR(INDEX('Drive Map'!$G$4:$G$33,MATCH(H13,'Drive Map'!$B$4:$B$33,0))&amp;"","")="","",HYPERLINK(INDEX('Drive Map'!$G$4:$G$33,MATCH(H13,'Drive Map'!$B$4:$B$33,0)),"Open")))</f>
        <v/>
      </c>
      <c r="J13" s="6" t="n"/>
    </row>
    <row r="14">
      <c r="A14" t="inlineStr">
        <is>
          <t>G0</t>
        </is>
      </c>
      <c r="B14" t="inlineStr">
        <is>
          <t>Feasibility &amp; eligibility</t>
        </is>
      </c>
      <c r="C14" t="inlineStr">
        <is>
          <t>Exit check</t>
        </is>
      </c>
      <c r="D14" s="6" t="inlineStr">
        <is>
          <t>Budget and finance roughly align</t>
        </is>
      </c>
      <c r="F14" s="21" t="n"/>
      <c r="H14" t="inlineStr"/>
      <c r="I14" s="7">
        <f>IF(H14="","",IF(IFERROR(INDEX('Drive Map'!$G$4:$G$33,MATCH(H14,'Drive Map'!$B$4:$B$33,0))&amp;"","")="","",HYPERLINK(INDEX('Drive Map'!$G$4:$G$33,MATCH(H14,'Drive Map'!$B$4:$B$33,0)),"Open")))</f>
        <v/>
      </c>
      <c r="J14" s="6" t="n"/>
    </row>
    <row r="15">
      <c r="A15" t="inlineStr">
        <is>
          <t>G0</t>
        </is>
      </c>
      <c r="B15" t="inlineStr">
        <is>
          <t>Feasibility &amp; eligibility</t>
        </is>
      </c>
      <c r="C15" t="inlineStr">
        <is>
          <t>Exit check</t>
        </is>
      </c>
      <c r="D15" s="6" t="inlineStr">
        <is>
          <t>Household agrees on time, stress and risk</t>
        </is>
      </c>
      <c r="F15" s="21" t="n"/>
      <c r="H15" t="inlineStr"/>
      <c r="I15" s="7">
        <f>IF(H15="","",IF(IFERROR(INDEX('Drive Map'!$G$4:$G$33,MATCH(H15,'Drive Map'!$B$4:$B$33,0))&amp;"","")="","",HYPERLINK(INDEX('Drive Map'!$G$4:$G$33,MATCH(H15,'Drive Map'!$B$4:$B$33,0)),"Open")))</f>
        <v/>
      </c>
      <c r="J15" s="6" t="n"/>
    </row>
    <row r="16">
      <c r="A16" t="inlineStr">
        <is>
          <t>G1</t>
        </is>
      </c>
      <c r="B16" t="inlineStr">
        <is>
          <t>Concept &amp; budget</t>
        </is>
      </c>
      <c r="C16" t="inlineStr">
        <is>
          <t>Entry criteria</t>
        </is>
      </c>
      <c r="D16" s="6" t="inlineStr">
        <is>
          <t>G0 passed</t>
        </is>
      </c>
      <c r="F16" s="21" t="n"/>
      <c r="H16" t="inlineStr"/>
      <c r="I16" s="7">
        <f>IF(H16="","",IF(IFERROR(INDEX('Drive Map'!$G$4:$G$33,MATCH(H16,'Drive Map'!$B$4:$B$33,0))&amp;"","")="","",HYPERLINK(INDEX('Drive Map'!$G$4:$G$33,MATCH(H16,'Drive Map'!$B$4:$B$33,0)),"Open")))</f>
        <v/>
      </c>
      <c r="J16" s="6" t="n"/>
    </row>
    <row r="17">
      <c r="A17" t="inlineStr">
        <is>
          <t>G1</t>
        </is>
      </c>
      <c r="B17" t="inlineStr">
        <is>
          <t>Concept &amp; budget</t>
        </is>
      </c>
      <c r="C17" t="inlineStr">
        <is>
          <t>Entry criteria</t>
        </is>
      </c>
      <c r="D17" s="6" t="inlineStr">
        <is>
          <t>Designer or architect engaged</t>
        </is>
      </c>
      <c r="F17" s="21" t="n"/>
      <c r="H17" t="inlineStr"/>
      <c r="I17" s="7">
        <f>IF(H17="","",IF(IFERROR(INDEX('Drive Map'!$G$4:$G$33,MATCH(H17,'Drive Map'!$B$4:$B$33,0))&amp;"","")="","",HYPERLINK(INDEX('Drive Map'!$G$4:$G$33,MATCH(H17,'Drive Map'!$B$4:$B$33,0)),"Open")))</f>
        <v/>
      </c>
      <c r="J17" s="6" t="n"/>
    </row>
    <row r="18">
      <c r="A18" t="inlineStr">
        <is>
          <t>G1</t>
        </is>
      </c>
      <c r="B18" t="inlineStr">
        <is>
          <t>Concept &amp; budget</t>
        </is>
      </c>
      <c r="C18" t="inlineStr">
        <is>
          <t>Entry criteria</t>
        </is>
      </c>
      <c r="D18" s="6" t="inlineStr">
        <is>
          <t>Feature &amp; level survey and soil test ordered</t>
        </is>
      </c>
      <c r="F18" s="21" t="n"/>
      <c r="H18" t="inlineStr"/>
      <c r="I18" s="7">
        <f>IF(H18="","",IF(IFERROR(INDEX('Drive Map'!$G$4:$G$33,MATCH(H18,'Drive Map'!$B$4:$B$33,0))&amp;"","")="","",HYPERLINK(INDEX('Drive Map'!$G$4:$G$33,MATCH(H18,'Drive Map'!$B$4:$B$33,0)),"Open")))</f>
        <v/>
      </c>
      <c r="J18" s="6" t="n"/>
    </row>
    <row r="19">
      <c r="A19" t="inlineStr">
        <is>
          <t>G1</t>
        </is>
      </c>
      <c r="B19" t="inlineStr">
        <is>
          <t>Concept &amp; budget</t>
        </is>
      </c>
      <c r="C19" t="inlineStr">
        <is>
          <t>Deliverable</t>
        </is>
      </c>
      <c r="D19" s="6" t="inlineStr">
        <is>
          <t>Written design brief (rooms, sizes, must-haves, nice-to-haves)</t>
        </is>
      </c>
      <c r="F19" s="21" t="n"/>
      <c r="H19" t="inlineStr">
        <is>
          <t>02 Design &amp; Engineering</t>
        </is>
      </c>
      <c r="I19" s="7">
        <f>IF(H19="","",IF(IFERROR(INDEX('Drive Map'!$G$4:$G$33,MATCH(H19,'Drive Map'!$B$4:$B$33,0))&amp;"","")="","",HYPERLINK(INDEX('Drive Map'!$G$4:$G$33,MATCH(H19,'Drive Map'!$B$4:$B$33,0)),"Open")))</f>
        <v/>
      </c>
      <c r="J19" s="6" t="n"/>
    </row>
    <row r="20">
      <c r="A20" t="inlineStr">
        <is>
          <t>G1</t>
        </is>
      </c>
      <c r="B20" t="inlineStr">
        <is>
          <t>Concept &amp; budget</t>
        </is>
      </c>
      <c r="C20" t="inlineStr">
        <is>
          <t>Deliverable</t>
        </is>
      </c>
      <c r="D20" s="6" t="inlineStr">
        <is>
          <t>Concept plans &amp; room schedule in My Build</t>
        </is>
      </c>
      <c r="F20" s="21" t="n"/>
      <c r="H20" t="inlineStr">
        <is>
          <t>02 Design &amp; Engineering</t>
        </is>
      </c>
      <c r="I20" s="7">
        <f>IF(H20="","",IF(IFERROR(INDEX('Drive Map'!$G$4:$G$33,MATCH(H20,'Drive Map'!$B$4:$B$33,0))&amp;"","")="","",HYPERLINK(INDEX('Drive Map'!$G$4:$G$33,MATCH(H20,'Drive Map'!$B$4:$B$33,0)),"Open")))</f>
        <v/>
      </c>
      <c r="J20" s="6" t="n"/>
    </row>
    <row r="21">
      <c r="A21" t="inlineStr">
        <is>
          <t>G1</t>
        </is>
      </c>
      <c r="B21" t="inlineStr">
        <is>
          <t>Concept &amp; budget</t>
        </is>
      </c>
      <c r="C21" t="inlineStr">
        <is>
          <t>Deliverable</t>
        </is>
      </c>
      <c r="D21" s="6" t="inlineStr">
        <is>
          <t>Elemental cost plan with 10–15% contingency</t>
        </is>
      </c>
      <c r="F21" s="21" t="n"/>
      <c r="H21" t="inlineStr">
        <is>
          <t>03 Permits, Insurance &amp; Finance</t>
        </is>
      </c>
      <c r="I21" s="7">
        <f>IF(H21="","",IF(IFERROR(INDEX('Drive Map'!$G$4:$G$33,MATCH(H21,'Drive Map'!$B$4:$B$33,0))&amp;"","")="","",HYPERLINK(INDEX('Drive Map'!$G$4:$G$33,MATCH(H21,'Drive Map'!$B$4:$B$33,0)),"Open")))</f>
        <v/>
      </c>
      <c r="J21" s="6" t="n"/>
    </row>
    <row r="22">
      <c r="A22" t="inlineStr">
        <is>
          <t>G1</t>
        </is>
      </c>
      <c r="B22" t="inlineStr">
        <is>
          <t>Concept &amp; budget</t>
        </is>
      </c>
      <c r="C22" t="inlineStr">
        <is>
          <t>Deliverable</t>
        </is>
      </c>
      <c r="D22" s="6" t="inlineStr">
        <is>
          <t>Finance pre-approval</t>
        </is>
      </c>
      <c r="F22" s="21" t="n"/>
      <c r="H22" t="inlineStr">
        <is>
          <t>03 Permits, Insurance &amp; Finance</t>
        </is>
      </c>
      <c r="I22" s="7">
        <f>IF(H22="","",IF(IFERROR(INDEX('Drive Map'!$G$4:$G$33,MATCH(H22,'Drive Map'!$B$4:$B$33,0))&amp;"","")="","",HYPERLINK(INDEX('Drive Map'!$G$4:$G$33,MATCH(H22,'Drive Map'!$B$4:$B$33,0)),"Open")))</f>
        <v/>
      </c>
      <c r="J22" s="6" t="n"/>
    </row>
    <row r="23">
      <c r="A23" t="inlineStr">
        <is>
          <t>G1</t>
        </is>
      </c>
      <c r="B23" t="inlineStr">
        <is>
          <t>Concept &amp; budget</t>
        </is>
      </c>
      <c r="C23" t="inlineStr">
        <is>
          <t>Deliverable</t>
        </is>
      </c>
      <c r="D23" s="6" t="inlineStr">
        <is>
          <t>Draft program (target start &amp; finish)</t>
        </is>
      </c>
      <c r="F23" s="21" t="n"/>
      <c r="H23" t="inlineStr">
        <is>
          <t>00 Project Register</t>
        </is>
      </c>
      <c r="I23" s="7">
        <f>IF(H23="","",IF(IFERROR(INDEX('Drive Map'!$G$4:$G$33,MATCH(H23,'Drive Map'!$B$4:$B$33,0))&amp;"","")="","",HYPERLINK(INDEX('Drive Map'!$G$4:$G$33,MATCH(H23,'Drive Map'!$B$4:$B$33,0)),"Open")))</f>
        <v/>
      </c>
      <c r="J23" s="6" t="n"/>
    </row>
    <row r="24">
      <c r="A24" t="inlineStr">
        <is>
          <t>G1</t>
        </is>
      </c>
      <c r="B24" t="inlineStr">
        <is>
          <t>Concept &amp; budget</t>
        </is>
      </c>
      <c r="C24" t="inlineStr">
        <is>
          <t>Deliverable</t>
        </is>
      </c>
      <c r="D24" s="6" t="inlineStr">
        <is>
          <t>First risk register</t>
        </is>
      </c>
      <c r="F24" s="21" t="n"/>
      <c r="H24" t="inlineStr">
        <is>
          <t>00 Project Register</t>
        </is>
      </c>
      <c r="I24" s="7">
        <f>IF(H24="","",IF(IFERROR(INDEX('Drive Map'!$G$4:$G$33,MATCH(H24,'Drive Map'!$B$4:$B$33,0))&amp;"","")="","",HYPERLINK(INDEX('Drive Map'!$G$4:$G$33,MATCH(H24,'Drive Map'!$B$4:$B$33,0)),"Open")))</f>
        <v/>
      </c>
      <c r="J24" s="6" t="n"/>
    </row>
    <row r="25">
      <c r="A25" t="inlineStr">
        <is>
          <t>G1</t>
        </is>
      </c>
      <c r="B25" t="inlineStr">
        <is>
          <t>Concept &amp; budget</t>
        </is>
      </c>
      <c r="C25" t="inlineStr">
        <is>
          <t>Exit check</t>
        </is>
      </c>
      <c r="D25" s="6" t="inlineStr">
        <is>
          <t>Concept fits the budget, including contingency</t>
        </is>
      </c>
      <c r="F25" s="21" t="n"/>
      <c r="H25" t="inlineStr"/>
      <c r="I25" s="7">
        <f>IF(H25="","",IF(IFERROR(INDEX('Drive Map'!$G$4:$G$33,MATCH(H25,'Drive Map'!$B$4:$B$33,0))&amp;"","")="","",HYPERLINK(INDEX('Drive Map'!$G$4:$G$33,MATCH(H25,'Drive Map'!$B$4:$B$33,0)),"Open")))</f>
        <v/>
      </c>
      <c r="J25" s="6" t="n"/>
    </row>
    <row r="26">
      <c r="A26" t="inlineStr">
        <is>
          <t>G1</t>
        </is>
      </c>
      <c r="B26" t="inlineStr">
        <is>
          <t>Concept &amp; budget</t>
        </is>
      </c>
      <c r="C26" t="inlineStr">
        <is>
          <t>Exit check</t>
        </is>
      </c>
      <c r="D26" s="6" t="inlineStr">
        <is>
          <t>Concept fits the site (setbacks, overlays, fall, BAL)</t>
        </is>
      </c>
      <c r="F26" s="21" t="n"/>
      <c r="H26" t="inlineStr"/>
      <c r="I26" s="7">
        <f>IF(H26="","",IF(IFERROR(INDEX('Drive Map'!$G$4:$G$33,MATCH(H26,'Drive Map'!$B$4:$B$33,0))&amp;"","")="","",HYPERLINK(INDEX('Drive Map'!$G$4:$G$33,MATCH(H26,'Drive Map'!$B$4:$B$33,0)),"Open")))</f>
        <v/>
      </c>
      <c r="J26" s="6" t="n"/>
    </row>
    <row r="27">
      <c r="A27" t="inlineStr">
        <is>
          <t>G1</t>
        </is>
      </c>
      <c r="B27" t="inlineStr">
        <is>
          <t>Concept &amp; budget</t>
        </is>
      </c>
      <c r="C27" t="inlineStr">
        <is>
          <t>Exit check</t>
        </is>
      </c>
      <c r="D27" s="6" t="inlineStr">
        <is>
          <t>Scope frozen: changes after this cost money</t>
        </is>
      </c>
      <c r="F27" s="21" t="n"/>
      <c r="H27" t="inlineStr"/>
      <c r="I27" s="7">
        <f>IF(H27="","",IF(IFERROR(INDEX('Drive Map'!$G$4:$G$33,MATCH(H27,'Drive Map'!$B$4:$B$33,0))&amp;"","")="","",HYPERLINK(INDEX('Drive Map'!$G$4:$G$33,MATCH(H27,'Drive Map'!$B$4:$B$33,0)),"Open")))</f>
        <v/>
      </c>
      <c r="J27" s="6" t="n"/>
    </row>
    <row r="28">
      <c r="A28" t="inlineStr">
        <is>
          <t>G2</t>
        </is>
      </c>
      <c r="B28" t="inlineStr">
        <is>
          <t>Design &amp; approvals</t>
        </is>
      </c>
      <c r="C28" t="inlineStr">
        <is>
          <t>Entry criteria</t>
        </is>
      </c>
      <c r="D28" s="6" t="inlineStr">
        <is>
          <t>G1 passed, scope frozen</t>
        </is>
      </c>
      <c r="F28" s="21" t="n"/>
      <c r="H28" t="inlineStr"/>
      <c r="I28" s="7">
        <f>IF(H28="","",IF(IFERROR(INDEX('Drive Map'!$G$4:$G$33,MATCH(H28,'Drive Map'!$B$4:$B$33,0))&amp;"","")="","",HYPERLINK(INDEX('Drive Map'!$G$4:$G$33,MATCH(H28,'Drive Map'!$B$4:$B$33,0)),"Open")))</f>
        <v/>
      </c>
      <c r="J28" s="6" t="n"/>
    </row>
    <row r="29">
      <c r="A29" t="inlineStr">
        <is>
          <t>G2</t>
        </is>
      </c>
      <c r="B29" t="inlineStr">
        <is>
          <t>Design &amp; approvals</t>
        </is>
      </c>
      <c r="C29" t="inlineStr">
        <is>
          <t>Entry criteria</t>
        </is>
      </c>
      <c r="D29" s="6" t="inlineStr">
        <is>
          <t>Owner-builder eLearning &amp; white card done</t>
        </is>
      </c>
      <c r="F29" s="21" t="n"/>
      <c r="H29" t="inlineStr"/>
      <c r="I29" s="7">
        <f>IF(H29="","",IF(IFERROR(INDEX('Drive Map'!$G$4:$G$33,MATCH(H29,'Drive Map'!$B$4:$B$33,0))&amp;"","")="","",HYPERLINK(INDEX('Drive Map'!$G$4:$G$33,MATCH(H29,'Drive Map'!$B$4:$B$33,0)),"Open")))</f>
        <v/>
      </c>
      <c r="J29" s="6" t="n"/>
    </row>
    <row r="30">
      <c r="A30" t="inlineStr">
        <is>
          <t>G2</t>
        </is>
      </c>
      <c r="B30" t="inlineStr">
        <is>
          <t>Design &amp; approvals</t>
        </is>
      </c>
      <c r="C30" t="inlineStr">
        <is>
          <t>Deliverable</t>
        </is>
      </c>
      <c r="D30" s="6" t="inlineStr">
        <is>
          <t>Working drawings &amp; specification</t>
        </is>
      </c>
      <c r="F30" s="21" t="n"/>
      <c r="H30" t="inlineStr">
        <is>
          <t>02 Design &amp; Engineering</t>
        </is>
      </c>
      <c r="I30" s="7">
        <f>IF(H30="","",IF(IFERROR(INDEX('Drive Map'!$G$4:$G$33,MATCH(H30,'Drive Map'!$B$4:$B$33,0))&amp;"","")="","",HYPERLINK(INDEX('Drive Map'!$G$4:$G$33,MATCH(H30,'Drive Map'!$B$4:$B$33,0)),"Open")))</f>
        <v/>
      </c>
      <c r="J30" s="6" t="n"/>
    </row>
    <row r="31">
      <c r="A31" t="inlineStr">
        <is>
          <t>G2</t>
        </is>
      </c>
      <c r="B31" t="inlineStr">
        <is>
          <t>Design &amp; approvals</t>
        </is>
      </c>
      <c r="C31" t="inlineStr">
        <is>
          <t>Deliverable</t>
        </is>
      </c>
      <c r="D31" s="6" t="inlineStr">
        <is>
          <t>Engineering: footings, slab, frame, drainage</t>
        </is>
      </c>
      <c r="F31" s="21" t="n"/>
      <c r="H31" t="inlineStr">
        <is>
          <t>02 Design &amp; Engineering</t>
        </is>
      </c>
      <c r="I31" s="7">
        <f>IF(H31="","",IF(IFERROR(INDEX('Drive Map'!$G$4:$G$33,MATCH(H31,'Drive Map'!$B$4:$B$33,0))&amp;"","")="","",HYPERLINK(INDEX('Drive Map'!$G$4:$G$33,MATCH(H31,'Drive Map'!$B$4:$B$33,0)),"Open")))</f>
        <v/>
      </c>
      <c r="J31" s="6" t="n"/>
    </row>
    <row r="32">
      <c r="A32" t="inlineStr">
        <is>
          <t>G2</t>
        </is>
      </c>
      <c r="B32" t="inlineStr">
        <is>
          <t>Design &amp; approvals</t>
        </is>
      </c>
      <c r="C32" t="inlineStr">
        <is>
          <t>Deliverable</t>
        </is>
      </c>
      <c r="D32" s="6" t="inlineStr">
        <is>
          <t>7-star energy report</t>
        </is>
      </c>
      <c r="F32" s="21" t="n"/>
      <c r="H32" t="inlineStr">
        <is>
          <t>02 Design &amp; Engineering</t>
        </is>
      </c>
      <c r="I32" s="7">
        <f>IF(H32="","",IF(IFERROR(INDEX('Drive Map'!$G$4:$G$33,MATCH(H32,'Drive Map'!$B$4:$B$33,0))&amp;"","")="","",HYPERLINK(INDEX('Drive Map'!$G$4:$G$33,MATCH(H32,'Drive Map'!$B$4:$B$33,0)),"Open")))</f>
        <v/>
      </c>
      <c r="J32" s="6" t="n"/>
    </row>
    <row r="33">
      <c r="A33" t="inlineStr">
        <is>
          <t>G2</t>
        </is>
      </c>
      <c r="B33" t="inlineStr">
        <is>
          <t>Design &amp; approvals</t>
        </is>
      </c>
      <c r="C33" t="inlineStr">
        <is>
          <t>Deliverable</t>
        </is>
      </c>
      <c r="D33" s="6" t="inlineStr">
        <is>
          <t>BAL assessment (if bushfire prone)</t>
        </is>
      </c>
      <c r="F33" s="21" t="n"/>
      <c r="H33" t="inlineStr">
        <is>
          <t>02 Design &amp; Engineering</t>
        </is>
      </c>
      <c r="I33" s="7">
        <f>IF(H33="","",IF(IFERROR(INDEX('Drive Map'!$G$4:$G$33,MATCH(H33,'Drive Map'!$B$4:$B$33,0))&amp;"","")="","",HYPERLINK(INDEX('Drive Map'!$G$4:$G$33,MATCH(H33,'Drive Map'!$B$4:$B$33,0)),"Open")))</f>
        <v/>
      </c>
      <c r="J33" s="6" t="n"/>
    </row>
    <row r="34">
      <c r="A34" t="inlineStr">
        <is>
          <t>G2</t>
        </is>
      </c>
      <c r="B34" t="inlineStr">
        <is>
          <t>Design &amp; approvals</t>
        </is>
      </c>
      <c r="C34" t="inlineStr">
        <is>
          <t>Deliverable</t>
        </is>
      </c>
      <c r="D34" s="6" t="inlineStr">
        <is>
          <t>Planning permit (if required)</t>
        </is>
      </c>
      <c r="F34" s="21" t="n"/>
      <c r="H34" t="inlineStr">
        <is>
          <t>01 Eligibility, Land &amp; Planning</t>
        </is>
      </c>
      <c r="I34" s="7">
        <f>IF(H34="","",IF(IFERROR(INDEX('Drive Map'!$G$4:$G$33,MATCH(H34,'Drive Map'!$B$4:$B$33,0))&amp;"","")="","",HYPERLINK(INDEX('Drive Map'!$G$4:$G$33,MATCH(H34,'Drive Map'!$B$4:$B$33,0)),"Open")))</f>
        <v/>
      </c>
      <c r="J34" s="6" t="n"/>
    </row>
    <row r="35">
      <c r="A35" t="inlineStr">
        <is>
          <t>G2</t>
        </is>
      </c>
      <c r="B35" t="inlineStr">
        <is>
          <t>Design &amp; approvals</t>
        </is>
      </c>
      <c r="C35" t="inlineStr">
        <is>
          <t>Deliverable</t>
        </is>
      </c>
      <c r="D35" s="6" t="inlineStr">
        <is>
          <t>Certificate of consent from the BPC</t>
        </is>
      </c>
      <c r="F35" s="21" t="n"/>
      <c r="H35" t="inlineStr">
        <is>
          <t>01 Eligibility, Land &amp; Planning</t>
        </is>
      </c>
      <c r="I35" s="7">
        <f>IF(H35="","",IF(IFERROR(INDEX('Drive Map'!$G$4:$G$33,MATCH(H35,'Drive Map'!$B$4:$B$33,0))&amp;"","")="","",HYPERLINK(INDEX('Drive Map'!$G$4:$G$33,MATCH(H35,'Drive Map'!$B$4:$B$33,0)),"Open")))</f>
        <v/>
      </c>
      <c r="J35" s="6" t="n"/>
    </row>
    <row r="36">
      <c r="A36" t="inlineStr">
        <is>
          <t>G2</t>
        </is>
      </c>
      <c r="B36" t="inlineStr">
        <is>
          <t>Design &amp; approvals</t>
        </is>
      </c>
      <c r="C36" t="inlineStr">
        <is>
          <t>Deliverable</t>
        </is>
      </c>
      <c r="D36" s="6" t="inlineStr">
        <is>
          <t>Legal point of discharge, easement consents</t>
        </is>
      </c>
      <c r="F36" s="21" t="n"/>
      <c r="H36" t="inlineStr">
        <is>
          <t>01 Eligibility, Land &amp; Planning</t>
        </is>
      </c>
      <c r="I36" s="7">
        <f>IF(H36="","",IF(IFERROR(INDEX('Drive Map'!$G$4:$G$33,MATCH(H36,'Drive Map'!$B$4:$B$33,0))&amp;"","")="","",HYPERLINK(INDEX('Drive Map'!$G$4:$G$33,MATCH(H36,'Drive Map'!$B$4:$B$33,0)),"Open")))</f>
        <v/>
      </c>
      <c r="J36" s="6" t="n"/>
    </row>
    <row r="37">
      <c r="A37" t="inlineStr">
        <is>
          <t>G2</t>
        </is>
      </c>
      <c r="B37" t="inlineStr">
        <is>
          <t>Design &amp; approvals</t>
        </is>
      </c>
      <c r="C37" t="inlineStr">
        <is>
          <t>Exit check</t>
        </is>
      </c>
      <c r="D37" s="6" t="inlineStr">
        <is>
          <t>All documents consistent (drawings = engineering = energy)</t>
        </is>
      </c>
      <c r="F37" s="21" t="n"/>
      <c r="H37" t="inlineStr"/>
      <c r="I37" s="7">
        <f>IF(H37="","",IF(IFERROR(INDEX('Drive Map'!$G$4:$G$33,MATCH(H37,'Drive Map'!$B$4:$B$33,0))&amp;"","")="","",HYPERLINK(INDEX('Drive Map'!$G$4:$G$33,MATCH(H37,'Drive Map'!$B$4:$B$33,0)),"Open")))</f>
        <v/>
      </c>
      <c r="J37" s="6" t="n"/>
    </row>
    <row r="38">
      <c r="A38" t="inlineStr">
        <is>
          <t>G2</t>
        </is>
      </c>
      <c r="B38" t="inlineStr">
        <is>
          <t>Design &amp; approvals</t>
        </is>
      </c>
      <c r="C38" t="inlineStr">
        <is>
          <t>Exit check</t>
        </is>
      </c>
      <c r="D38" s="6" t="inlineStr">
        <is>
          <t>Certificate of consent issued</t>
        </is>
      </c>
      <c r="F38" s="21" t="n"/>
      <c r="H38" t="inlineStr"/>
      <c r="I38" s="7">
        <f>IF(H38="","",IF(IFERROR(INDEX('Drive Map'!$G$4:$G$33,MATCH(H38,'Drive Map'!$B$4:$B$33,0))&amp;"","")="","",HYPERLINK(INDEX('Drive Map'!$G$4:$G$33,MATCH(H38,'Drive Map'!$B$4:$B$33,0)),"Open")))</f>
        <v/>
      </c>
      <c r="J38" s="6" t="n"/>
    </row>
    <row r="39">
      <c r="A39" t="inlineStr">
        <is>
          <t>G2</t>
        </is>
      </c>
      <c r="B39" t="inlineStr">
        <is>
          <t>Design &amp; approvals</t>
        </is>
      </c>
      <c r="C39" t="inlineStr">
        <is>
          <t>Exit check</t>
        </is>
      </c>
      <c r="D39" s="6" t="inlineStr">
        <is>
          <t>RBS appointed and fee agreed</t>
        </is>
      </c>
      <c r="F39" s="21" t="n"/>
      <c r="H39" t="inlineStr"/>
      <c r="I39" s="7">
        <f>IF(H39="","",IF(IFERROR(INDEX('Drive Map'!$G$4:$G$33,MATCH(H39,'Drive Map'!$B$4:$B$33,0))&amp;"","")="","",HYPERLINK(INDEX('Drive Map'!$G$4:$G$33,MATCH(H39,'Drive Map'!$B$4:$B$33,0)),"Open")))</f>
        <v/>
      </c>
      <c r="J39" s="6" t="n"/>
    </row>
    <row r="40">
      <c r="A40" t="inlineStr">
        <is>
          <t>G2</t>
        </is>
      </c>
      <c r="B40" t="inlineStr">
        <is>
          <t>Design &amp; approvals</t>
        </is>
      </c>
      <c r="C40" t="inlineStr">
        <is>
          <t>Exit check</t>
        </is>
      </c>
      <c r="D40" s="6" t="inlineStr">
        <is>
          <t>Cost plan updated to the detailed design</t>
        </is>
      </c>
      <c r="F40" s="21" t="n"/>
      <c r="H40" t="inlineStr"/>
      <c r="I40" s="7">
        <f>IF(H40="","",IF(IFERROR(INDEX('Drive Map'!$G$4:$G$33,MATCH(H40,'Drive Map'!$B$4:$B$33,0))&amp;"","")="","",HYPERLINK(INDEX('Drive Map'!$G$4:$G$33,MATCH(H40,'Drive Map'!$B$4:$B$33,0)),"Open")))</f>
        <v/>
      </c>
      <c r="J40" s="6" t="n"/>
    </row>
    <row r="41">
      <c r="A41" t="inlineStr">
        <is>
          <t>G3</t>
        </is>
      </c>
      <c r="B41" t="inlineStr">
        <is>
          <t>Procurement &amp; permit</t>
        </is>
      </c>
      <c r="C41" t="inlineStr">
        <is>
          <t>Entry criteria</t>
        </is>
      </c>
      <c r="D41" s="6" t="inlineStr">
        <is>
          <t>G2 passed</t>
        </is>
      </c>
      <c r="F41" s="21" t="n"/>
      <c r="H41" t="inlineStr"/>
      <c r="I41" s="7">
        <f>IF(H41="","",IF(IFERROR(INDEX('Drive Map'!$G$4:$G$33,MATCH(H41,'Drive Map'!$B$4:$B$33,0))&amp;"","")="","",HYPERLINK(INDEX('Drive Map'!$G$4:$G$33,MATCH(H41,'Drive Map'!$B$4:$B$33,0)),"Open")))</f>
        <v/>
      </c>
      <c r="J41" s="6" t="n"/>
    </row>
    <row r="42">
      <c r="A42" t="inlineStr">
        <is>
          <t>G3</t>
        </is>
      </c>
      <c r="B42" t="inlineStr">
        <is>
          <t>Procurement &amp; permit</t>
        </is>
      </c>
      <c r="C42" t="inlineStr">
        <is>
          <t>Entry criteria</t>
        </is>
      </c>
      <c r="D42" s="6" t="inlineStr">
        <is>
          <t>Trade packages defined with a scope for each</t>
        </is>
      </c>
      <c r="F42" s="21" t="n"/>
      <c r="H42" t="inlineStr"/>
      <c r="I42" s="7">
        <f>IF(H42="","",IF(IFERROR(INDEX('Drive Map'!$G$4:$G$33,MATCH(H42,'Drive Map'!$B$4:$B$33,0))&amp;"","")="","",HYPERLINK(INDEX('Drive Map'!$G$4:$G$33,MATCH(H42,'Drive Map'!$B$4:$B$33,0)),"Open")))</f>
        <v/>
      </c>
      <c r="J42" s="6" t="n"/>
    </row>
    <row r="43">
      <c r="A43" t="inlineStr">
        <is>
          <t>G3</t>
        </is>
      </c>
      <c r="B43" t="inlineStr">
        <is>
          <t>Procurement &amp; permit</t>
        </is>
      </c>
      <c r="C43" t="inlineStr">
        <is>
          <t>Deliverable</t>
        </is>
      </c>
      <c r="D43" s="6" t="inlineStr">
        <is>
          <t>RFQ packs issued (3 quotes per package)</t>
        </is>
      </c>
      <c r="F43" s="21" t="n"/>
      <c r="H43" t="inlineStr">
        <is>
          <t>04 Trades &amp; Tenders</t>
        </is>
      </c>
      <c r="I43" s="7">
        <f>IF(H43="","",IF(IFERROR(INDEX('Drive Map'!$G$4:$G$33,MATCH(H43,'Drive Map'!$B$4:$B$33,0))&amp;"","")="","",HYPERLINK(INDEX('Drive Map'!$G$4:$G$33,MATCH(H43,'Drive Map'!$B$4:$B$33,0)),"Open")))</f>
        <v/>
      </c>
      <c r="J43" s="6" t="n"/>
    </row>
    <row r="44">
      <c r="A44" t="inlineStr">
        <is>
          <t>G3</t>
        </is>
      </c>
      <c r="B44" t="inlineStr">
        <is>
          <t>Procurement &amp; permit</t>
        </is>
      </c>
      <c r="C44" t="inlineStr">
        <is>
          <t>Deliverable</t>
        </is>
      </c>
      <c r="D44" s="6" t="inlineStr">
        <is>
          <t>Tender comparison &amp; recommendation per package (tool)</t>
        </is>
      </c>
      <c r="F44" s="21" t="n"/>
      <c r="H44" t="inlineStr">
        <is>
          <t>04 Trades &amp; Tenders</t>
        </is>
      </c>
      <c r="I44" s="7">
        <f>IF(H44="","",IF(IFERROR(INDEX('Drive Map'!$G$4:$G$33,MATCH(H44,'Drive Map'!$B$4:$B$33,0))&amp;"","")="","",HYPERLINK(INDEX('Drive Map'!$G$4:$G$33,MATCH(H44,'Drive Map'!$B$4:$B$33,0)),"Open")))</f>
        <v/>
      </c>
      <c r="J44" s="6" t="n"/>
    </row>
    <row r="45">
      <c r="A45" t="inlineStr">
        <is>
          <t>G3</t>
        </is>
      </c>
      <c r="B45" t="inlineStr">
        <is>
          <t>Procurement &amp; permit</t>
        </is>
      </c>
      <c r="C45" t="inlineStr">
        <is>
          <t>Deliverable</t>
        </is>
      </c>
      <c r="D45" s="6" t="inlineStr">
        <is>
          <t>Signed trade contracts (guide)</t>
        </is>
      </c>
      <c r="F45" s="21" t="n"/>
      <c r="H45" t="inlineStr">
        <is>
          <t>04 Trades &amp; Tenders</t>
        </is>
      </c>
      <c r="I45" s="7">
        <f>IF(H45="","",IF(IFERROR(INDEX('Drive Map'!$G$4:$G$33,MATCH(H45,'Drive Map'!$B$4:$B$33,0))&amp;"","")="","",HYPERLINK(INDEX('Drive Map'!$G$4:$G$33,MATCH(H45,'Drive Map'!$B$4:$B$33,0)),"Open")))</f>
        <v/>
      </c>
      <c r="J45" s="6" t="n"/>
    </row>
    <row r="46">
      <c r="A46" t="inlineStr">
        <is>
          <t>G3</t>
        </is>
      </c>
      <c r="B46" t="inlineStr">
        <is>
          <t>Procurement &amp; permit</t>
        </is>
      </c>
      <c r="C46" t="inlineStr">
        <is>
          <t>Deliverable</t>
        </is>
      </c>
      <c r="D46" s="6" t="inlineStr">
        <is>
          <t>Trade register: licences, insurance, SWMS</t>
        </is>
      </c>
      <c r="F46" s="21" t="n"/>
      <c r="H46" t="inlineStr">
        <is>
          <t>04 Trades &amp; Tenders</t>
        </is>
      </c>
      <c r="I46" s="7">
        <f>IF(H46="","",IF(IFERROR(INDEX('Drive Map'!$G$4:$G$33,MATCH(H46,'Drive Map'!$B$4:$B$33,0))&amp;"","")="","",HYPERLINK(INDEX('Drive Map'!$G$4:$G$33,MATCH(H46,'Drive Map'!$B$4:$B$33,0)),"Open")))</f>
        <v/>
      </c>
      <c r="J46" s="6" t="n"/>
    </row>
    <row r="47">
      <c r="A47" t="inlineStr">
        <is>
          <t>G3</t>
        </is>
      </c>
      <c r="B47" t="inlineStr">
        <is>
          <t>Procurement &amp; permit</t>
        </is>
      </c>
      <c r="C47" t="inlineStr">
        <is>
          <t>Deliverable</t>
        </is>
      </c>
      <c r="D47" s="6" t="inlineStr">
        <is>
          <t>Building permit issued</t>
        </is>
      </c>
      <c r="F47" s="21" t="n"/>
      <c r="H47" t="inlineStr">
        <is>
          <t>03 Permits, Insurance &amp; Finance</t>
        </is>
      </c>
      <c r="I47" s="7">
        <f>IF(H47="","",IF(IFERROR(INDEX('Drive Map'!$G$4:$G$33,MATCH(H47,'Drive Map'!$B$4:$B$33,0))&amp;"","")="","",HYPERLINK(INDEX('Drive Map'!$G$4:$G$33,MATCH(H47,'Drive Map'!$B$4:$B$33,0)),"Open")))</f>
        <v/>
      </c>
      <c r="J47" s="6" t="n"/>
    </row>
    <row r="48">
      <c r="A48" t="inlineStr">
        <is>
          <t>G3</t>
        </is>
      </c>
      <c r="B48" t="inlineStr">
        <is>
          <t>Procurement &amp; permit</t>
        </is>
      </c>
      <c r="C48" t="inlineStr">
        <is>
          <t>Deliverable</t>
        </is>
      </c>
      <c r="D48" s="6" t="inlineStr">
        <is>
          <t>Asset protection permit, insurances, site set-up plan</t>
        </is>
      </c>
      <c r="F48" s="21" t="n"/>
      <c r="H48" t="inlineStr">
        <is>
          <t>03 Permits, Insurance &amp; Finance</t>
        </is>
      </c>
      <c r="I48" s="7">
        <f>IF(H48="","",IF(IFERROR(INDEX('Drive Map'!$G$4:$G$33,MATCH(H48,'Drive Map'!$B$4:$B$33,0))&amp;"","")="","",HYPERLINK(INDEX('Drive Map'!$G$4:$G$33,MATCH(H48,'Drive Map'!$B$4:$B$33,0)),"Open")))</f>
        <v/>
      </c>
      <c r="J48" s="6" t="n"/>
    </row>
    <row r="49">
      <c r="A49" t="inlineStr">
        <is>
          <t>G3</t>
        </is>
      </c>
      <c r="B49" t="inlineStr">
        <is>
          <t>Procurement &amp; permit</t>
        </is>
      </c>
      <c r="C49" t="inlineStr">
        <is>
          <t>Deliverable</t>
        </is>
      </c>
      <c r="D49" s="6" t="inlineStr">
        <is>
          <t>Baseline program &amp; budget</t>
        </is>
      </c>
      <c r="F49" s="21" t="n"/>
      <c r="H49" t="inlineStr">
        <is>
          <t>03 Permits, Insurance &amp; Finance</t>
        </is>
      </c>
      <c r="I49" s="7">
        <f>IF(H49="","",IF(IFERROR(INDEX('Drive Map'!$G$4:$G$33,MATCH(H49,'Drive Map'!$B$4:$B$33,0))&amp;"","")="","",HYPERLINK(INDEX('Drive Map'!$G$4:$G$33,MATCH(H49,'Drive Map'!$B$4:$B$33,0)),"Open")))</f>
        <v/>
      </c>
      <c r="J49" s="6" t="n"/>
    </row>
    <row r="50">
      <c r="A50" t="inlineStr">
        <is>
          <t>G3</t>
        </is>
      </c>
      <c r="B50" t="inlineStr">
        <is>
          <t>Procurement &amp; permit</t>
        </is>
      </c>
      <c r="C50" t="inlineStr">
        <is>
          <t>Exit check</t>
        </is>
      </c>
      <c r="D50" s="6" t="inlineStr">
        <is>
          <t>At least 80% of the budget is committed under contract or firm quote</t>
        </is>
      </c>
      <c r="F50" s="21" t="n"/>
      <c r="H50" t="inlineStr"/>
      <c r="I50" s="7">
        <f>IF(H50="","",IF(IFERROR(INDEX('Drive Map'!$G$4:$G$33,MATCH(H50,'Drive Map'!$B$4:$B$33,0))&amp;"","")="","",HYPERLINK(INDEX('Drive Map'!$G$4:$G$33,MATCH(H50,'Drive Map'!$B$4:$B$33,0)),"Open")))</f>
        <v/>
      </c>
      <c r="J50" s="6" t="n"/>
    </row>
    <row r="51">
      <c r="A51" t="inlineStr">
        <is>
          <t>G3</t>
        </is>
      </c>
      <c r="B51" t="inlineStr">
        <is>
          <t>Procurement &amp; permit</t>
        </is>
      </c>
      <c r="C51" t="inlineStr">
        <is>
          <t>Exit check</t>
        </is>
      </c>
      <c r="D51" s="6" t="inlineStr">
        <is>
          <t>Every early trade has compliant paperwork</t>
        </is>
      </c>
      <c r="F51" s="21" t="n"/>
      <c r="H51" t="inlineStr"/>
      <c r="I51" s="7">
        <f>IF(H51="","",IF(IFERROR(INDEX('Drive Map'!$G$4:$G$33,MATCH(H51,'Drive Map'!$B$4:$B$33,0))&amp;"","")="","",HYPERLINK(INDEX('Drive Map'!$G$4:$G$33,MATCH(H51,'Drive Map'!$B$4:$B$33,0)),"Open")))</f>
        <v/>
      </c>
      <c r="J51" s="6" t="n"/>
    </row>
    <row r="52">
      <c r="A52" t="inlineStr">
        <is>
          <t>G3</t>
        </is>
      </c>
      <c r="B52" t="inlineStr">
        <is>
          <t>Procurement &amp; permit</t>
        </is>
      </c>
      <c r="C52" t="inlineStr">
        <is>
          <t>Exit check</t>
        </is>
      </c>
      <c r="D52" s="6" t="inlineStr">
        <is>
          <t>Permit, consent &amp; insurances in place</t>
        </is>
      </c>
      <c r="F52" s="21" t="n"/>
      <c r="H52" t="inlineStr"/>
      <c r="I52" s="7">
        <f>IF(H52="","",IF(IFERROR(INDEX('Drive Map'!$G$4:$G$33,MATCH(H52,'Drive Map'!$B$4:$B$33,0))&amp;"","")="","",HYPERLINK(INDEX('Drive Map'!$G$4:$G$33,MATCH(H52,'Drive Map'!$B$4:$B$33,0)),"Open")))</f>
        <v/>
      </c>
      <c r="J52" s="6" t="n"/>
    </row>
    <row r="53">
      <c r="A53" t="inlineStr">
        <is>
          <t>G3</t>
        </is>
      </c>
      <c r="B53" t="inlineStr">
        <is>
          <t>Procurement &amp; permit</t>
        </is>
      </c>
      <c r="C53" t="inlineStr">
        <is>
          <t>Exit check</t>
        </is>
      </c>
      <c r="D53" s="6" t="inlineStr">
        <is>
          <t>Finance drawdown schedule agreed with the lender</t>
        </is>
      </c>
      <c r="F53" s="21" t="n"/>
      <c r="H53" t="inlineStr"/>
      <c r="I53" s="7">
        <f>IF(H53="","",IF(IFERROR(INDEX('Drive Map'!$G$4:$G$33,MATCH(H53,'Drive Map'!$B$4:$B$33,0))&amp;"","")="","",HYPERLINK(INDEX('Drive Map'!$G$4:$G$33,MATCH(H53,'Drive Map'!$B$4:$B$33,0)),"Open")))</f>
        <v/>
      </c>
      <c r="J53" s="6" t="n"/>
    </row>
    <row r="54">
      <c r="A54" t="inlineStr">
        <is>
          <t>G4</t>
        </is>
      </c>
      <c r="B54" t="inlineStr">
        <is>
          <t>Site works &amp; base</t>
        </is>
      </c>
      <c r="C54" t="inlineStr">
        <is>
          <t>Entry criteria</t>
        </is>
      </c>
      <c r="D54" s="6" t="inlineStr">
        <is>
          <t>G3 passed</t>
        </is>
      </c>
      <c r="F54" s="21" t="n"/>
      <c r="H54" t="inlineStr"/>
      <c r="I54" s="7">
        <f>IF(H54="","",IF(IFERROR(INDEX('Drive Map'!$G$4:$G$33,MATCH(H54,'Drive Map'!$B$4:$B$33,0))&amp;"","")="","",HYPERLINK(INDEX('Drive Map'!$G$4:$G$33,MATCH(H54,'Drive Map'!$B$4:$B$33,0)),"Open")))</f>
        <v/>
      </c>
      <c r="J54" s="6" t="n"/>
    </row>
    <row r="55">
      <c r="A55" t="inlineStr">
        <is>
          <t>G4</t>
        </is>
      </c>
      <c r="B55" t="inlineStr">
        <is>
          <t>Site works &amp; base</t>
        </is>
      </c>
      <c r="C55" t="inlineStr">
        <is>
          <t>Entry criteria</t>
        </is>
      </c>
      <c r="D55" s="6" t="inlineStr">
        <is>
          <t>Before You Dig done, site fenced, sign up, toilet on site</t>
        </is>
      </c>
      <c r="F55" s="21" t="n"/>
      <c r="H55" t="inlineStr"/>
      <c r="I55" s="7">
        <f>IF(H55="","",IF(IFERROR(INDEX('Drive Map'!$G$4:$G$33,MATCH(H55,'Drive Map'!$B$4:$B$33,0))&amp;"","")="","",HYPERLINK(INDEX('Drive Map'!$G$4:$G$33,MATCH(H55,'Drive Map'!$B$4:$B$33,0)),"Open")))</f>
        <v/>
      </c>
      <c r="J55" s="6" t="n"/>
    </row>
    <row r="56">
      <c r="A56" t="inlineStr">
        <is>
          <t>G4</t>
        </is>
      </c>
      <c r="B56" t="inlineStr">
        <is>
          <t>Site works &amp; base</t>
        </is>
      </c>
      <c r="C56" t="inlineStr">
        <is>
          <t>Deliverable</t>
        </is>
      </c>
      <c r="D56" s="6" t="inlineStr">
        <is>
          <t>Surveyor set-out</t>
        </is>
      </c>
      <c r="F56" s="21" t="n"/>
      <c r="H56" t="inlineStr">
        <is>
          <t>02 Design &amp; Engineering</t>
        </is>
      </c>
      <c r="I56" s="7">
        <f>IF(H56="","",IF(IFERROR(INDEX('Drive Map'!$G$4:$G$33,MATCH(H56,'Drive Map'!$B$4:$B$33,0))&amp;"","")="","",HYPERLINK(INDEX('Drive Map'!$G$4:$G$33,MATCH(H56,'Drive Map'!$B$4:$B$33,0)),"Open")))</f>
        <v/>
      </c>
      <c r="J56" s="6" t="n"/>
    </row>
    <row r="57">
      <c r="A57" t="inlineStr">
        <is>
          <t>G4</t>
        </is>
      </c>
      <c r="B57" t="inlineStr">
        <is>
          <t>Site works &amp; base</t>
        </is>
      </c>
      <c r="C57" t="inlineStr">
        <is>
          <t>Deliverable</t>
        </is>
      </c>
      <c r="D57" s="6" t="inlineStr">
        <is>
          <t>Site cut, drainage &amp; underslab plumbing (PCC)</t>
        </is>
      </c>
      <c r="F57" s="21" t="n"/>
      <c r="H57" t="inlineStr">
        <is>
          <t>07 Inspections &amp; Certificates</t>
        </is>
      </c>
      <c r="I57" s="7">
        <f>IF(H57="","",IF(IFERROR(INDEX('Drive Map'!$G$4:$G$33,MATCH(H57,'Drive Map'!$B$4:$B$33,0))&amp;"","")="","",HYPERLINK(INDEX('Drive Map'!$G$4:$G$33,MATCH(H57,'Drive Map'!$B$4:$B$33,0)),"Open")))</f>
        <v/>
      </c>
      <c r="J57" s="6" t="n"/>
    </row>
    <row r="58">
      <c r="A58" t="inlineStr">
        <is>
          <t>G4</t>
        </is>
      </c>
      <c r="B58" t="inlineStr">
        <is>
          <t>Site works &amp; base</t>
        </is>
      </c>
      <c r="C58" t="inlineStr">
        <is>
          <t>Deliverable</t>
        </is>
      </c>
      <c r="D58" s="6" t="inlineStr">
        <is>
          <t>Hold point: footing / pre-slab inspection</t>
        </is>
      </c>
      <c r="F58" s="21" t="n"/>
      <c r="H58" t="inlineStr">
        <is>
          <t>07 Inspections &amp; Certificates</t>
        </is>
      </c>
      <c r="I58" s="7">
        <f>IF(H58="","",IF(IFERROR(INDEX('Drive Map'!$G$4:$G$33,MATCH(H58,'Drive Map'!$B$4:$B$33,0))&amp;"","")="","",HYPERLINK(INDEX('Drive Map'!$G$4:$G$33,MATCH(H58,'Drive Map'!$B$4:$B$33,0)),"Open")))</f>
        <v/>
      </c>
      <c r="J58" s="6" t="n"/>
    </row>
    <row r="59">
      <c r="A59" t="inlineStr">
        <is>
          <t>G4</t>
        </is>
      </c>
      <c r="B59" t="inlineStr">
        <is>
          <t>Site works &amp; base</t>
        </is>
      </c>
      <c r="C59" t="inlineStr">
        <is>
          <t>Deliverable</t>
        </is>
      </c>
      <c r="D59" s="6" t="inlineStr">
        <is>
          <t>Slab poured, termite management installed</t>
        </is>
      </c>
      <c r="F59" s="21" t="n"/>
      <c r="H59" t="inlineStr">
        <is>
          <t>00 Project Register</t>
        </is>
      </c>
      <c r="I59" s="7">
        <f>IF(H59="","",IF(IFERROR(INDEX('Drive Map'!$G$4:$G$33,MATCH(H59,'Drive Map'!$B$4:$B$33,0))&amp;"","")="","",HYPERLINK(INDEX('Drive Map'!$G$4:$G$33,MATCH(H59,'Drive Map'!$B$4:$B$33,0)),"Open")))</f>
        <v/>
      </c>
      <c r="J59" s="6" t="n"/>
    </row>
    <row r="60">
      <c r="A60" t="inlineStr">
        <is>
          <t>G4</t>
        </is>
      </c>
      <c r="B60" t="inlineStr">
        <is>
          <t>Site works &amp; base</t>
        </is>
      </c>
      <c r="C60" t="inlineStr">
        <is>
          <t>Deliverable</t>
        </is>
      </c>
      <c r="D60" s="6" t="inlineStr">
        <is>
          <t>Site diary &amp; photos of everything before it's covered</t>
        </is>
      </c>
      <c r="F60" s="21" t="n"/>
      <c r="H60" t="inlineStr">
        <is>
          <t>06 Site Diary &amp; Photos</t>
        </is>
      </c>
      <c r="I60" s="7">
        <f>IF(H60="","",IF(IFERROR(INDEX('Drive Map'!$G$4:$G$33,MATCH(H60,'Drive Map'!$B$4:$B$33,0))&amp;"","")="","",HYPERLINK(INDEX('Drive Map'!$G$4:$G$33,MATCH(H60,'Drive Map'!$B$4:$B$33,0)),"Open")))</f>
        <v/>
      </c>
      <c r="J60" s="6" t="n"/>
    </row>
    <row r="61">
      <c r="A61" t="inlineStr">
        <is>
          <t>G4</t>
        </is>
      </c>
      <c r="B61" t="inlineStr">
        <is>
          <t>Site works &amp; base</t>
        </is>
      </c>
      <c r="C61" t="inlineStr">
        <is>
          <t>Exit check</t>
        </is>
      </c>
      <c r="D61" s="6" t="inlineStr">
        <is>
          <t>RBS inspections passed and certificates filed</t>
        </is>
      </c>
      <c r="F61" s="21" t="n"/>
      <c r="H61" t="inlineStr"/>
      <c r="I61" s="7">
        <f>IF(H61="","",IF(IFERROR(INDEX('Drive Map'!$G$4:$G$33,MATCH(H61,'Drive Map'!$B$4:$B$33,0))&amp;"","")="","",HYPERLINK(INDEX('Drive Map'!$G$4:$G$33,MATCH(H61,'Drive Map'!$B$4:$B$33,0)),"Open")))</f>
        <v/>
      </c>
      <c r="J61" s="6" t="n"/>
    </row>
    <row r="62">
      <c r="A62" t="inlineStr">
        <is>
          <t>G4</t>
        </is>
      </c>
      <c r="B62" t="inlineStr">
        <is>
          <t>Site works &amp; base</t>
        </is>
      </c>
      <c r="C62" t="inlineStr">
        <is>
          <t>Exit check</t>
        </is>
      </c>
      <c r="D62" s="6" t="inlineStr">
        <is>
          <t>Engineer's sign-off (if required)</t>
        </is>
      </c>
      <c r="F62" s="21" t="n"/>
      <c r="H62" t="inlineStr"/>
      <c r="I62" s="7">
        <f>IF(H62="","",IF(IFERROR(INDEX('Drive Map'!$G$4:$G$33,MATCH(H62,'Drive Map'!$B$4:$B$33,0))&amp;"","")="","",HYPERLINK(INDEX('Drive Map'!$G$4:$G$33,MATCH(H62,'Drive Map'!$B$4:$B$33,0)),"Open")))</f>
        <v/>
      </c>
      <c r="J62" s="6" t="n"/>
    </row>
    <row r="63">
      <c r="A63" t="inlineStr">
        <is>
          <t>G4</t>
        </is>
      </c>
      <c r="B63" t="inlineStr">
        <is>
          <t>Site works &amp; base</t>
        </is>
      </c>
      <c r="C63" t="inlineStr">
        <is>
          <t>Exit check</t>
        </is>
      </c>
      <c r="D63" s="6" t="inlineStr">
        <is>
          <t>Cost to date within ±5% of the baseline</t>
        </is>
      </c>
      <c r="F63" s="21" t="n"/>
      <c r="H63" t="inlineStr"/>
      <c r="I63" s="7">
        <f>IF(H63="","",IF(IFERROR(INDEX('Drive Map'!$G$4:$G$33,MATCH(H63,'Drive Map'!$B$4:$B$33,0))&amp;"","")="","",HYPERLINK(INDEX('Drive Map'!$G$4:$G$33,MATCH(H63,'Drive Map'!$B$4:$B$33,0)),"Open")))</f>
        <v/>
      </c>
      <c r="J63" s="6" t="n"/>
    </row>
    <row r="64">
      <c r="A64" t="inlineStr">
        <is>
          <t>G5</t>
        </is>
      </c>
      <c r="B64" t="inlineStr">
        <is>
          <t>Frame &amp; lock-up</t>
        </is>
      </c>
      <c r="C64" t="inlineStr">
        <is>
          <t>Entry criteria</t>
        </is>
      </c>
      <c r="D64" s="6" t="inlineStr">
        <is>
          <t>G4 passed</t>
        </is>
      </c>
      <c r="F64" s="21" t="n"/>
      <c r="H64" t="inlineStr"/>
      <c r="I64" s="7">
        <f>IF(H64="","",IF(IFERROR(INDEX('Drive Map'!$G$4:$G$33,MATCH(H64,'Drive Map'!$B$4:$B$33,0))&amp;"","")="","",HYPERLINK(INDEX('Drive Map'!$G$4:$G$33,MATCH(H64,'Drive Map'!$B$4:$B$33,0)),"Open")))</f>
        <v/>
      </c>
      <c r="J64" s="6" t="n"/>
    </row>
    <row r="65">
      <c r="A65" t="inlineStr">
        <is>
          <t>G5</t>
        </is>
      </c>
      <c r="B65" t="inlineStr">
        <is>
          <t>Frame &amp; lock-up</t>
        </is>
      </c>
      <c r="C65" t="inlineStr">
        <is>
          <t>Entry criteria</t>
        </is>
      </c>
      <c r="D65" s="6" t="inlineStr">
        <is>
          <t>Frame, truss &amp; window orders confirmed against the plans</t>
        </is>
      </c>
      <c r="F65" s="21" t="n"/>
      <c r="H65" t="inlineStr"/>
      <c r="I65" s="7">
        <f>IF(H65="","",IF(IFERROR(INDEX('Drive Map'!$G$4:$G$33,MATCH(H65,'Drive Map'!$B$4:$B$33,0))&amp;"","")="","",HYPERLINK(INDEX('Drive Map'!$G$4:$G$33,MATCH(H65,'Drive Map'!$B$4:$B$33,0)),"Open")))</f>
        <v/>
      </c>
      <c r="J65" s="6" t="n"/>
    </row>
    <row r="66">
      <c r="A66" t="inlineStr">
        <is>
          <t>G5</t>
        </is>
      </c>
      <c r="B66" t="inlineStr">
        <is>
          <t>Frame &amp; lock-up</t>
        </is>
      </c>
      <c r="C66" t="inlineStr">
        <is>
          <t>Deliverable</t>
        </is>
      </c>
      <c r="D66" s="6" t="inlineStr">
        <is>
          <t>Wall frames, trusses, bracing, tie-downs</t>
        </is>
      </c>
      <c r="F66" s="21" t="n"/>
      <c r="H66" t="inlineStr">
        <is>
          <t>02 Design &amp; Engineering</t>
        </is>
      </c>
      <c r="I66" s="7">
        <f>IF(H66="","",IF(IFERROR(INDEX('Drive Map'!$G$4:$G$33,MATCH(H66,'Drive Map'!$B$4:$B$33,0))&amp;"","")="","",HYPERLINK(INDEX('Drive Map'!$G$4:$G$33,MATCH(H66,'Drive Map'!$B$4:$B$33,0)),"Open")))</f>
        <v/>
      </c>
      <c r="J66" s="6" t="n"/>
    </row>
    <row r="67">
      <c r="A67" t="inlineStr">
        <is>
          <t>G5</t>
        </is>
      </c>
      <c r="B67" t="inlineStr">
        <is>
          <t>Frame &amp; lock-up</t>
        </is>
      </c>
      <c r="C67" t="inlineStr">
        <is>
          <t>Deliverable</t>
        </is>
      </c>
      <c r="D67" s="6" t="inlineStr">
        <is>
          <t>Hold point: frame inspection (plus engineer if required)</t>
        </is>
      </c>
      <c r="F67" s="21" t="n"/>
      <c r="H67" t="inlineStr">
        <is>
          <t>07 Inspections &amp; Certificates</t>
        </is>
      </c>
      <c r="I67" s="7">
        <f>IF(H67="","",IF(IFERROR(INDEX('Drive Map'!$G$4:$G$33,MATCH(H67,'Drive Map'!$B$4:$B$33,0))&amp;"","")="","",HYPERLINK(INDEX('Drive Map'!$G$4:$G$33,MATCH(H67,'Drive Map'!$B$4:$B$33,0)),"Open")))</f>
        <v/>
      </c>
      <c r="J67" s="6" t="n"/>
    </row>
    <row r="68">
      <c r="A68" t="inlineStr">
        <is>
          <t>G5</t>
        </is>
      </c>
      <c r="B68" t="inlineStr">
        <is>
          <t>Frame &amp; lock-up</t>
        </is>
      </c>
      <c r="C68" t="inlineStr">
        <is>
          <t>Deliverable</t>
        </is>
      </c>
      <c r="D68" s="6" t="inlineStr">
        <is>
          <t>Roof, gutters, fascia, sarking</t>
        </is>
      </c>
      <c r="F68" s="21" t="n"/>
      <c r="H68" t="inlineStr">
        <is>
          <t>00 Project Register</t>
        </is>
      </c>
      <c r="I68" s="7">
        <f>IF(H68="","",IF(IFERROR(INDEX('Drive Map'!$G$4:$G$33,MATCH(H68,'Drive Map'!$B$4:$B$33,0))&amp;"","")="","",HYPERLINK(INDEX('Drive Map'!$G$4:$G$33,MATCH(H68,'Drive Map'!$B$4:$B$33,0)),"Open")))</f>
        <v/>
      </c>
      <c r="J68" s="6" t="n"/>
    </row>
    <row r="69">
      <c r="A69" t="inlineStr">
        <is>
          <t>G5</t>
        </is>
      </c>
      <c r="B69" t="inlineStr">
        <is>
          <t>Frame &amp; lock-up</t>
        </is>
      </c>
      <c r="C69" t="inlineStr">
        <is>
          <t>Deliverable</t>
        </is>
      </c>
      <c r="D69" s="6" t="inlineStr">
        <is>
          <t>Windows &amp; external doors, wrap, cladding</t>
        </is>
      </c>
      <c r="F69" s="21" t="n"/>
      <c r="H69" t="inlineStr">
        <is>
          <t>02 Design &amp; Engineering</t>
        </is>
      </c>
      <c r="I69" s="7">
        <f>IF(H69="","",IF(IFERROR(INDEX('Drive Map'!$G$4:$G$33,MATCH(H69,'Drive Map'!$B$4:$B$33,0))&amp;"","")="","",HYPERLINK(INDEX('Drive Map'!$G$4:$G$33,MATCH(H69,'Drive Map'!$B$4:$B$33,0)),"Open")))</f>
        <v/>
      </c>
      <c r="J69" s="6" t="n"/>
    </row>
    <row r="70">
      <c r="A70" t="inlineStr">
        <is>
          <t>G5</t>
        </is>
      </c>
      <c r="B70" t="inlineStr">
        <is>
          <t>Frame &amp; lock-up</t>
        </is>
      </c>
      <c r="C70" t="inlineStr">
        <is>
          <t>Deliverable</t>
        </is>
      </c>
      <c r="D70" s="6" t="inlineStr">
        <is>
          <t>Services rough-in: plumbing, electrical, data, HVAC</t>
        </is>
      </c>
      <c r="F70" s="21" t="n"/>
      <c r="H70" t="inlineStr">
        <is>
          <t>00 Project Register</t>
        </is>
      </c>
      <c r="I70" s="7">
        <f>IF(H70="","",IF(IFERROR(INDEX('Drive Map'!$G$4:$G$33,MATCH(H70,'Drive Map'!$B$4:$B$33,0))&amp;"","")="","",HYPERLINK(INDEX('Drive Map'!$G$4:$G$33,MATCH(H70,'Drive Map'!$B$4:$B$33,0)),"Open")))</f>
        <v/>
      </c>
      <c r="J70" s="6" t="n"/>
    </row>
    <row r="71">
      <c r="A71" t="inlineStr">
        <is>
          <t>G5</t>
        </is>
      </c>
      <c r="B71" t="inlineStr">
        <is>
          <t>Frame &amp; lock-up</t>
        </is>
      </c>
      <c r="C71" t="inlineStr">
        <is>
          <t>Exit check</t>
        </is>
      </c>
      <c r="D71" s="6" t="inlineStr">
        <is>
          <t>Frame inspection passed</t>
        </is>
      </c>
      <c r="F71" s="21" t="n"/>
      <c r="H71" t="inlineStr"/>
      <c r="I71" s="7">
        <f>IF(H71="","",IF(IFERROR(INDEX('Drive Map'!$G$4:$G$33,MATCH(H71,'Drive Map'!$B$4:$B$33,0))&amp;"","")="","",HYPERLINK(INDEX('Drive Map'!$G$4:$G$33,MATCH(H71,'Drive Map'!$B$4:$B$33,0)),"Open")))</f>
        <v/>
      </c>
      <c r="J71" s="6" t="n"/>
    </row>
    <row r="72">
      <c r="A72" t="inlineStr">
        <is>
          <t>G5</t>
        </is>
      </c>
      <c r="B72" t="inlineStr">
        <is>
          <t>Frame &amp; lock-up</t>
        </is>
      </c>
      <c r="C72" t="inlineStr">
        <is>
          <t>Exit check</t>
        </is>
      </c>
      <c r="D72" s="6" t="inlineStr">
        <is>
          <t>Lock-up reached (lender progress draw)</t>
        </is>
      </c>
      <c r="F72" s="21" t="n"/>
      <c r="H72" t="inlineStr"/>
      <c r="I72" s="7">
        <f>IF(H72="","",IF(IFERROR(INDEX('Drive Map'!$G$4:$G$33,MATCH(H72,'Drive Map'!$B$4:$B$33,0))&amp;"","")="","",HYPERLINK(INDEX('Drive Map'!$G$4:$G$33,MATCH(H72,'Drive Map'!$B$4:$B$33,0)),"Open")))</f>
        <v/>
      </c>
      <c r="J72" s="6" t="n"/>
    </row>
    <row r="73">
      <c r="A73" t="inlineStr">
        <is>
          <t>G5</t>
        </is>
      </c>
      <c r="B73" t="inlineStr">
        <is>
          <t>Frame &amp; lock-up</t>
        </is>
      </c>
      <c r="C73" t="inlineStr">
        <is>
          <t>Exit check</t>
        </is>
      </c>
      <c r="D73" s="6" t="inlineStr">
        <is>
          <t>Rough-in certificates, insulation installed &amp; photographed</t>
        </is>
      </c>
      <c r="F73" s="21" t="n"/>
      <c r="H73" t="inlineStr"/>
      <c r="I73" s="7">
        <f>IF(H73="","",IF(IFERROR(INDEX('Drive Map'!$G$4:$G$33,MATCH(H73,'Drive Map'!$B$4:$B$33,0))&amp;"","")="","",HYPERLINK(INDEX('Drive Map'!$G$4:$G$33,MATCH(H73,'Drive Map'!$B$4:$B$33,0)),"Open")))</f>
        <v/>
      </c>
      <c r="J73" s="6" t="n"/>
    </row>
    <row r="74">
      <c r="A74" t="inlineStr">
        <is>
          <t>G6</t>
        </is>
      </c>
      <c r="B74" t="inlineStr">
        <is>
          <t>Fit-out &amp; fixing</t>
        </is>
      </c>
      <c r="C74" t="inlineStr">
        <is>
          <t>Entry criteria</t>
        </is>
      </c>
      <c r="D74" s="6" t="inlineStr">
        <is>
          <t>G5 passed</t>
        </is>
      </c>
      <c r="F74" s="21" t="n"/>
      <c r="H74" t="inlineStr"/>
      <c r="I74" s="7">
        <f>IF(H74="","",IF(IFERROR(INDEX('Drive Map'!$G$4:$G$33,MATCH(H74,'Drive Map'!$B$4:$B$33,0))&amp;"","")="","",HYPERLINK(INDEX('Drive Map'!$G$4:$G$33,MATCH(H74,'Drive Map'!$B$4:$B$33,0)),"Open")))</f>
        <v/>
      </c>
      <c r="J74" s="6" t="n"/>
    </row>
    <row r="75">
      <c r="A75" t="inlineStr">
        <is>
          <t>G6</t>
        </is>
      </c>
      <c r="B75" t="inlineStr">
        <is>
          <t>Fit-out &amp; fixing</t>
        </is>
      </c>
      <c r="C75" t="inlineStr">
        <is>
          <t>Entry criteria</t>
        </is>
      </c>
      <c r="D75" s="6" t="inlineStr">
        <is>
          <t>All selections locked in My Build (tiles, taps, appliances, paint)</t>
        </is>
      </c>
      <c r="F75" s="21" t="n"/>
      <c r="H75" t="inlineStr"/>
      <c r="I75" s="7">
        <f>IF(H75="","",IF(IFERROR(INDEX('Drive Map'!$G$4:$G$33,MATCH(H75,'Drive Map'!$B$4:$B$33,0))&amp;"","")="","",HYPERLINK(INDEX('Drive Map'!$G$4:$G$33,MATCH(H75,'Drive Map'!$B$4:$B$33,0)),"Open")))</f>
        <v/>
      </c>
      <c r="J75" s="6" t="n"/>
    </row>
    <row r="76">
      <c r="A76" t="inlineStr">
        <is>
          <t>G6</t>
        </is>
      </c>
      <c r="B76" t="inlineStr">
        <is>
          <t>Fit-out &amp; fixing</t>
        </is>
      </c>
      <c r="C76" t="inlineStr">
        <is>
          <t>Deliverable</t>
        </is>
      </c>
      <c r="D76" s="6" t="inlineStr">
        <is>
          <t>Plaster, cornice, internal doors, architraves</t>
        </is>
      </c>
      <c r="F76" s="21" t="n"/>
      <c r="H76" t="inlineStr">
        <is>
          <t>00 Project Register</t>
        </is>
      </c>
      <c r="I76" s="7">
        <f>IF(H76="","",IF(IFERROR(INDEX('Drive Map'!$G$4:$G$33,MATCH(H76,'Drive Map'!$B$4:$B$33,0))&amp;"","")="","",HYPERLINK(INDEX('Drive Map'!$G$4:$G$33,MATCH(H76,'Drive Map'!$B$4:$B$33,0)),"Open")))</f>
        <v/>
      </c>
      <c r="J76" s="6" t="n"/>
    </row>
    <row r="77">
      <c r="A77" t="inlineStr">
        <is>
          <t>G6</t>
        </is>
      </c>
      <c r="B77" t="inlineStr">
        <is>
          <t>Fit-out &amp; fixing</t>
        </is>
      </c>
      <c r="C77" t="inlineStr">
        <is>
          <t>Deliverable</t>
        </is>
      </c>
      <c r="D77" s="6" t="inlineStr">
        <is>
          <t>Waterproofing (certificate) &amp; tiling</t>
        </is>
      </c>
      <c r="F77" s="21" t="n"/>
      <c r="H77" t="inlineStr">
        <is>
          <t>07 Inspections &amp; Certificates</t>
        </is>
      </c>
      <c r="I77" s="7">
        <f>IF(H77="","",IF(IFERROR(INDEX('Drive Map'!$G$4:$G$33,MATCH(H77,'Drive Map'!$B$4:$B$33,0))&amp;"","")="","",HYPERLINK(INDEX('Drive Map'!$G$4:$G$33,MATCH(H77,'Drive Map'!$B$4:$B$33,0)),"Open")))</f>
        <v/>
      </c>
      <c r="J77" s="6" t="n"/>
    </row>
    <row r="78">
      <c r="A78" t="inlineStr">
        <is>
          <t>G6</t>
        </is>
      </c>
      <c r="B78" t="inlineStr">
        <is>
          <t>Fit-out &amp; fixing</t>
        </is>
      </c>
      <c r="C78" t="inlineStr">
        <is>
          <t>Deliverable</t>
        </is>
      </c>
      <c r="D78" s="6" t="inlineStr">
        <is>
          <t>Cabinetry, benchtops, joinery</t>
        </is>
      </c>
      <c r="F78" s="21" t="n"/>
      <c r="H78" t="inlineStr">
        <is>
          <t>00 Project Register</t>
        </is>
      </c>
      <c r="I78" s="7">
        <f>IF(H78="","",IF(IFERROR(INDEX('Drive Map'!$G$4:$G$33,MATCH(H78,'Drive Map'!$B$4:$B$33,0))&amp;"","")="","",HYPERLINK(INDEX('Drive Map'!$G$4:$G$33,MATCH(H78,'Drive Map'!$B$4:$B$33,0)),"Open")))</f>
        <v/>
      </c>
      <c r="J78" s="6" t="n"/>
    </row>
    <row r="79">
      <c r="A79" t="inlineStr">
        <is>
          <t>G6</t>
        </is>
      </c>
      <c r="B79" t="inlineStr">
        <is>
          <t>Fit-out &amp; fixing</t>
        </is>
      </c>
      <c r="C79" t="inlineStr">
        <is>
          <t>Deliverable</t>
        </is>
      </c>
      <c r="D79" s="6" t="inlineStr">
        <is>
          <t>Painting</t>
        </is>
      </c>
      <c r="F79" s="21" t="n"/>
      <c r="H79" t="inlineStr">
        <is>
          <t>00 Project Register</t>
        </is>
      </c>
      <c r="I79" s="7">
        <f>IF(H79="","",IF(IFERROR(INDEX('Drive Map'!$G$4:$G$33,MATCH(H79,'Drive Map'!$B$4:$B$33,0))&amp;"","")="","",HYPERLINK(INDEX('Drive Map'!$G$4:$G$33,MATCH(H79,'Drive Map'!$B$4:$B$33,0)),"Open")))</f>
        <v/>
      </c>
      <c r="J79" s="6" t="n"/>
    </row>
    <row r="80">
      <c r="A80" t="inlineStr">
        <is>
          <t>G6</t>
        </is>
      </c>
      <c r="B80" t="inlineStr">
        <is>
          <t>Fit-out &amp; fixing</t>
        </is>
      </c>
      <c r="C80" t="inlineStr">
        <is>
          <t>Deliverable</t>
        </is>
      </c>
      <c r="D80" s="6" t="inlineStr">
        <is>
          <t>Plumbing &amp; electrical fit-off (PCC &amp; Certificate of Electrical Safety)</t>
        </is>
      </c>
      <c r="F80" s="21" t="n"/>
      <c r="H80" t="inlineStr">
        <is>
          <t>07 Inspections &amp; Certificates</t>
        </is>
      </c>
      <c r="I80" s="7">
        <f>IF(H80="","",IF(IFERROR(INDEX('Drive Map'!$G$4:$G$33,MATCH(H80,'Drive Map'!$B$4:$B$33,0))&amp;"","")="","",HYPERLINK(INDEX('Drive Map'!$G$4:$G$33,MATCH(H80,'Drive Map'!$B$4:$B$33,0)),"Open")))</f>
        <v/>
      </c>
      <c r="J80" s="6" t="n"/>
    </row>
    <row r="81">
      <c r="A81" t="inlineStr">
        <is>
          <t>G6</t>
        </is>
      </c>
      <c r="B81" t="inlineStr">
        <is>
          <t>Fit-out &amp; fixing</t>
        </is>
      </c>
      <c r="C81" t="inlineStr">
        <is>
          <t>Deliverable</t>
        </is>
      </c>
      <c r="D81" s="6" t="inlineStr">
        <is>
          <t>Floor coverings</t>
        </is>
      </c>
      <c r="F81" s="21" t="n"/>
      <c r="H81" t="inlineStr">
        <is>
          <t>00 Project Register</t>
        </is>
      </c>
      <c r="I81" s="7">
        <f>IF(H81="","",IF(IFERROR(INDEX('Drive Map'!$G$4:$G$33,MATCH(H81,'Drive Map'!$B$4:$B$33,0))&amp;"","")="","",HYPERLINK(INDEX('Drive Map'!$G$4:$G$33,MATCH(H81,'Drive Map'!$B$4:$B$33,0)),"Open")))</f>
        <v/>
      </c>
      <c r="J81" s="6" t="n"/>
    </row>
    <row r="82">
      <c r="A82" t="inlineStr">
        <is>
          <t>G6</t>
        </is>
      </c>
      <c r="B82" t="inlineStr">
        <is>
          <t>Fit-out &amp; fixing</t>
        </is>
      </c>
      <c r="C82" t="inlineStr">
        <is>
          <t>Exit check</t>
        </is>
      </c>
      <c r="D82" s="6" t="inlineStr">
        <is>
          <t>All compliance certificates collected</t>
        </is>
      </c>
      <c r="F82" s="21" t="n"/>
      <c r="H82" t="inlineStr"/>
      <c r="I82" s="7">
        <f>IF(H82="","",IF(IFERROR(INDEX('Drive Map'!$G$4:$G$33,MATCH(H82,'Drive Map'!$B$4:$B$33,0))&amp;"","")="","",HYPERLINK(INDEX('Drive Map'!$G$4:$G$33,MATCH(H82,'Drive Map'!$B$4:$B$33,0)),"Open")))</f>
        <v/>
      </c>
      <c r="J82" s="6" t="n"/>
    </row>
    <row r="83">
      <c r="A83" t="inlineStr">
        <is>
          <t>G6</t>
        </is>
      </c>
      <c r="B83" t="inlineStr">
        <is>
          <t>Fit-out &amp; fixing</t>
        </is>
      </c>
      <c r="C83" t="inlineStr">
        <is>
          <t>Exit check</t>
        </is>
      </c>
      <c r="D83" s="6" t="inlineStr">
        <is>
          <t>Own defects walk-through done, list issued to trades</t>
        </is>
      </c>
      <c r="F83" s="21" t="n"/>
      <c r="H83" t="inlineStr"/>
      <c r="I83" s="7">
        <f>IF(H83="","",IF(IFERROR(INDEX('Drive Map'!$G$4:$G$33,MATCH(H83,'Drive Map'!$B$4:$B$33,0))&amp;"","")="","",HYPERLINK(INDEX('Drive Map'!$G$4:$G$33,MATCH(H83,'Drive Map'!$B$4:$B$33,0)),"Open")))</f>
        <v/>
      </c>
      <c r="J83" s="6" t="n"/>
    </row>
    <row r="84">
      <c r="A84" t="inlineStr">
        <is>
          <t>G6</t>
        </is>
      </c>
      <c r="B84" t="inlineStr">
        <is>
          <t>Fit-out &amp; fixing</t>
        </is>
      </c>
      <c r="C84" t="inlineStr">
        <is>
          <t>Exit check</t>
        </is>
      </c>
      <c r="D84" s="6" t="inlineStr">
        <is>
          <t>Budget forecast to complete is confirmed</t>
        </is>
      </c>
      <c r="F84" s="21" t="n"/>
      <c r="H84" t="inlineStr"/>
      <c r="I84" s="7">
        <f>IF(H84="","",IF(IFERROR(INDEX('Drive Map'!$G$4:$G$33,MATCH(H84,'Drive Map'!$B$4:$B$33,0))&amp;"","")="","",HYPERLINK(INDEX('Drive Map'!$G$4:$G$33,MATCH(H84,'Drive Map'!$B$4:$B$33,0)),"Open")))</f>
        <v/>
      </c>
      <c r="J84" s="6" t="n"/>
    </row>
    <row r="85">
      <c r="A85" t="inlineStr">
        <is>
          <t>G7</t>
        </is>
      </c>
      <c r="B85" t="inlineStr">
        <is>
          <t>Completion &amp; handover</t>
        </is>
      </c>
      <c r="C85" t="inlineStr">
        <is>
          <t>Entry criteria</t>
        </is>
      </c>
      <c r="D85" s="6" t="inlineStr">
        <is>
          <t>G6 passed</t>
        </is>
      </c>
      <c r="F85" s="21" t="n"/>
      <c r="H85" t="inlineStr"/>
      <c r="I85" s="7">
        <f>IF(H85="","",IF(IFERROR(INDEX('Drive Map'!$G$4:$G$33,MATCH(H85,'Drive Map'!$B$4:$B$33,0))&amp;"","")="","",HYPERLINK(INDEX('Drive Map'!$G$4:$G$33,MATCH(H85,'Drive Map'!$B$4:$B$33,0)),"Open")))</f>
        <v/>
      </c>
      <c r="J85" s="6" t="n"/>
    </row>
    <row r="86">
      <c r="A86" t="inlineStr">
        <is>
          <t>G7</t>
        </is>
      </c>
      <c r="B86" t="inlineStr">
        <is>
          <t>Completion &amp; handover</t>
        </is>
      </c>
      <c r="C86" t="inlineStr">
        <is>
          <t>Entry criteria</t>
        </is>
      </c>
      <c r="D86" s="6" t="inlineStr">
        <is>
          <t>Defects closed out, site cleaned</t>
        </is>
      </c>
      <c r="F86" s="21" t="n"/>
      <c r="H86" t="inlineStr"/>
      <c r="I86" s="7">
        <f>IF(H86="","",IF(IFERROR(INDEX('Drive Map'!$G$4:$G$33,MATCH(H86,'Drive Map'!$B$4:$B$33,0))&amp;"","")="","",HYPERLINK(INDEX('Drive Map'!$G$4:$G$33,MATCH(H86,'Drive Map'!$B$4:$B$33,0)),"Open")))</f>
        <v/>
      </c>
      <c r="J86" s="6" t="n"/>
    </row>
    <row r="87">
      <c r="A87" t="inlineStr">
        <is>
          <t>G7</t>
        </is>
      </c>
      <c r="B87" t="inlineStr">
        <is>
          <t>Completion &amp; handover</t>
        </is>
      </c>
      <c r="C87" t="inlineStr">
        <is>
          <t>Deliverable</t>
        </is>
      </c>
      <c r="D87" s="6" t="inlineStr">
        <is>
          <t>Hold point: final inspection</t>
        </is>
      </c>
      <c r="F87" s="21" t="n"/>
      <c r="H87" t="inlineStr">
        <is>
          <t>07 Inspections &amp; Certificates</t>
        </is>
      </c>
      <c r="I87" s="7">
        <f>IF(H87="","",IF(IFERROR(INDEX('Drive Map'!$G$4:$G$33,MATCH(H87,'Drive Map'!$B$4:$B$33,0))&amp;"","")="","",HYPERLINK(INDEX('Drive Map'!$G$4:$G$33,MATCH(H87,'Drive Map'!$B$4:$B$33,0)),"Open")))</f>
        <v/>
      </c>
      <c r="J87" s="6" t="n"/>
    </row>
    <row r="88">
      <c r="A88" t="inlineStr">
        <is>
          <t>G7</t>
        </is>
      </c>
      <c r="B88" t="inlineStr">
        <is>
          <t>Completion &amp; handover</t>
        </is>
      </c>
      <c r="C88" t="inlineStr">
        <is>
          <t>Deliverable</t>
        </is>
      </c>
      <c r="D88" s="6" t="inlineStr">
        <is>
          <t>Occupancy permit / certificate of final inspection</t>
        </is>
      </c>
      <c r="F88" s="21" t="n"/>
      <c r="H88" t="inlineStr">
        <is>
          <t>08 Handover, Records &amp; Sale</t>
        </is>
      </c>
      <c r="I88" s="7">
        <f>IF(H88="","",IF(IFERROR(INDEX('Drive Map'!$G$4:$G$33,MATCH(H88,'Drive Map'!$B$4:$B$33,0))&amp;"","")="","",HYPERLINK(INDEX('Drive Map'!$G$4:$G$33,MATCH(H88,'Drive Map'!$B$4:$B$33,0)),"Open")))</f>
        <v/>
      </c>
      <c r="J88" s="6" t="n"/>
    </row>
    <row r="89">
      <c r="A89" t="inlineStr">
        <is>
          <t>G7</t>
        </is>
      </c>
      <c r="B89" t="inlineStr">
        <is>
          <t>Completion &amp; handover</t>
        </is>
      </c>
      <c r="C89" t="inlineStr">
        <is>
          <t>Deliverable</t>
        </is>
      </c>
      <c r="D89" s="6" t="inlineStr">
        <is>
          <t>Utilities, driveway, landscaping, asset bond refund</t>
        </is>
      </c>
      <c r="F89" s="21" t="n"/>
      <c r="H89" t="inlineStr">
        <is>
          <t>03 Permits, Insurance &amp; Finance</t>
        </is>
      </c>
      <c r="I89" s="7">
        <f>IF(H89="","",IF(IFERROR(INDEX('Drive Map'!$G$4:$G$33,MATCH(H89,'Drive Map'!$B$4:$B$33,0))&amp;"","")="","",HYPERLINK(INDEX('Drive Map'!$G$4:$G$33,MATCH(H89,'Drive Map'!$B$4:$B$33,0)),"Open")))</f>
        <v/>
      </c>
      <c r="J89" s="6" t="n"/>
    </row>
    <row r="90">
      <c r="A90" t="inlineStr">
        <is>
          <t>G7</t>
        </is>
      </c>
      <c r="B90" t="inlineStr">
        <is>
          <t>Completion &amp; handover</t>
        </is>
      </c>
      <c r="C90" t="inlineStr">
        <is>
          <t>Deliverable</t>
        </is>
      </c>
      <c r="D90" s="6" t="inlineStr">
        <is>
          <t>Handover file: permits, certificates, warranties, as-builts</t>
        </is>
      </c>
      <c r="F90" s="21" t="n"/>
      <c r="H90" t="inlineStr">
        <is>
          <t>08 Handover, Records &amp; Sale</t>
        </is>
      </c>
      <c r="I90" s="7">
        <f>IF(H90="","",IF(IFERROR(INDEX('Drive Map'!$G$4:$G$33,MATCH(H90,'Drive Map'!$B$4:$B$33,0))&amp;"","")="","",HYPERLINK(INDEX('Drive Map'!$G$4:$G$33,MATCH(H90,'Drive Map'!$B$4:$B$33,0)),"Open")))</f>
        <v/>
      </c>
      <c r="J90" s="6" t="n"/>
    </row>
    <row r="91">
      <c r="A91" t="inlineStr">
        <is>
          <t>G7</t>
        </is>
      </c>
      <c r="B91" t="inlineStr">
        <is>
          <t>Completion &amp; handover</t>
        </is>
      </c>
      <c r="C91" t="inlineStr">
        <is>
          <t>Deliverable</t>
        </is>
      </c>
      <c r="D91" s="6" t="inlineStr">
        <is>
          <t>Final cost report &amp; lessons learned</t>
        </is>
      </c>
      <c r="F91" s="21" t="n"/>
      <c r="H91" t="inlineStr">
        <is>
          <t>08 Handover, Records &amp; Sale</t>
        </is>
      </c>
      <c r="I91" s="7">
        <f>IF(H91="","",IF(IFERROR(INDEX('Drive Map'!$G$4:$G$33,MATCH(H91,'Drive Map'!$B$4:$B$33,0))&amp;"","")="","",HYPERLINK(INDEX('Drive Map'!$G$4:$G$33,MATCH(H91,'Drive Map'!$B$4:$B$33,0)),"Open")))</f>
        <v/>
      </c>
      <c r="J91" s="6" t="n"/>
    </row>
    <row r="92">
      <c r="A92" t="inlineStr">
        <is>
          <t>G7</t>
        </is>
      </c>
      <c r="B92" t="inlineStr">
        <is>
          <t>Completion &amp; handover</t>
        </is>
      </c>
      <c r="C92" t="inlineStr">
        <is>
          <t>Exit check</t>
        </is>
      </c>
      <c r="D92" s="6" t="inlineStr">
        <is>
          <t>Occupancy permit issued before move-in</t>
        </is>
      </c>
      <c r="F92" s="21" t="n"/>
      <c r="H92" t="inlineStr"/>
      <c r="I92" s="7">
        <f>IF(H92="","",IF(IFERROR(INDEX('Drive Map'!$G$4:$G$33,MATCH(H92,'Drive Map'!$B$4:$B$33,0))&amp;"","")="","",HYPERLINK(INDEX('Drive Map'!$G$4:$G$33,MATCH(H92,'Drive Map'!$B$4:$B$33,0)),"Open")))</f>
        <v/>
      </c>
      <c r="J92" s="6" t="n"/>
    </row>
    <row r="93">
      <c r="A93" t="inlineStr">
        <is>
          <t>G7</t>
        </is>
      </c>
      <c r="B93" t="inlineStr">
        <is>
          <t>Completion &amp; handover</t>
        </is>
      </c>
      <c r="C93" t="inlineStr">
        <is>
          <t>Exit check</t>
        </is>
      </c>
      <c r="D93" s="6" t="inlineStr">
        <is>
          <t>All trades paid, retentions released per contract</t>
        </is>
      </c>
      <c r="F93" s="21" t="n"/>
      <c r="H93" t="inlineStr"/>
      <c r="I93" s="7">
        <f>IF(H93="","",IF(IFERROR(INDEX('Drive Map'!$G$4:$G$33,MATCH(H93,'Drive Map'!$B$4:$B$33,0))&amp;"","")="","",HYPERLINK(INDEX('Drive Map'!$G$4:$G$33,MATCH(H93,'Drive Map'!$B$4:$B$33,0)),"Open")))</f>
        <v/>
      </c>
      <c r="J93" s="6" t="n"/>
    </row>
    <row r="94">
      <c r="A94" t="inlineStr">
        <is>
          <t>G7</t>
        </is>
      </c>
      <c r="B94" t="inlineStr">
        <is>
          <t>Completion &amp; handover</t>
        </is>
      </c>
      <c r="C94" t="inlineStr">
        <is>
          <t>Exit check</t>
        </is>
      </c>
      <c r="D94" s="6" t="inlineStr">
        <is>
          <t>Warranty &amp; defects-period reminders set</t>
        </is>
      </c>
      <c r="F94" s="21" t="n"/>
      <c r="H94" t="inlineStr"/>
      <c r="I94" s="7">
        <f>IF(H94="","",IF(IFERROR(INDEX('Drive Map'!$G$4:$G$33,MATCH(H94,'Drive Map'!$B$4:$B$33,0))&amp;"","")="","",HYPERLINK(INDEX('Drive Map'!$G$4:$G$33,MATCH(H94,'Drive Map'!$B$4:$B$33,0)),"Open")))</f>
        <v/>
      </c>
      <c r="J94" s="6" t="n"/>
    </row>
    <row r="95">
      <c r="D95" s="6" t="n"/>
      <c r="F95" s="21" t="n"/>
      <c r="I95" s="7">
        <f>IF(H95="","",IF(IFERROR(INDEX('Drive Map'!$G$4:$G$33,MATCH(H95,'Drive Map'!$B$4:$B$33,0))&amp;"","")="","",HYPERLINK(INDEX('Drive Map'!$G$4:$G$33,MATCH(H95,'Drive Map'!$B$4:$B$33,0)),"Open")))</f>
        <v/>
      </c>
      <c r="J95" s="6" t="n"/>
    </row>
    <row r="96">
      <c r="D96" s="6" t="n"/>
      <c r="F96" s="21" t="n"/>
      <c r="I96" s="7">
        <f>IF(H96="","",IF(IFERROR(INDEX('Drive Map'!$G$4:$G$33,MATCH(H96,'Drive Map'!$B$4:$B$33,0))&amp;"","")="","",HYPERLINK(INDEX('Drive Map'!$G$4:$G$33,MATCH(H96,'Drive Map'!$B$4:$B$33,0)),"Open")))</f>
        <v/>
      </c>
      <c r="J96" s="6" t="n"/>
    </row>
    <row r="97">
      <c r="D97" s="6" t="n"/>
      <c r="F97" s="21" t="n"/>
      <c r="I97" s="7">
        <f>IF(H97="","",IF(IFERROR(INDEX('Drive Map'!$G$4:$G$33,MATCH(H97,'Drive Map'!$B$4:$B$33,0))&amp;"","")="","",HYPERLINK(INDEX('Drive Map'!$G$4:$G$33,MATCH(H97,'Drive Map'!$B$4:$B$33,0)),"Open")))</f>
        <v/>
      </c>
      <c r="J97" s="6" t="n"/>
    </row>
    <row r="98">
      <c r="D98" s="6" t="n"/>
      <c r="F98" s="21" t="n"/>
      <c r="I98" s="7">
        <f>IF(H98="","",IF(IFERROR(INDEX('Drive Map'!$G$4:$G$33,MATCH(H98,'Drive Map'!$B$4:$B$33,0))&amp;"","")="","",HYPERLINK(INDEX('Drive Map'!$G$4:$G$33,MATCH(H98,'Drive Map'!$B$4:$B$33,0)),"Open")))</f>
        <v/>
      </c>
      <c r="J98" s="6" t="n"/>
    </row>
    <row r="99">
      <c r="D99" s="6" t="n"/>
      <c r="F99" s="21" t="n"/>
      <c r="I99" s="7">
        <f>IF(H99="","",IF(IFERROR(INDEX('Drive Map'!$G$4:$G$33,MATCH(H99,'Drive Map'!$B$4:$B$33,0))&amp;"","")="","",HYPERLINK(INDEX('Drive Map'!$G$4:$G$33,MATCH(H99,'Drive Map'!$B$4:$B$33,0)),"Open")))</f>
        <v/>
      </c>
      <c r="J99" s="6" t="n"/>
    </row>
    <row r="100">
      <c r="D100" s="6" t="n"/>
      <c r="F100" s="21" t="n"/>
      <c r="I100" s="7">
        <f>IF(H100="","",IF(IFERROR(INDEX('Drive Map'!$G$4:$G$33,MATCH(H100,'Drive Map'!$B$4:$B$33,0))&amp;"","")="","",HYPERLINK(INDEX('Drive Map'!$G$4:$G$33,MATCH(H100,'Drive Map'!$B$4:$B$33,0)),"Open")))</f>
        <v/>
      </c>
      <c r="J100" s="6" t="n"/>
    </row>
    <row r="101">
      <c r="D101" s="6" t="n"/>
      <c r="F101" s="21" t="n"/>
      <c r="I101" s="7">
        <f>IF(H101="","",IF(IFERROR(INDEX('Drive Map'!$G$4:$G$33,MATCH(H101,'Drive Map'!$B$4:$B$33,0))&amp;"","")="","",HYPERLINK(INDEX('Drive Map'!$G$4:$G$33,MATCH(H101,'Drive Map'!$B$4:$B$33,0)),"Open")))</f>
        <v/>
      </c>
      <c r="J101" s="6" t="n"/>
    </row>
    <row r="102">
      <c r="D102" s="6" t="n"/>
      <c r="F102" s="21" t="n"/>
      <c r="I102" s="7">
        <f>IF(H102="","",IF(IFERROR(INDEX('Drive Map'!$G$4:$G$33,MATCH(H102,'Drive Map'!$B$4:$B$33,0))&amp;"","")="","",HYPERLINK(INDEX('Drive Map'!$G$4:$G$33,MATCH(H102,'Drive Map'!$B$4:$B$33,0)),"Open")))</f>
        <v/>
      </c>
      <c r="J102" s="6" t="n"/>
    </row>
    <row r="103">
      <c r="D103" s="6" t="n"/>
      <c r="F103" s="21" t="n"/>
      <c r="I103" s="7">
        <f>IF(H103="","",IF(IFERROR(INDEX('Drive Map'!$G$4:$G$33,MATCH(H103,'Drive Map'!$B$4:$B$33,0))&amp;"","")="","",HYPERLINK(INDEX('Drive Map'!$G$4:$G$33,MATCH(H103,'Drive Map'!$B$4:$B$33,0)),"Open")))</f>
        <v/>
      </c>
      <c r="J103" s="6" t="n"/>
    </row>
    <row r="104">
      <c r="D104" s="6" t="n"/>
      <c r="F104" s="21" t="n"/>
      <c r="I104" s="7">
        <f>IF(H104="","",IF(IFERROR(INDEX('Drive Map'!$G$4:$G$33,MATCH(H104,'Drive Map'!$B$4:$B$33,0))&amp;"","")="","",HYPERLINK(INDEX('Drive Map'!$G$4:$G$33,MATCH(H104,'Drive Map'!$B$4:$B$33,0)),"Open")))</f>
        <v/>
      </c>
      <c r="J104" s="6" t="n"/>
    </row>
    <row r="105">
      <c r="D105" s="6" t="n"/>
      <c r="F105" s="21" t="n"/>
      <c r="I105" s="7">
        <f>IF(H105="","",IF(IFERROR(INDEX('Drive Map'!$G$4:$G$33,MATCH(H105,'Drive Map'!$B$4:$B$33,0))&amp;"","")="","",HYPERLINK(INDEX('Drive Map'!$G$4:$G$33,MATCH(H105,'Drive Map'!$B$4:$B$33,0)),"Open")))</f>
        <v/>
      </c>
      <c r="J105" s="6" t="n"/>
    </row>
    <row r="106">
      <c r="D106" s="6" t="n"/>
      <c r="F106" s="21" t="n"/>
      <c r="I106" s="7">
        <f>IF(H106="","",IF(IFERROR(INDEX('Drive Map'!$G$4:$G$33,MATCH(H106,'Drive Map'!$B$4:$B$33,0))&amp;"","")="","",HYPERLINK(INDEX('Drive Map'!$G$4:$G$33,MATCH(H106,'Drive Map'!$B$4:$B$33,0)),"Open")))</f>
        <v/>
      </c>
      <c r="J106" s="6" t="n"/>
    </row>
    <row r="107">
      <c r="D107" s="6" t="n"/>
      <c r="F107" s="21" t="n"/>
      <c r="I107" s="7">
        <f>IF(H107="","",IF(IFERROR(INDEX('Drive Map'!$G$4:$G$33,MATCH(H107,'Drive Map'!$B$4:$B$33,0))&amp;"","")="","",HYPERLINK(INDEX('Drive Map'!$G$4:$G$33,MATCH(H107,'Drive Map'!$B$4:$B$33,0)),"Open")))</f>
        <v/>
      </c>
      <c r="J107" s="6" t="n"/>
    </row>
    <row r="108">
      <c r="D108" s="6" t="n"/>
      <c r="F108" s="21" t="n"/>
      <c r="I108" s="7">
        <f>IF(H108="","",IF(IFERROR(INDEX('Drive Map'!$G$4:$G$33,MATCH(H108,'Drive Map'!$B$4:$B$33,0))&amp;"","")="","",HYPERLINK(INDEX('Drive Map'!$G$4:$G$33,MATCH(H108,'Drive Map'!$B$4:$B$33,0)),"Open")))</f>
        <v/>
      </c>
      <c r="J108" s="6" t="n"/>
    </row>
    <row r="109">
      <c r="D109" s="6" t="n"/>
      <c r="F109" s="21" t="n"/>
      <c r="I109" s="7">
        <f>IF(H109="","",IF(IFERROR(INDEX('Drive Map'!$G$4:$G$33,MATCH(H109,'Drive Map'!$B$4:$B$33,0))&amp;"","")="","",HYPERLINK(INDEX('Drive Map'!$G$4:$G$33,MATCH(H109,'Drive Map'!$B$4:$B$33,0)),"Open")))</f>
        <v/>
      </c>
      <c r="J109" s="6" t="n"/>
    </row>
    <row r="110">
      <c r="D110" s="6" t="n"/>
      <c r="F110" s="21" t="n"/>
      <c r="I110" s="7">
        <f>IF(H110="","",IF(IFERROR(INDEX('Drive Map'!$G$4:$G$33,MATCH(H110,'Drive Map'!$B$4:$B$33,0))&amp;"","")="","",HYPERLINK(INDEX('Drive Map'!$G$4:$G$33,MATCH(H110,'Drive Map'!$B$4:$B$33,0)),"Open")))</f>
        <v/>
      </c>
      <c r="J110" s="6" t="n"/>
    </row>
    <row r="111">
      <c r="D111" s="6" t="n"/>
      <c r="F111" s="21" t="n"/>
      <c r="I111" s="7">
        <f>IF(H111="","",IF(IFERROR(INDEX('Drive Map'!$G$4:$G$33,MATCH(H111,'Drive Map'!$B$4:$B$33,0))&amp;"","")="","",HYPERLINK(INDEX('Drive Map'!$G$4:$G$33,MATCH(H111,'Drive Map'!$B$4:$B$33,0)),"Open")))</f>
        <v/>
      </c>
      <c r="J111" s="6" t="n"/>
    </row>
    <row r="112">
      <c r="D112" s="6" t="n"/>
      <c r="F112" s="21" t="n"/>
      <c r="I112" s="7">
        <f>IF(H112="","",IF(IFERROR(INDEX('Drive Map'!$G$4:$G$33,MATCH(H112,'Drive Map'!$B$4:$B$33,0))&amp;"","")="","",HYPERLINK(INDEX('Drive Map'!$G$4:$G$33,MATCH(H112,'Drive Map'!$B$4:$B$33,0)),"Open")))</f>
        <v/>
      </c>
      <c r="J112" s="6" t="n"/>
    </row>
    <row r="113">
      <c r="D113" s="6" t="n"/>
      <c r="F113" s="21" t="n"/>
      <c r="I113" s="7">
        <f>IF(H113="","",IF(IFERROR(INDEX('Drive Map'!$G$4:$G$33,MATCH(H113,'Drive Map'!$B$4:$B$33,0))&amp;"","")="","",HYPERLINK(INDEX('Drive Map'!$G$4:$G$33,MATCH(H113,'Drive Map'!$B$4:$B$33,0)),"Open")))</f>
        <v/>
      </c>
      <c r="J113" s="6" t="n"/>
    </row>
    <row r="114">
      <c r="D114" s="6" t="n"/>
      <c r="F114" s="21" t="n"/>
      <c r="I114" s="7">
        <f>IF(H114="","",IF(IFERROR(INDEX('Drive Map'!$G$4:$G$33,MATCH(H114,'Drive Map'!$B$4:$B$33,0))&amp;"","")="","",HYPERLINK(INDEX('Drive Map'!$G$4:$G$33,MATCH(H114,'Drive Map'!$B$4:$B$33,0)),"Open")))</f>
        <v/>
      </c>
      <c r="J114" s="6" t="n"/>
    </row>
  </sheetData>
  <autoFilter ref="A3:J114"/>
  <conditionalFormatting sqref="E4:E114">
    <cfRule type="cellIs" priority="1" operator="equal" dxfId="0">
      <formula>"Yes"</formula>
    </cfRule>
  </conditionalFormatting>
  <dataValidations count="3">
    <dataValidation sqref="A4:A114" showDropDown="0" showInputMessage="0" showErrorMessage="0" allowBlank="1" error="Pick a value from the list." type="list" errorStyle="warning">
      <formula1>=Lists!$A$2:$A$9</formula1>
    </dataValidation>
    <dataValidation sqref="C4:C114" showDropDown="0" showInputMessage="0" showErrorMessage="0" allowBlank="1" error="Pick a value from the list." type="list" errorStyle="warning">
      <formula1>=Lists!$F$2:$F$4</formula1>
    </dataValidation>
    <dataValidation sqref="E4:E114"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79"/>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44" customWidth="1" min="3" max="3"/>
    <col width="13" customWidth="1" min="4" max="4"/>
    <col width="60" customWidth="1" min="5" max="5"/>
    <col width="9" customWidth="1" min="6" max="6"/>
    <col width="13" customWidth="1" min="7" max="7"/>
    <col width="12" customWidth="1" min="8" max="8"/>
    <col width="18" customWidth="1" min="9" max="9"/>
    <col width="16" customWidth="1" min="10" max="10"/>
    <col width="30" customWidth="1" min="11" max="11"/>
    <col width="8" customWidth="1" min="12" max="12"/>
    <col width="36" customWidth="1" min="13" max="13"/>
  </cols>
  <sheetData>
    <row r="1" ht="24" customHeight="1">
      <c r="A1" s="1" t="inlineStr">
        <is>
          <t>Victorian owner-builder compliance</t>
        </is>
      </c>
    </row>
    <row r="2">
      <c r="A2" s="2" t="inlineStr">
        <is>
          <t>Every item from the 11-stage checklist. Set Status as you go; use N/A only where the item genuinely doesn't apply to your build.</t>
        </is>
      </c>
    </row>
    <row r="3" ht="32" customHeight="1">
      <c r="A3" s="19" t="inlineStr">
        <is>
          <t>ID</t>
        </is>
      </c>
      <c r="B3" s="19" t="inlineStr">
        <is>
          <t>Stage</t>
        </is>
      </c>
      <c r="C3" s="19" t="inlineStr">
        <is>
          <t>Item</t>
        </is>
      </c>
      <c r="D3" s="19" t="inlineStr">
        <is>
          <t>Requirement</t>
        </is>
      </c>
      <c r="E3" s="19" t="inlineStr">
        <is>
          <t>What it means</t>
        </is>
      </c>
      <c r="F3" s="19" t="inlineStr">
        <is>
          <t>Gateway</t>
        </is>
      </c>
      <c r="G3" s="19" t="inlineStr">
        <is>
          <t>Status</t>
        </is>
      </c>
      <c r="H3" s="19" t="inlineStr">
        <is>
          <t>Date done</t>
        </is>
      </c>
      <c r="I3" s="19" t="inlineStr">
        <is>
          <t>Reference / permit no.</t>
        </is>
      </c>
      <c r="J3" s="19" t="inlineStr">
        <is>
          <t>Evidence Doc ID</t>
        </is>
      </c>
      <c r="K3" s="19" t="inlineStr">
        <is>
          <t>Drive folder</t>
        </is>
      </c>
      <c r="L3" s="20" t="inlineStr">
        <is>
          <t>Folder</t>
        </is>
      </c>
      <c r="M3" s="19" t="inlineStr">
        <is>
          <t>Notes</t>
        </is>
      </c>
    </row>
    <row r="4">
      <c r="A4" t="inlineStr">
        <is>
          <t>el-own</t>
        </is>
      </c>
      <c r="B4" t="inlineStr">
        <is>
          <t>1. Eligibility</t>
        </is>
      </c>
      <c r="C4" s="6" t="inlineStr">
        <is>
          <t>You own the land</t>
        </is>
      </c>
      <c r="D4" t="inlineStr">
        <is>
          <t>Must</t>
        </is>
      </c>
      <c r="E4" s="6" t="inlineStr">
        <is>
          <t>Or you're a director of the company, or a beneficiary of the trust, that owns it. Your name must match the title.</t>
        </is>
      </c>
      <c r="F4" t="inlineStr">
        <is>
          <t>G0</t>
        </is>
      </c>
      <c r="G4" t="inlineStr">
        <is>
          <t>Not started</t>
        </is>
      </c>
      <c r="H4" s="21" t="n"/>
      <c r="K4" t="inlineStr">
        <is>
          <t>01 Eligibility, Land &amp; Planning</t>
        </is>
      </c>
      <c r="L4" s="7">
        <f>IF(K4="","",IF(IFERROR(INDEX('Drive Map'!$G$4:$G$33,MATCH(K4,'Drive Map'!$B$4:$B$33,0))&amp;"","")="","",HYPERLINK(INDEX('Drive Map'!$G$4:$G$33,MATCH(K4,'Drive Map'!$B$4:$B$33,0)),"Open")))</f>
        <v/>
      </c>
      <c r="M4" s="6" t="n"/>
    </row>
    <row r="5">
      <c r="A5" t="inlineStr">
        <is>
          <t>el-single</t>
        </is>
      </c>
      <c r="B5" t="inlineStr">
        <is>
          <t>1. Eligibility</t>
        </is>
      </c>
      <c r="C5" s="6" t="inlineStr">
        <is>
          <t>The work relates to a single domestic dwelling</t>
        </is>
      </c>
      <c r="D5" t="inlineStr">
        <is>
          <t>Must</t>
        </is>
      </c>
      <c r="E5" s="6" t="inlineStr">
        <is>
          <t>This includes work ancillary to it, such as a garage, shed, pool or deck. Multi-unit developments are out.</t>
        </is>
      </c>
      <c r="F5" t="inlineStr">
        <is>
          <t>G0</t>
        </is>
      </c>
      <c r="G5" t="inlineStr">
        <is>
          <t>Not started</t>
        </is>
      </c>
      <c r="H5" s="21" t="n"/>
      <c r="K5" t="inlineStr">
        <is>
          <t>01 Eligibility, Land &amp; Planning</t>
        </is>
      </c>
      <c r="L5" s="7">
        <f>IF(K5="","",IF(IFERROR(INDEX('Drive Map'!$G$4:$G$33,MATCH(K5,'Drive Map'!$B$4:$B$33,0))&amp;"","")="","",HYPERLINK(INDEX('Drive Map'!$G$4:$G$33,MATCH(K5,'Drive Map'!$B$4:$B$33,0)),"Open")))</f>
        <v/>
      </c>
      <c r="M5" s="6" t="n"/>
    </row>
    <row r="6">
      <c r="A6" t="inlineStr">
        <is>
          <t>el-reside</t>
        </is>
      </c>
      <c r="B6" t="inlineStr">
        <is>
          <t>1. Eligibility</t>
        </is>
      </c>
      <c r="C6" s="6" t="inlineStr">
        <is>
          <t>You live in it, or intend to live in it</t>
        </is>
      </c>
      <c r="D6" t="inlineStr">
        <is>
          <t>Must</t>
        </is>
      </c>
      <c r="E6" s="6" t="inlineStr">
        <is>
          <t>A small second dwelling on the same lot is exempt from this rule.</t>
        </is>
      </c>
      <c r="F6" t="inlineStr">
        <is>
          <t>G0</t>
        </is>
      </c>
      <c r="G6" t="inlineStr">
        <is>
          <t>Not started</t>
        </is>
      </c>
      <c r="H6" s="21" t="n"/>
      <c r="K6" t="inlineStr">
        <is>
          <t>01 Eligibility, Land &amp; Planning</t>
        </is>
      </c>
      <c r="L6" s="7">
        <f>IF(K6="","",IF(IFERROR(INDEX('Drive Map'!$G$4:$G$33,MATCH(K6,'Drive Map'!$B$4:$B$33,0))&amp;"","")="","",HYPERLINK(INDEX('Drive Map'!$G$4:$G$33,MATCH(K6,'Drive Map'!$B$4:$B$33,0)),"Open")))</f>
        <v/>
      </c>
      <c r="M6" s="6" t="n"/>
    </row>
    <row r="7">
      <c r="A7" t="inlineStr">
        <is>
          <t>el-business</t>
        </is>
      </c>
      <c r="B7" t="inlineStr">
        <is>
          <t>1. Eligibility</t>
        </is>
      </c>
      <c r="C7" s="6" t="inlineStr">
        <is>
          <t>You're not in the "business of building"</t>
        </is>
      </c>
      <c r="D7" t="inlineStr">
        <is>
          <t>Must</t>
        </is>
      </c>
      <c r="E7" s="6" t="inlineStr">
        <is>
          <t>Owner-building repeatedly for profit is treated as running a building business and needs registration.</t>
        </is>
      </c>
      <c r="F7" t="inlineStr">
        <is>
          <t>G0</t>
        </is>
      </c>
      <c r="G7" t="inlineStr">
        <is>
          <t>Not started</t>
        </is>
      </c>
      <c r="H7" s="21" t="n"/>
      <c r="K7" t="inlineStr">
        <is>
          <t>01 Eligibility, Land &amp; Planning</t>
        </is>
      </c>
      <c r="L7" s="7">
        <f>IF(K7="","",IF(IFERROR(INDEX('Drive Map'!$G$4:$G$33,MATCH(K7,'Drive Map'!$B$4:$B$33,0))&amp;"","")="","",HYPERLINK(INDEX('Drive Map'!$G$4:$G$33,MATCH(K7,'Drive Map'!$B$4:$B$33,0)),"Open")))</f>
        <v/>
      </c>
      <c r="M7" s="6" t="n"/>
    </row>
    <row r="8">
      <c r="A8" t="inlineStr">
        <is>
          <t>el-5yr</t>
        </is>
      </c>
      <c r="B8" t="inlineStr">
        <is>
          <t>1. Eligibility</t>
        </is>
      </c>
      <c r="C8" s="6" t="inlineStr">
        <is>
          <t>No owner-builder permit in the last 5 years</t>
        </is>
      </c>
      <c r="D8" t="inlineStr">
        <is>
          <t>Must</t>
        </is>
      </c>
      <c r="E8" s="6" t="inlineStr">
        <is>
          <t>This applies to you and to anyone you co-own, or have co-owned, property with. Small second dwellings and further work on the same home are exceptions. The BPC can grant exemptions for special circumstances such as hardship.</t>
        </is>
      </c>
      <c r="F8" t="inlineStr">
        <is>
          <t>G0</t>
        </is>
      </c>
      <c r="G8" t="inlineStr">
        <is>
          <t>Not started</t>
        </is>
      </c>
      <c r="H8" s="21" t="n"/>
      <c r="K8" t="inlineStr">
        <is>
          <t>01 Eligibility, Land &amp; Planning</t>
        </is>
      </c>
      <c r="L8" s="7">
        <f>IF(K8="","",IF(IFERROR(INDEX('Drive Map'!$G$4:$G$33,MATCH(K8,'Drive Map'!$B$4:$B$33,0))&amp;"","")="","",HYPERLINK(INDEX('Drive Map'!$G$4:$G$33,MATCH(K8,'Drive Map'!$B$4:$B$33,0)),"Open")))</f>
        <v/>
      </c>
      <c r="M8" s="6" t="n"/>
    </row>
    <row r="9">
      <c r="A9" t="inlineStr">
        <is>
          <t>el-elearn</t>
        </is>
      </c>
      <c r="B9" t="inlineStr">
        <is>
          <t>1. Eligibility</t>
        </is>
      </c>
      <c r="C9" s="6" t="inlineStr">
        <is>
          <t>Pass the BPC owner-builder eLearning assessment</t>
        </is>
      </c>
      <c r="D9" t="inlineStr">
        <is>
          <t>Must</t>
        </is>
      </c>
      <c r="E9" s="6" t="inlineStr">
        <is>
          <t>Free and online, about 2–3 hours. Download and keep your pass certificate.</t>
        </is>
      </c>
      <c r="F9" t="inlineStr">
        <is>
          <t>G2</t>
        </is>
      </c>
      <c r="G9" t="inlineStr">
        <is>
          <t>Not started</t>
        </is>
      </c>
      <c r="H9" s="21" t="n"/>
      <c r="K9" t="inlineStr">
        <is>
          <t>01 Eligibility, Land &amp; Planning</t>
        </is>
      </c>
      <c r="L9" s="7">
        <f>IF(K9="","",IF(IFERROR(INDEX('Drive Map'!$G$4:$G$33,MATCH(K9,'Drive Map'!$B$4:$B$33,0))&amp;"","")="","",HYPERLINK(INDEX('Drive Map'!$G$4:$G$33,MATCH(K9,'Drive Map'!$B$4:$B$33,0)),"Open")))</f>
        <v/>
      </c>
      <c r="M9" s="6" t="n"/>
    </row>
    <row r="10">
      <c r="A10" t="inlineStr">
        <is>
          <t>el-white</t>
        </is>
      </c>
      <c r="B10" t="inlineStr">
        <is>
          <t>1. Eligibility</t>
        </is>
      </c>
      <c r="C10" s="6" t="inlineStr">
        <is>
          <t>Complete construction induction training (white card)</t>
        </is>
      </c>
      <c r="D10" t="inlineStr">
        <is>
          <t>Must</t>
        </is>
      </c>
      <c r="E10" s="6" t="inlineStr">
        <is>
          <t>It's part of the eligibility criteria. Anyone else working on your site needs one too.</t>
        </is>
      </c>
      <c r="F10" t="inlineStr">
        <is>
          <t>G2</t>
        </is>
      </c>
      <c r="G10" t="inlineStr">
        <is>
          <t>Not started</t>
        </is>
      </c>
      <c r="H10" s="21" t="n"/>
      <c r="K10" t="inlineStr">
        <is>
          <t>01 Eligibility, Land &amp; Planning</t>
        </is>
      </c>
      <c r="L10" s="7">
        <f>IF(K10="","",IF(IFERROR(INDEX('Drive Map'!$G$4:$G$33,MATCH(K10,'Drive Map'!$B$4:$B$33,0))&amp;"","")="","",HYPERLINK(INDEX('Drive Map'!$G$4:$G$33,MATCH(K10,'Drive Map'!$B$4:$B$33,0)),"Open")))</f>
        <v/>
      </c>
      <c r="M10" s="6" t="n"/>
    </row>
    <row r="11">
      <c r="A11" t="inlineStr">
        <is>
          <t>co-value</t>
        </is>
      </c>
      <c r="B11" t="inlineStr">
        <is>
          <t>2. Certificate of consent</t>
        </is>
      </c>
      <c r="C11" s="6" t="inlineStr">
        <is>
          <t>Estimate the full value of the work</t>
        </is>
      </c>
      <c r="D11" t="inlineStr">
        <is>
          <t>Must</t>
        </is>
      </c>
      <c r="E11" s="6" t="inlineStr">
        <is>
          <t>Use market rates for your own labour. Keep the working. The building surveyor and BPC may ask for it.</t>
        </is>
      </c>
      <c r="F11" t="inlineStr">
        <is>
          <t>G2</t>
        </is>
      </c>
      <c r="G11" t="inlineStr">
        <is>
          <t>Not started</t>
        </is>
      </c>
      <c r="H11" s="21" t="n"/>
      <c r="K11" t="inlineStr">
        <is>
          <t>01 Eligibility, Land &amp; Planning</t>
        </is>
      </c>
      <c r="L11" s="7">
        <f>IF(K11="","",IF(IFERROR(INDEX('Drive Map'!$G$4:$G$33,MATCH(K11,'Drive Map'!$B$4:$B$33,0))&amp;"","")="","",HYPERLINK(INDEX('Drive Map'!$G$4:$G$33,MATCH(K11,'Drive Map'!$B$4:$B$33,0)),"Open")))</f>
        <v/>
      </c>
      <c r="M11" s="6" t="n"/>
    </row>
    <row r="12">
      <c r="A12" t="inlineStr">
        <is>
          <t>co-apply</t>
        </is>
      </c>
      <c r="B12" t="inlineStr">
        <is>
          <t>2. Certificate of consent</t>
        </is>
      </c>
      <c r="C12" s="6" t="inlineStr">
        <is>
          <t>Apply to the BPC with proof of ownership and ID</t>
        </is>
      </c>
      <c r="D12" t="inlineStr">
        <is>
          <t>Must</t>
        </is>
      </c>
      <c r="E12" s="6" t="inlineStr">
        <is>
          <t>Include your eLearning pass, construction induction card, title search and project description. There's a non-refundable application fee, so check the BPC fee schedule.</t>
        </is>
      </c>
      <c r="F12" t="inlineStr">
        <is>
          <t>G2</t>
        </is>
      </c>
      <c r="G12" t="inlineStr">
        <is>
          <t>Not started</t>
        </is>
      </c>
      <c r="H12" s="21" t="n"/>
      <c r="K12" t="inlineStr">
        <is>
          <t>01 Eligibility, Land &amp; Planning</t>
        </is>
      </c>
      <c r="L12" s="7">
        <f>IF(K12="","",IF(IFERROR(INDEX('Drive Map'!$G$4:$G$33,MATCH(K12,'Drive Map'!$B$4:$B$33,0))&amp;"","")="","",HYPERLINK(INDEX('Drive Map'!$G$4:$G$33,MATCH(K12,'Drive Map'!$B$4:$B$33,0)),"Open")))</f>
        <v/>
      </c>
      <c r="M12" s="6" t="n"/>
    </row>
    <row r="13">
      <c r="A13" t="inlineStr">
        <is>
          <t>co-receive</t>
        </is>
      </c>
      <c r="B13" t="inlineStr">
        <is>
          <t>2. Certificate of consent</t>
        </is>
      </c>
      <c r="C13" s="6" t="inlineStr">
        <is>
          <t>Receive your certificate of consent</t>
        </is>
      </c>
      <c r="D13" t="inlineStr">
        <is>
          <t>Must</t>
        </is>
      </c>
      <c r="E13" s="6" t="inlineStr">
        <is>
          <t>Give a copy to your relevant building surveyor. It's specific to you, this land and this work.</t>
        </is>
      </c>
      <c r="F13" t="inlineStr">
        <is>
          <t>G2</t>
        </is>
      </c>
      <c r="G13" t="inlineStr">
        <is>
          <t>Not started</t>
        </is>
      </c>
      <c r="H13" s="21" t="n"/>
      <c r="K13" t="inlineStr">
        <is>
          <t>01 Eligibility, Land &amp; Planning</t>
        </is>
      </c>
      <c r="L13" s="7">
        <f>IF(K13="","",IF(IFERROR(INDEX('Drive Map'!$G$4:$G$33,MATCH(K13,'Drive Map'!$B$4:$B$33,0))&amp;"","")="","",HYPERLINK(INDEX('Drive Map'!$G$4:$G$33,MATCH(K13,'Drive Map'!$B$4:$B$33,0)),"Open")))</f>
        <v/>
      </c>
      <c r="M13" s="6" t="n"/>
    </row>
    <row r="14">
      <c r="A14" t="inlineStr">
        <is>
          <t>de-title</t>
        </is>
      </c>
      <c r="B14" t="inlineStr">
        <is>
          <t>3. Site, planning &amp; design</t>
        </is>
      </c>
      <c r="C14" s="6" t="inlineStr">
        <is>
          <t>Title search: covenants, easements, section 173 agreements</t>
        </is>
      </c>
      <c r="D14" t="inlineStr">
        <is>
          <t>Must</t>
        </is>
      </c>
      <c r="E14" s="6" t="inlineStr">
        <is>
          <t>These can limit what, where and how you build. Get the plan of subdivision too.</t>
        </is>
      </c>
      <c r="F14" t="inlineStr">
        <is>
          <t>G0</t>
        </is>
      </c>
      <c r="G14" t="inlineStr">
        <is>
          <t>Not started</t>
        </is>
      </c>
      <c r="H14" s="21" t="n"/>
      <c r="K14" t="inlineStr">
        <is>
          <t>01 Eligibility, Land &amp; Planning</t>
        </is>
      </c>
      <c r="L14" s="7">
        <f>IF(K14="","",IF(IFERROR(INDEX('Drive Map'!$G$4:$G$33,MATCH(K14,'Drive Map'!$B$4:$B$33,0))&amp;"","")="","",HYPERLINK(INDEX('Drive Map'!$G$4:$G$33,MATCH(K14,'Drive Map'!$B$4:$B$33,0)),"Open")))</f>
        <v/>
      </c>
      <c r="M14" s="6" t="n"/>
    </row>
    <row r="15">
      <c r="A15" t="inlineStr">
        <is>
          <t>de-planning</t>
        </is>
      </c>
      <c r="B15" t="inlineStr">
        <is>
          <t>3. Site, planning &amp; design</t>
        </is>
      </c>
      <c r="C15" s="6" t="inlineStr">
        <is>
          <t>Check zoning &amp; overlays and get a planning permit</t>
        </is>
      </c>
      <c r="D15" t="inlineStr">
        <is>
          <t>If applies</t>
        </is>
      </c>
      <c r="E15" s="6" t="inlineStr">
        <is>
          <t>Use VicPlan / Planning Property Report. Heritage, bushfire (BMO), flood, vegetation and neighbourhood character overlays often need a permit from council.</t>
        </is>
      </c>
      <c r="F15" t="inlineStr">
        <is>
          <t>G2</t>
        </is>
      </c>
      <c r="G15" t="inlineStr">
        <is>
          <t>Not started</t>
        </is>
      </c>
      <c r="H15" s="21" t="n"/>
      <c r="K15" t="inlineStr">
        <is>
          <t>01 Eligibility, Land &amp; Planning</t>
        </is>
      </c>
      <c r="L15" s="7">
        <f>IF(K15="","",IF(IFERROR(INDEX('Drive Map'!$G$4:$G$33,MATCH(K15,'Drive Map'!$B$4:$B$33,0))&amp;"","")="","",HYPERLINK(INDEX('Drive Map'!$G$4:$G$33,MATCH(K15,'Drive Map'!$B$4:$B$33,0)),"Open")))</f>
        <v/>
      </c>
      <c r="M15" s="6" t="n"/>
    </row>
    <row r="16">
      <c r="A16" t="inlineStr">
        <is>
          <t>de-survey</t>
        </is>
      </c>
      <c r="B16" t="inlineStr">
        <is>
          <t>3. Site, planning &amp; design</t>
        </is>
      </c>
      <c r="C16" s="6" t="inlineStr">
        <is>
          <t>Feature &amp; level survey, plus a soil test (site classification)</t>
        </is>
      </c>
      <c r="D16" t="inlineStr">
        <is>
          <t>Must</t>
        </is>
      </c>
      <c r="E16" s="6" t="inlineStr">
        <is>
          <t>Soil classification to AS 2870 drives footing and slab design. A licensed surveyor sets out the boundaries.</t>
        </is>
      </c>
      <c r="F16" t="inlineStr">
        <is>
          <t>G1</t>
        </is>
      </c>
      <c r="G16" t="inlineStr">
        <is>
          <t>Not started</t>
        </is>
      </c>
      <c r="H16" s="21" t="n"/>
      <c r="K16" t="inlineStr">
        <is>
          <t>02 Design &amp; Engineering</t>
        </is>
      </c>
      <c r="L16" s="7">
        <f>IF(K16="","",IF(IFERROR(INDEX('Drive Map'!$G$4:$G$33,MATCH(K16,'Drive Map'!$B$4:$B$33,0))&amp;"","")="","",HYPERLINK(INDEX('Drive Map'!$G$4:$G$33,MATCH(K16,'Drive Map'!$B$4:$B$33,0)),"Open")))</f>
        <v/>
      </c>
      <c r="M16" s="6" t="n"/>
    </row>
    <row r="17">
      <c r="A17" t="inlineStr">
        <is>
          <t>de-drawings</t>
        </is>
      </c>
      <c r="B17" t="inlineStr">
        <is>
          <t>3. Site, planning &amp; design</t>
        </is>
      </c>
      <c r="C17" s="6" t="inlineStr">
        <is>
          <t>Working drawings by a registered draftsperson or architect</t>
        </is>
      </c>
      <c r="D17" t="inlineStr">
        <is>
          <t>Must</t>
        </is>
      </c>
      <c r="E17" s="6" t="inlineStr">
        <is>
          <t>Include site plan, floor plans, elevations, sections, window schedule and specification.</t>
        </is>
      </c>
      <c r="F17" t="inlineStr">
        <is>
          <t>G2</t>
        </is>
      </c>
      <c r="G17" t="inlineStr">
        <is>
          <t>Not started</t>
        </is>
      </c>
      <c r="H17" s="21" t="n"/>
      <c r="K17" t="inlineStr">
        <is>
          <t>02 Design &amp; Engineering</t>
        </is>
      </c>
      <c r="L17" s="7">
        <f>IF(K17="","",IF(IFERROR(INDEX('Drive Map'!$G$4:$G$33,MATCH(K17,'Drive Map'!$B$4:$B$33,0))&amp;"","")="","",HYPERLINK(INDEX('Drive Map'!$G$4:$G$33,MATCH(K17,'Drive Map'!$B$4:$B$33,0)),"Open")))</f>
        <v/>
      </c>
      <c r="M17" s="6" t="n"/>
    </row>
    <row r="18">
      <c r="A18" t="inlineStr">
        <is>
          <t>de-eng</t>
        </is>
      </c>
      <c r="B18" t="inlineStr">
        <is>
          <t>3. Site, planning &amp; design</t>
        </is>
      </c>
      <c r="C18" s="6" t="inlineStr">
        <is>
          <t>Structural &amp; civil engineering by a registered engineer</t>
        </is>
      </c>
      <c r="D18" t="inlineStr">
        <is>
          <t>Must</t>
        </is>
      </c>
      <c r="E18" s="6" t="inlineStr">
        <is>
          <t>Covers footings and slab, framing and bracing, tie-downs, retaining walls and stormwater drainage. You need computations and certificates of compliance (design).</t>
        </is>
      </c>
      <c r="F18" t="inlineStr">
        <is>
          <t>G2</t>
        </is>
      </c>
      <c r="G18" t="inlineStr">
        <is>
          <t>Not started</t>
        </is>
      </c>
      <c r="H18" s="21" t="n"/>
      <c r="K18" t="inlineStr">
        <is>
          <t>02 Design &amp; Engineering</t>
        </is>
      </c>
      <c r="L18" s="7">
        <f>IF(K18="","",IF(IFERROR(INDEX('Drive Map'!$G$4:$G$33,MATCH(K18,'Drive Map'!$B$4:$B$33,0))&amp;"","")="","",HYPERLINK(INDEX('Drive Map'!$G$4:$G$33,MATCH(K18,'Drive Map'!$B$4:$B$33,0)),"Open")))</f>
        <v/>
      </c>
      <c r="M18" s="6" t="n"/>
    </row>
    <row r="19">
      <c r="A19" t="inlineStr">
        <is>
          <t>de-energy</t>
        </is>
      </c>
      <c r="B19" t="inlineStr">
        <is>
          <t>3. Site, planning &amp; design</t>
        </is>
      </c>
      <c r="C19" s="6" t="inlineStr">
        <is>
          <t>Energy rating: 7-star NatHERS plus whole-of-home</t>
        </is>
      </c>
      <c r="D19" t="inlineStr">
        <is>
          <t>Must</t>
        </is>
      </c>
      <c r="E19" s="6" t="inlineStr">
        <is>
          <t>New Victorian homes must meet NCC 2022 energy efficiency, in force since 1 May 2024. You'll need a stamped energy report.</t>
        </is>
      </c>
      <c r="F19" t="inlineStr">
        <is>
          <t>G2</t>
        </is>
      </c>
      <c r="G19" t="inlineStr">
        <is>
          <t>Not started</t>
        </is>
      </c>
      <c r="H19" s="21" t="n"/>
      <c r="K19" t="inlineStr">
        <is>
          <t>02 Design &amp; Engineering</t>
        </is>
      </c>
      <c r="L19" s="7">
        <f>IF(K19="","",IF(IFERROR(INDEX('Drive Map'!$G$4:$G$33,MATCH(K19,'Drive Map'!$B$4:$B$33,0))&amp;"","")="","",HYPERLINK(INDEX('Drive Map'!$G$4:$G$33,MATCH(K19,'Drive Map'!$B$4:$B$33,0)),"Open")))</f>
        <v/>
      </c>
      <c r="M19" s="6" t="n"/>
    </row>
    <row r="20">
      <c r="A20" t="inlineStr">
        <is>
          <t>de-bal</t>
        </is>
      </c>
      <c r="B20" t="inlineStr">
        <is>
          <t>3. Site, planning &amp; design</t>
        </is>
      </c>
      <c r="C20" s="6" t="inlineStr">
        <is>
          <t>Bushfire Attack Level (BAL) assessment</t>
        </is>
      </c>
      <c r="D20" t="inlineStr">
        <is>
          <t>If applies</t>
        </is>
      </c>
      <c r="E20" s="6" t="inlineStr">
        <is>
          <t>Required in designated bushfire prone areas. The BAL rating sets construction to AS 3959 (glazing, cladding, screens, decks).</t>
        </is>
      </c>
      <c r="F20" t="inlineStr">
        <is>
          <t>G2</t>
        </is>
      </c>
      <c r="G20" t="inlineStr">
        <is>
          <t>Not started</t>
        </is>
      </c>
      <c r="H20" s="21" t="n"/>
      <c r="K20" t="inlineStr">
        <is>
          <t>02 Design &amp; Engineering</t>
        </is>
      </c>
      <c r="L20" s="7">
        <f>IF(K20="","",IF(IFERROR(INDEX('Drive Map'!$G$4:$G$33,MATCH(K20,'Drive Map'!$B$4:$B$33,0))&amp;"","")="","",HYPERLINK(INDEX('Drive Map'!$G$4:$G$33,MATCH(K20,'Drive Map'!$B$4:$B$33,0)),"Open")))</f>
        <v/>
      </c>
      <c r="M20" s="6" t="n"/>
    </row>
    <row r="21">
      <c r="A21" t="inlineStr">
        <is>
          <t>de-lpod</t>
        </is>
      </c>
      <c r="B21" t="inlineStr">
        <is>
          <t>3. Site, planning &amp; design</t>
        </is>
      </c>
      <c r="C21" s="6" t="inlineStr">
        <is>
          <t>Legal point of stormwater discharge from council</t>
        </is>
      </c>
      <c r="D21" t="inlineStr">
        <is>
          <t>Must</t>
        </is>
      </c>
      <c r="E21" s="6" t="inlineStr">
        <is>
          <t>Request it early. It can dictate drainage design and cost.</t>
        </is>
      </c>
      <c r="F21" t="inlineStr">
        <is>
          <t>G2</t>
        </is>
      </c>
      <c r="G21" t="inlineStr">
        <is>
          <t>Not started</t>
        </is>
      </c>
      <c r="H21" s="21" t="n"/>
      <c r="K21" t="inlineStr">
        <is>
          <t>01 Eligibility, Land &amp; Planning</t>
        </is>
      </c>
      <c r="L21" s="7">
        <f>IF(K21="","",IF(IFERROR(INDEX('Drive Map'!$G$4:$G$33,MATCH(K21,'Drive Map'!$B$4:$B$33,0))&amp;"","")="","",HYPERLINK(INDEX('Drive Map'!$G$4:$G$33,MATCH(K21,'Drive Map'!$B$4:$B$33,0)),"Open")))</f>
        <v/>
      </c>
      <c r="M21" s="6" t="n"/>
    </row>
    <row r="22">
      <c r="A22" t="inlineStr">
        <is>
          <t>de-easement</t>
        </is>
      </c>
      <c r="B22" t="inlineStr">
        <is>
          <t>3. Site, planning &amp; design</t>
        </is>
      </c>
      <c r="C22" s="6" t="inlineStr">
        <is>
          <t>Build-over-easement consent from the water authority</t>
        </is>
      </c>
      <c r="D22" t="inlineStr">
        <is>
          <t>If applies</t>
        </is>
      </c>
      <c r="E22" s="6" t="inlineStr">
        <is>
          <t>Needed if any structure sits over or near a sewer or drainage easement.</t>
        </is>
      </c>
      <c r="F22" t="inlineStr">
        <is>
          <t>G2</t>
        </is>
      </c>
      <c r="G22" t="inlineStr">
        <is>
          <t>Not started</t>
        </is>
      </c>
      <c r="H22" s="21" t="n"/>
      <c r="K22" t="inlineStr">
        <is>
          <t>01 Eligibility, Land &amp; Planning</t>
        </is>
      </c>
      <c r="L22" s="7">
        <f>IF(K22="","",IF(IFERROR(INDEX('Drive Map'!$G$4:$G$33,MATCH(K22,'Drive Map'!$B$4:$B$33,0))&amp;"","")="","",HYPERLINK(INDEX('Drive Map'!$G$4:$G$33,MATCH(K22,'Drive Map'!$B$4:$B$33,0)),"Open")))</f>
        <v/>
      </c>
      <c r="M22" s="6" t="n"/>
    </row>
    <row r="23">
      <c r="A23" t="inlineStr">
        <is>
          <t>de-siting</t>
        </is>
      </c>
      <c r="B23" t="inlineStr">
        <is>
          <t>3. Site, planning &amp; design</t>
        </is>
      </c>
      <c r="C23" s="6" t="inlineStr">
        <is>
          <t>Council report &amp; consent for siting variations</t>
        </is>
      </c>
      <c r="D23" t="inlineStr">
        <is>
          <t>If applies</t>
        </is>
      </c>
      <c r="E23" s="6" t="inlineStr">
        <is>
          <t>Needed when you vary the Building Regulations siting rules (setbacks, site cover, overshadowing, fences), or for works over council assets.</t>
        </is>
      </c>
      <c r="F23" t="inlineStr">
        <is>
          <t>G2</t>
        </is>
      </c>
      <c r="G23" t="inlineStr">
        <is>
          <t>Not started</t>
        </is>
      </c>
      <c r="H23" s="21" t="n"/>
      <c r="K23" t="inlineStr">
        <is>
          <t>01 Eligibility, Land &amp; Planning</t>
        </is>
      </c>
      <c r="L23" s="7">
        <f>IF(K23="","",IF(IFERROR(INDEX('Drive Map'!$G$4:$G$33,MATCH(K23,'Drive Map'!$B$4:$B$33,0))&amp;"","")="","",HYPERLINK(INDEX('Drive Map'!$G$4:$G$33,MATCH(K23,'Drive Map'!$B$4:$B$33,0)),"Open")))</f>
        <v/>
      </c>
      <c r="M23" s="6" t="n"/>
    </row>
    <row r="24">
      <c r="A24" t="inlineStr">
        <is>
          <t>bp-rbs</t>
        </is>
      </c>
      <c r="B24" t="inlineStr">
        <is>
          <t>4. Building permit &amp; pre-start</t>
        </is>
      </c>
      <c r="C24" s="6" t="inlineStr">
        <is>
          <t>Appoint a relevant building surveyor</t>
        </is>
      </c>
      <c r="D24" t="inlineStr">
        <is>
          <t>Must</t>
        </is>
      </c>
      <c r="E24" s="6" t="inlineStr">
        <is>
          <t>Get a written fee proposal. Confirm the inspection stages and what they need from you at each one.</t>
        </is>
      </c>
      <c r="F24" t="inlineStr">
        <is>
          <t>G3</t>
        </is>
      </c>
      <c r="G24" t="inlineStr">
        <is>
          <t>Not started</t>
        </is>
      </c>
      <c r="H24" s="21" t="n"/>
      <c r="K24" t="inlineStr">
        <is>
          <t>03 Permits, Insurance &amp; Finance</t>
        </is>
      </c>
      <c r="L24" s="7">
        <f>IF(K24="","",IF(IFERROR(INDEX('Drive Map'!$G$4:$G$33,MATCH(K24,'Drive Map'!$B$4:$B$33,0))&amp;"","")="","",HYPERLINK(INDEX('Drive Map'!$G$4:$G$33,MATCH(K24,'Drive Map'!$B$4:$B$33,0)),"Open")))</f>
        <v/>
      </c>
      <c r="M24" s="6" t="n"/>
    </row>
    <row r="25">
      <c r="A25" t="inlineStr">
        <is>
          <t>bp-permit</t>
        </is>
      </c>
      <c r="B25" t="inlineStr">
        <is>
          <t>4. Building permit &amp; pre-start</t>
        </is>
      </c>
      <c r="C25" s="6" t="inlineStr">
        <is>
          <t>Obtain the building permit, naming you as owner-builder</t>
        </is>
      </c>
      <c r="D25" t="inlineStr">
        <is>
          <t>Must</t>
        </is>
      </c>
      <c r="E25" s="6" t="inlineStr">
        <is>
          <t>Include your certificate of consent number. The state building permit levy applies to work over $10,000.</t>
        </is>
      </c>
      <c r="F25" t="inlineStr">
        <is>
          <t>G3</t>
        </is>
      </c>
      <c r="G25" t="inlineStr">
        <is>
          <t>Not started</t>
        </is>
      </c>
      <c r="H25" s="21" t="n"/>
      <c r="K25" t="inlineStr">
        <is>
          <t>03 Permits, Insurance &amp; Finance</t>
        </is>
      </c>
      <c r="L25" s="7">
        <f>IF(K25="","",IF(IFERROR(INDEX('Drive Map'!$G$4:$G$33,MATCH(K25,'Drive Map'!$B$4:$B$33,0))&amp;"","")="","",HYPERLINK(INDEX('Drive Map'!$G$4:$G$33,MATCH(K25,'Drive Map'!$B$4:$B$33,0)),"Open")))</f>
        <v/>
      </c>
      <c r="M25" s="6" t="n"/>
    </row>
    <row r="26">
      <c r="A26" t="inlineStr">
        <is>
          <t>bp-asset</t>
        </is>
      </c>
      <c r="B26" t="inlineStr">
        <is>
          <t>4. Building permit &amp; pre-start</t>
        </is>
      </c>
      <c r="C26" s="6" t="inlineStr">
        <is>
          <t>Council asset protection permit (and bond)</t>
        </is>
      </c>
      <c r="D26" t="inlineStr">
        <is>
          <t>Must</t>
        </is>
      </c>
      <c r="E26" s="6" t="inlineStr">
        <is>
          <t>Needed before any work or deliveries. Photograph the footpath, kerb, nature strip and crossover before you start.</t>
        </is>
      </c>
      <c r="F26" t="inlineStr">
        <is>
          <t>G3</t>
        </is>
      </c>
      <c r="G26" t="inlineStr">
        <is>
          <t>Not started</t>
        </is>
      </c>
      <c r="H26" s="21" t="n"/>
      <c r="K26" t="inlineStr">
        <is>
          <t>03 Permits, Insurance &amp; Finance</t>
        </is>
      </c>
      <c r="L26" s="7">
        <f>IF(K26="","",IF(IFERROR(INDEX('Drive Map'!$G$4:$G$33,MATCH(K26,'Drive Map'!$B$4:$B$33,0))&amp;"","")="","",HYPERLINK(INDEX('Drive Map'!$G$4:$G$33,MATCH(K26,'Drive Map'!$B$4:$B$33,0)),"Open")))</f>
        <v/>
      </c>
      <c r="M26" s="6" t="n"/>
    </row>
    <row r="27">
      <c r="A27" t="inlineStr">
        <is>
          <t>bp-protect</t>
        </is>
      </c>
      <c r="B27" t="inlineStr">
        <is>
          <t>4. Building permit &amp; pre-start</t>
        </is>
      </c>
      <c r="C27" s="6" t="inlineStr">
        <is>
          <t>Protection work notices to neighbours</t>
        </is>
      </c>
      <c r="D27" t="inlineStr">
        <is>
          <t>If applies</t>
        </is>
      </c>
      <c r="E27" s="6" t="inlineStr">
        <is>
          <t>Needed when work could affect adjoining property, for example excavation near a boundary.</t>
        </is>
      </c>
      <c r="F27" t="inlineStr">
        <is>
          <t>G3</t>
        </is>
      </c>
      <c r="G27" t="inlineStr">
        <is>
          <t>Not started</t>
        </is>
      </c>
      <c r="H27" s="21" t="n"/>
      <c r="K27" t="inlineStr">
        <is>
          <t>03 Permits, Insurance &amp; Finance</t>
        </is>
      </c>
      <c r="L27" s="7">
        <f>IF(K27="","",IF(IFERROR(INDEX('Drive Map'!$G$4:$G$33,MATCH(K27,'Drive Map'!$B$4:$B$33,0))&amp;"","")="","",HYPERLINK(INDEX('Drive Map'!$G$4:$G$33,MATCH(K27,'Drive Map'!$B$4:$B$33,0)),"Open")))</f>
        <v/>
      </c>
      <c r="M27" s="6" t="n"/>
    </row>
    <row r="28">
      <c r="A28" t="inlineStr">
        <is>
          <t>bp-byda</t>
        </is>
      </c>
      <c r="B28" t="inlineStr">
        <is>
          <t>4. Building permit &amp; pre-start</t>
        </is>
      </c>
      <c r="C28" s="6" t="inlineStr">
        <is>
          <t>Before You Dig Australia enquiry</t>
        </is>
      </c>
      <c r="D28" t="inlineStr">
        <is>
          <t>Must</t>
        </is>
      </c>
      <c r="E28" s="6" t="inlineStr">
        <is>
          <t>Locate underground services before any excavation.</t>
        </is>
      </c>
      <c r="F28" t="inlineStr">
        <is>
          <t>G3</t>
        </is>
      </c>
      <c r="G28" t="inlineStr">
        <is>
          <t>Not started</t>
        </is>
      </c>
      <c r="H28" s="21" t="n"/>
      <c r="K28" t="inlineStr">
        <is>
          <t>03 Permits, Insurance &amp; Finance</t>
        </is>
      </c>
      <c r="L28" s="7">
        <f>IF(K28="","",IF(IFERROR(INDEX('Drive Map'!$G$4:$G$33,MATCH(K28,'Drive Map'!$B$4:$B$33,0))&amp;"","")="","",HYPERLINK(INDEX('Drive Map'!$G$4:$G$33,MATCH(K28,'Drive Map'!$B$4:$B$33,0)),"Open")))</f>
        <v/>
      </c>
      <c r="M28" s="6" t="n"/>
    </row>
    <row r="29">
      <c r="A29" t="inlineStr">
        <is>
          <t>bp-site</t>
        </is>
      </c>
      <c r="B29" t="inlineStr">
        <is>
          <t>4. Building permit &amp; pre-start</t>
        </is>
      </c>
      <c r="C29" s="6" t="inlineStr">
        <is>
          <t>Site set-up: fencing, signage, toilet, waste</t>
        </is>
      </c>
      <c r="D29" t="inlineStr">
        <is>
          <t>Must</t>
        </is>
      </c>
      <c r="E29" s="6" t="inlineStr">
        <is>
          <t>Display a sign with the permit number and owner-builder contact details. Secure the site against the public.</t>
        </is>
      </c>
      <c r="F29" t="inlineStr">
        <is>
          <t>G3</t>
        </is>
      </c>
      <c r="G29" t="inlineStr">
        <is>
          <t>Not started</t>
        </is>
      </c>
      <c r="H29" s="21" t="n"/>
      <c r="K29" t="inlineStr">
        <is>
          <t>03 Permits, Insurance &amp; Finance</t>
        </is>
      </c>
      <c r="L29" s="7">
        <f>IF(K29="","",IF(IFERROR(INDEX('Drive Map'!$G$4:$G$33,MATCH(K29,'Drive Map'!$B$4:$B$33,0))&amp;"","")="","",HYPERLINK(INDEX('Drive Map'!$G$4:$G$33,MATCH(K29,'Drive Map'!$B$4:$B$33,0)),"Open")))</f>
        <v/>
      </c>
      <c r="M29" s="6" t="n"/>
    </row>
    <row r="30">
      <c r="A30" t="inlineStr">
        <is>
          <t>bp-utilities</t>
        </is>
      </c>
      <c r="B30" t="inlineStr">
        <is>
          <t>4. Building permit &amp; pre-start</t>
        </is>
      </c>
      <c r="C30" s="6" t="inlineStr">
        <is>
          <t>Temporary power &amp; water, and utility applications</t>
        </is>
      </c>
      <c r="D30" t="inlineStr">
        <is>
          <t>Best practice</t>
        </is>
      </c>
      <c r="E30" s="6" t="inlineStr">
        <is>
          <t>Power, water, sewer, gas and NBN connections can take months. Lodge them at permit stage.</t>
        </is>
      </c>
      <c r="F30" t="inlineStr">
        <is>
          <t>G3</t>
        </is>
      </c>
      <c r="G30" t="inlineStr">
        <is>
          <t>Not started</t>
        </is>
      </c>
      <c r="H30" s="21" t="n"/>
      <c r="K30" t="inlineStr">
        <is>
          <t>03 Permits, Insurance &amp; Finance</t>
        </is>
      </c>
      <c r="L30" s="7">
        <f>IF(K30="","",IF(IFERROR(INDEX('Drive Map'!$G$4:$G$33,MATCH(K30,'Drive Map'!$B$4:$B$33,0))&amp;"","")="","",HYPERLINK(INDEX('Drive Map'!$G$4:$G$33,MATCH(K30,'Drive Map'!$B$4:$B$33,0)),"Open")))</f>
        <v/>
      </c>
      <c r="M30" s="6" t="n"/>
    </row>
    <row r="31">
      <c r="A31" t="inlineStr">
        <is>
          <t>oh-duty</t>
        </is>
      </c>
      <c r="B31" t="inlineStr">
        <is>
          <t>5. Health &amp; safety (WorkSafe Victoria)</t>
        </is>
      </c>
      <c r="C31" s="6" t="inlineStr">
        <is>
          <t>Understand your duties as the person managing the site</t>
        </is>
      </c>
      <c r="D31" t="inlineStr">
        <is>
          <t>Must</t>
        </is>
      </c>
      <c r="E31" s="6" t="inlineStr">
        <is>
          <t>Provide a safe site, safe access, amenities and first aid. Consult and coordinate with every trade.</t>
        </is>
      </c>
      <c r="F31" t="inlineStr">
        <is>
          <t>G3</t>
        </is>
      </c>
      <c r="G31" t="inlineStr">
        <is>
          <t>Not started</t>
        </is>
      </c>
      <c r="H31" s="21" t="n"/>
      <c r="K31" t="inlineStr">
        <is>
          <t>03 Permits, Insurance &amp; Finance</t>
        </is>
      </c>
      <c r="L31" s="7">
        <f>IF(K31="","",IF(IFERROR(INDEX('Drive Map'!$G$4:$G$33,MATCH(K31,'Drive Map'!$B$4:$B$33,0))&amp;"","")="","",HYPERLINK(INDEX('Drive Map'!$G$4:$G$33,MATCH(K31,'Drive Map'!$B$4:$B$33,0)),"Open")))</f>
        <v/>
      </c>
      <c r="M31" s="6" t="n"/>
    </row>
    <row r="32">
      <c r="A32" t="inlineStr">
        <is>
          <t>oh-pc</t>
        </is>
      </c>
      <c r="B32" t="inlineStr">
        <is>
          <t>5. Health &amp; safety (WorkSafe Victoria)</t>
        </is>
      </c>
      <c r="C32" s="6" t="inlineStr">
        <is>
          <t>Principal contractor for projects of $350,000 or more</t>
        </is>
      </c>
      <c r="D32" t="inlineStr">
        <is>
          <t>If applies</t>
        </is>
      </c>
      <c r="E32" s="6" t="inlineStr">
        <is>
          <t>Appoint in writing. Duties include a health &amp; safety coordination plan, site induction, HRCW oversight and signage.</t>
        </is>
      </c>
      <c r="F32" t="inlineStr">
        <is>
          <t>G3</t>
        </is>
      </c>
      <c r="G32" t="inlineStr">
        <is>
          <t>Not started</t>
        </is>
      </c>
      <c r="H32" s="21" t="n"/>
      <c r="K32" t="inlineStr">
        <is>
          <t>03 Permits, Insurance &amp; Finance</t>
        </is>
      </c>
      <c r="L32" s="7">
        <f>IF(K32="","",IF(IFERROR(INDEX('Drive Map'!$G$4:$G$33,MATCH(K32,'Drive Map'!$B$4:$B$33,0))&amp;"","")="","",HYPERLINK(INDEX('Drive Map'!$G$4:$G$33,MATCH(K32,'Drive Map'!$B$4:$B$33,0)),"Open")))</f>
        <v/>
      </c>
      <c r="M32" s="6" t="n"/>
    </row>
    <row r="33">
      <c r="A33" t="inlineStr">
        <is>
          <t>oh-swms</t>
        </is>
      </c>
      <c r="B33" t="inlineStr">
        <is>
          <t>5. Health &amp; safety (WorkSafe Victoria)</t>
        </is>
      </c>
      <c r="C33" s="6" t="inlineStr">
        <is>
          <t>SWMS for all high risk construction work</t>
        </is>
      </c>
      <c r="D33" t="inlineStr">
        <is>
          <t>Must</t>
        </is>
      </c>
      <c r="E33" s="6" t="inlineStr">
        <is>
          <t>Covers work at heights over 2 m, trenches over 1.5 m, structural alterations, work near powerlines, and more. Collect and check a SWMS before the work starts.</t>
        </is>
      </c>
      <c r="F33" t="inlineStr">
        <is>
          <t>G3</t>
        </is>
      </c>
      <c r="G33" t="inlineStr">
        <is>
          <t>Not started</t>
        </is>
      </c>
      <c r="H33" s="21" t="n"/>
      <c r="K33" t="inlineStr">
        <is>
          <t>04 Trades &amp; Tenders</t>
        </is>
      </c>
      <c r="L33" s="7">
        <f>IF(K33="","",IF(IFERROR(INDEX('Drive Map'!$G$4:$G$33,MATCH(K33,'Drive Map'!$B$4:$B$33,0))&amp;"","")="","",HYPERLINK(INDEX('Drive Map'!$G$4:$G$33,MATCH(K33,'Drive Map'!$B$4:$B$33,0)),"Open")))</f>
        <v/>
      </c>
      <c r="M33" s="6" t="n"/>
    </row>
    <row r="34">
      <c r="A34" t="inlineStr">
        <is>
          <t>oh-cards</t>
        </is>
      </c>
      <c r="B34" t="inlineStr">
        <is>
          <t>5. Health &amp; safety (WorkSafe Victoria)</t>
        </is>
      </c>
      <c r="C34" s="6" t="inlineStr">
        <is>
          <t>Check white cards &amp; high-risk licences</t>
        </is>
      </c>
      <c r="D34" t="inlineStr">
        <is>
          <t>Must</t>
        </is>
      </c>
      <c r="E34" s="6" t="inlineStr">
        <is>
          <t>Everyone on site needs a construction induction card. Crane, forklift and scaffold work need HRW licences.</t>
        </is>
      </c>
      <c r="F34" t="inlineStr">
        <is>
          <t>G3</t>
        </is>
      </c>
      <c r="G34" t="inlineStr">
        <is>
          <t>Not started</t>
        </is>
      </c>
      <c r="H34" s="21" t="n"/>
      <c r="K34" t="inlineStr">
        <is>
          <t>04 Trades &amp; Tenders</t>
        </is>
      </c>
      <c r="L34" s="7">
        <f>IF(K34="","",IF(IFERROR(INDEX('Drive Map'!$G$4:$G$33,MATCH(K34,'Drive Map'!$B$4:$B$33,0))&amp;"","")="","",HYPERLINK(INDEX('Drive Map'!$G$4:$G$33,MATCH(K34,'Drive Map'!$B$4:$B$33,0)),"Open")))</f>
        <v/>
      </c>
      <c r="M34" s="6" t="n"/>
    </row>
    <row r="35">
      <c r="A35" t="inlineStr">
        <is>
          <t>oh-induct</t>
        </is>
      </c>
      <c r="B35" t="inlineStr">
        <is>
          <t>5. Health &amp; safety (WorkSafe Victoria)</t>
        </is>
      </c>
      <c r="C35" s="6" t="inlineStr">
        <is>
          <t>Site induction &amp; sign-in register</t>
        </is>
      </c>
      <c r="D35" t="inlineStr">
        <is>
          <t>Best practice</t>
        </is>
      </c>
      <c r="E35" s="6" t="inlineStr">
        <is>
          <t>Give a 10-minute induction to every new person: hazards, amenities, emergency points and first aid.</t>
        </is>
      </c>
      <c r="F35" t="inlineStr">
        <is>
          <t>G4</t>
        </is>
      </c>
      <c r="G35" t="inlineStr">
        <is>
          <t>Not started</t>
        </is>
      </c>
      <c r="H35" s="21" t="n"/>
      <c r="K35" t="inlineStr">
        <is>
          <t>06 Site Diary &amp; Photos</t>
        </is>
      </c>
      <c r="L35" s="7">
        <f>IF(K35="","",IF(IFERROR(INDEX('Drive Map'!$G$4:$G$33,MATCH(K35,'Drive Map'!$B$4:$B$33,0))&amp;"","")="","",HYPERLINK(INDEX('Drive Map'!$G$4:$G$33,MATCH(K35,'Drive Map'!$B$4:$B$33,0)),"Open")))</f>
        <v/>
      </c>
      <c r="M35" s="6" t="n"/>
    </row>
    <row r="36">
      <c r="A36" t="inlineStr">
        <is>
          <t>oh-asbestos</t>
        </is>
      </c>
      <c r="B36" t="inlineStr">
        <is>
          <t>5. Health &amp; safety (WorkSafe Victoria)</t>
        </is>
      </c>
      <c r="C36" s="6" t="inlineStr">
        <is>
          <t>Asbestos check before renovating or demolishing</t>
        </is>
      </c>
      <c r="D36" t="inlineStr">
        <is>
          <t>If applies</t>
        </is>
      </c>
      <c r="E36" s="6" t="inlineStr">
        <is>
          <t>Homes built before 1990 may contain asbestos. A licensed removalist is required above the prescribed limits.</t>
        </is>
      </c>
      <c r="F36" t="inlineStr">
        <is>
          <t>G1</t>
        </is>
      </c>
      <c r="G36" t="inlineStr">
        <is>
          <t>Not started</t>
        </is>
      </c>
      <c r="H36" s="21" t="n"/>
      <c r="K36" t="inlineStr">
        <is>
          <t>02 Design &amp; Engineering</t>
        </is>
      </c>
      <c r="L36" s="7">
        <f>IF(K36="","",IF(IFERROR(INDEX('Drive Map'!$G$4:$G$33,MATCH(K36,'Drive Map'!$B$4:$B$33,0))&amp;"","")="","",HYPERLINK(INDEX('Drive Map'!$G$4:$G$33,MATCH(K36,'Drive Map'!$B$4:$B$33,0)),"Open")))</f>
        <v/>
      </c>
      <c r="M36" s="6" t="n"/>
    </row>
    <row r="37">
      <c r="A37" t="inlineStr">
        <is>
          <t>oh-workcover</t>
        </is>
      </c>
      <c r="B37" t="inlineStr">
        <is>
          <t>5. Health &amp; safety (WorkSafe Victoria)</t>
        </is>
      </c>
      <c r="C37" s="6" t="inlineStr">
        <is>
          <t>Register for WorkCover if you employ workers</t>
        </is>
      </c>
      <c r="D37" t="inlineStr">
        <is>
          <t>If applies</t>
        </is>
      </c>
      <c r="E37" s="6" t="inlineStr">
        <is>
          <t>Paying wages (not contractor invoices) can make you an employer. Contractors must carry their own cover.</t>
        </is>
      </c>
      <c r="F37" t="inlineStr">
        <is>
          <t>G3</t>
        </is>
      </c>
      <c r="G37" t="inlineStr">
        <is>
          <t>Not started</t>
        </is>
      </c>
      <c r="H37" s="21" t="n"/>
      <c r="K37" t="inlineStr">
        <is>
          <t>03 Permits, Insurance &amp; Finance</t>
        </is>
      </c>
      <c r="L37" s="7">
        <f>IF(K37="","",IF(IFERROR(INDEX('Drive Map'!$G$4:$G$33,MATCH(K37,'Drive Map'!$B$4:$B$33,0))&amp;"","")="","",HYPERLINK(INDEX('Drive Map'!$G$4:$G$33,MATCH(K37,'Drive Map'!$B$4:$B$33,0)),"Open")))</f>
        <v/>
      </c>
      <c r="M37" s="6" t="n"/>
    </row>
    <row r="38">
      <c r="A38" t="inlineStr">
        <is>
          <t>in-cw</t>
        </is>
      </c>
      <c r="B38" t="inlineStr">
        <is>
          <t>6. Insurance</t>
        </is>
      </c>
      <c r="C38" s="6" t="inlineStr">
        <is>
          <t>Construction (contract works) insurance</t>
        </is>
      </c>
      <c r="D38" t="inlineStr">
        <is>
          <t>Best practice</t>
        </is>
      </c>
      <c r="E38" s="6" t="inlineStr">
        <is>
          <t>Covers fire, storm, theft and vandalism to the works in progress. Lenders usually require it.</t>
        </is>
      </c>
      <c r="F38" t="inlineStr">
        <is>
          <t>G3</t>
        </is>
      </c>
      <c r="G38" t="inlineStr">
        <is>
          <t>Not started</t>
        </is>
      </c>
      <c r="H38" s="21" t="n"/>
      <c r="K38" t="inlineStr">
        <is>
          <t>03 Permits, Insurance &amp; Finance</t>
        </is>
      </c>
      <c r="L38" s="7">
        <f>IF(K38="","",IF(IFERROR(INDEX('Drive Map'!$G$4:$G$33,MATCH(K38,'Drive Map'!$B$4:$B$33,0))&amp;"","")="","",HYPERLINK(INDEX('Drive Map'!$G$4:$G$33,MATCH(K38,'Drive Map'!$B$4:$B$33,0)),"Open")))</f>
        <v/>
      </c>
      <c r="M38" s="6" t="n"/>
    </row>
    <row r="39">
      <c r="A39" t="inlineStr">
        <is>
          <t>in-pl</t>
        </is>
      </c>
      <c r="B39" t="inlineStr">
        <is>
          <t>6. Insurance</t>
        </is>
      </c>
      <c r="C39" s="6" t="inlineStr">
        <is>
          <t>Public liability insurance ($10m–$20m)</t>
        </is>
      </c>
      <c r="D39" t="inlineStr">
        <is>
          <t>Best practice</t>
        </is>
      </c>
      <c r="E39" s="6" t="inlineStr">
        <is>
          <t>Covers injury to visitors and damage to neighbours' property. Home insurance usually won't cover a construction site.</t>
        </is>
      </c>
      <c r="F39" t="inlineStr">
        <is>
          <t>G3</t>
        </is>
      </c>
      <c r="G39" t="inlineStr">
        <is>
          <t>Not started</t>
        </is>
      </c>
      <c r="H39" s="21" t="n"/>
      <c r="K39" t="inlineStr">
        <is>
          <t>03 Permits, Insurance &amp; Finance</t>
        </is>
      </c>
      <c r="L39" s="7">
        <f>IF(K39="","",IF(IFERROR(INDEX('Drive Map'!$G$4:$G$33,MATCH(K39,'Drive Map'!$B$4:$B$33,0))&amp;"","")="","",HYPERLINK(INDEX('Drive Map'!$G$4:$G$33,MATCH(K39,'Drive Map'!$B$4:$B$33,0)),"Open")))</f>
        <v/>
      </c>
      <c r="M39" s="6" t="n"/>
    </row>
    <row r="40">
      <c r="A40" t="inlineStr">
        <is>
          <t>in-pa</t>
        </is>
      </c>
      <c r="B40" t="inlineStr">
        <is>
          <t>6. Insurance</t>
        </is>
      </c>
      <c r="C40" s="6" t="inlineStr">
        <is>
          <t>Personal accident / income protection</t>
        </is>
      </c>
      <c r="D40" t="inlineStr">
        <is>
          <t>Best practice</t>
        </is>
      </c>
      <c r="E40" s="6" t="inlineStr">
        <is>
          <t>You're the project. If you're injured, the build stops.</t>
        </is>
      </c>
      <c r="F40" t="inlineStr">
        <is>
          <t>G3</t>
        </is>
      </c>
      <c r="G40" t="inlineStr">
        <is>
          <t>Not started</t>
        </is>
      </c>
      <c r="H40" s="21" t="n"/>
      <c r="K40" t="inlineStr">
        <is>
          <t>03 Permits, Insurance &amp; Finance</t>
        </is>
      </c>
      <c r="L40" s="7">
        <f>IF(K40="","",IF(IFERROR(INDEX('Drive Map'!$G$4:$G$33,MATCH(K40,'Drive Map'!$B$4:$B$33,0))&amp;"","")="","",HYPERLINK(INDEX('Drive Map'!$G$4:$G$33,MATCH(K40,'Drive Map'!$B$4:$B$33,0)),"Open")))</f>
        <v/>
      </c>
      <c r="M40" s="6" t="n"/>
    </row>
    <row r="41">
      <c r="A41" t="inlineStr">
        <is>
          <t>in-trade</t>
        </is>
      </c>
      <c r="B41" t="inlineStr">
        <is>
          <t>6. Insurance</t>
        </is>
      </c>
      <c r="C41" s="6" t="inlineStr">
        <is>
          <t>Certificates of currency from every trade</t>
        </is>
      </c>
      <c r="D41" t="inlineStr">
        <is>
          <t>Must</t>
        </is>
      </c>
      <c r="E41" s="6" t="inlineStr">
        <is>
          <t>Check public liability, WorkCover (if they have employees) and domestic building insurance where required. Track the expiry dates.</t>
        </is>
      </c>
      <c r="F41" t="inlineStr">
        <is>
          <t>G3</t>
        </is>
      </c>
      <c r="G41" t="inlineStr">
        <is>
          <t>Not started</t>
        </is>
      </c>
      <c r="H41" s="21" t="n"/>
      <c r="K41" t="inlineStr">
        <is>
          <t>04 Trades &amp; Tenders</t>
        </is>
      </c>
      <c r="L41" s="7">
        <f>IF(K41="","",IF(IFERROR(INDEX('Drive Map'!$G$4:$G$33,MATCH(K41,'Drive Map'!$B$4:$B$33,0))&amp;"","")="","",HYPERLINK(INDEX('Drive Map'!$G$4:$G$33,MATCH(K41,'Drive Map'!$B$4:$B$33,0)),"Open")))</f>
        <v/>
      </c>
      <c r="M41" s="6" t="n"/>
    </row>
    <row r="42">
      <c r="A42" t="inlineStr">
        <is>
          <t>tr-reg</t>
        </is>
      </c>
      <c r="B42" t="inlineStr">
        <is>
          <t>7. Engaging trades</t>
        </is>
      </c>
      <c r="C42" s="6" t="inlineStr">
        <is>
          <t>Registered builder for trade work over $10,000*</t>
        </is>
      </c>
      <c r="D42" t="inlineStr">
        <is>
          <t>Must</t>
        </is>
      </c>
      <c r="E42" s="6" t="inlineStr">
        <is>
          <t>A written major domestic building contract is required. Some single-trade work (e.g. electrical, glazing) is exempt when it's the whole scope. Search the BPC practitioner register.</t>
        </is>
      </c>
      <c r="F42" t="inlineStr">
        <is>
          <t>G3</t>
        </is>
      </c>
      <c r="G42" t="inlineStr">
        <is>
          <t>Not started</t>
        </is>
      </c>
      <c r="H42" s="21" t="n"/>
      <c r="K42" t="inlineStr">
        <is>
          <t>04 Trades &amp; Tenders</t>
        </is>
      </c>
      <c r="L42" s="7">
        <f>IF(K42="","",IF(IFERROR(INDEX('Drive Map'!$G$4:$G$33,MATCH(K42,'Drive Map'!$B$4:$B$33,0))&amp;"","")="","",HYPERLINK(INDEX('Drive Map'!$G$4:$G$33,MATCH(K42,'Drive Map'!$B$4:$B$33,0)),"Open")))</f>
        <v/>
      </c>
      <c r="M42" s="6" t="n"/>
    </row>
    <row r="43">
      <c r="A43" t="inlineStr">
        <is>
          <t>tr-lic</t>
        </is>
      </c>
      <c r="B43" t="inlineStr">
        <is>
          <t>7. Engaging trades</t>
        </is>
      </c>
      <c r="C43" s="6" t="inlineStr">
        <is>
          <t>Licensed plumbers, gasfitters and electricians</t>
        </is>
      </c>
      <c r="D43" t="inlineStr">
        <is>
          <t>Must</t>
        </is>
      </c>
      <c r="E43" s="6" t="inlineStr">
        <is>
          <t>Plumbers are licensed or registered with the BPC. Electricians are licensed by Energy Safe Victoria. You can't do this work yourself.</t>
        </is>
      </c>
      <c r="F43" t="inlineStr">
        <is>
          <t>G3</t>
        </is>
      </c>
      <c r="G43" t="inlineStr">
        <is>
          <t>Not started</t>
        </is>
      </c>
      <c r="H43" s="21" t="n"/>
      <c r="K43" t="inlineStr">
        <is>
          <t>04 Trades &amp; Tenders</t>
        </is>
      </c>
      <c r="L43" s="7">
        <f>IF(K43="","",IF(IFERROR(INDEX('Drive Map'!$G$4:$G$33,MATCH(K43,'Drive Map'!$B$4:$B$33,0))&amp;"","")="","",HYPERLINK(INDEX('Drive Map'!$G$4:$G$33,MATCH(K43,'Drive Map'!$B$4:$B$33,0)),"Open")))</f>
        <v/>
      </c>
      <c r="M43" s="6" t="n"/>
    </row>
    <row r="44">
      <c r="A44" t="inlineStr">
        <is>
          <t>tr-written</t>
        </is>
      </c>
      <c r="B44" t="inlineStr">
        <is>
          <t>7. Engaging trades</t>
        </is>
      </c>
      <c r="C44" s="6" t="inlineStr">
        <is>
          <t>Written contract for every trade</t>
        </is>
      </c>
      <c r="D44" t="inlineStr">
        <is>
          <t>Best practice</t>
        </is>
      </c>
      <c r="E44" s="6" t="inlineStr">
        <is>
          <t>Include scope, price, inclusions and exclusions, program, payments, variations, defects and insurance, even for small jobs.</t>
        </is>
      </c>
      <c r="F44" t="inlineStr">
        <is>
          <t>G3</t>
        </is>
      </c>
      <c r="G44" t="inlineStr">
        <is>
          <t>Not started</t>
        </is>
      </c>
      <c r="H44" s="21" t="n"/>
      <c r="K44" t="inlineStr">
        <is>
          <t>04 Trades &amp; Tenders</t>
        </is>
      </c>
      <c r="L44" s="7">
        <f>IF(K44="","",IF(IFERROR(INDEX('Drive Map'!$G$4:$G$33,MATCH(K44,'Drive Map'!$B$4:$B$33,0))&amp;"","")="","",HYPERLINK(INDEX('Drive Map'!$G$4:$G$33,MATCH(K44,'Drive Map'!$B$4:$B$33,0)),"Open")))</f>
        <v/>
      </c>
      <c r="M44" s="6" t="n"/>
    </row>
    <row r="45">
      <c r="A45" t="inlineStr">
        <is>
          <t>tr-abn</t>
        </is>
      </c>
      <c r="B45" t="inlineStr">
        <is>
          <t>7. Engaging trades</t>
        </is>
      </c>
      <c r="C45" s="6" t="inlineStr">
        <is>
          <t>Check ABN and GST status</t>
        </is>
      </c>
      <c r="D45" t="inlineStr">
        <is>
          <t>Best practice</t>
        </is>
      </c>
      <c r="E45" s="6" t="inlineStr">
        <is>
          <t>Verify it on ABN Lookup. Only pay GST on invoices from GST-registered businesses.</t>
        </is>
      </c>
      <c r="F45" t="inlineStr">
        <is>
          <t>G3</t>
        </is>
      </c>
      <c r="G45" t="inlineStr">
        <is>
          <t>Not started</t>
        </is>
      </c>
      <c r="H45" s="21" t="n"/>
      <c r="K45" t="inlineStr">
        <is>
          <t>04 Trades &amp; Tenders</t>
        </is>
      </c>
      <c r="L45" s="7">
        <f>IF(K45="","",IF(IFERROR(INDEX('Drive Map'!$G$4:$G$33,MATCH(K45,'Drive Map'!$B$4:$B$33,0))&amp;"","")="","",HYPERLINK(INDEX('Drive Map'!$G$4:$G$33,MATCH(K45,'Drive Map'!$B$4:$B$33,0)),"Open")))</f>
        <v/>
      </c>
      <c r="M45" s="6" t="n"/>
    </row>
    <row r="46">
      <c r="A46" t="inlineStr">
        <is>
          <t>cn-notify</t>
        </is>
      </c>
      <c r="B46" t="inlineStr">
        <is>
          <t>8. During construction</t>
        </is>
      </c>
      <c r="C46" s="6" t="inlineStr">
        <is>
          <t>Notify the RBS at every mandatory stage</t>
        </is>
      </c>
      <c r="D46" t="inlineStr">
        <is>
          <t>Must</t>
        </is>
      </c>
      <c r="E46" s="6" t="inlineStr">
        <is>
          <t>Typically before placing footings, before pouring the slab, at frame and at final. Your permit may list more. Don't cover up work before it's inspected.</t>
        </is>
      </c>
      <c r="F46" t="inlineStr">
        <is>
          <t>G4</t>
        </is>
      </c>
      <c r="G46" t="inlineStr">
        <is>
          <t>Not started</t>
        </is>
      </c>
      <c r="H46" s="21" t="n"/>
      <c r="K46" t="inlineStr">
        <is>
          <t>07 Inspections &amp; Certificates</t>
        </is>
      </c>
      <c r="L46" s="7">
        <f>IF(K46="","",IF(IFERROR(INDEX('Drive Map'!$G$4:$G$33,MATCH(K46,'Drive Map'!$B$4:$B$33,0))&amp;"","")="","",HYPERLINK(INDEX('Drive Map'!$G$4:$G$33,MATCH(K46,'Drive Map'!$B$4:$B$33,0)),"Open")))</f>
        <v/>
      </c>
      <c r="M46" s="6" t="n"/>
    </row>
    <row r="47">
      <c r="A47" t="inlineStr">
        <is>
          <t>cn-plans</t>
        </is>
      </c>
      <c r="B47" t="inlineStr">
        <is>
          <t>8. During construction</t>
        </is>
      </c>
      <c r="C47" s="6" t="inlineStr">
        <is>
          <t>Build to the approved plans, or get amendments approved</t>
        </is>
      </c>
      <c r="D47" t="inlineStr">
        <is>
          <t>Must</t>
        </is>
      </c>
      <c r="E47" s="6" t="inlineStr">
        <is>
          <t>Changes to structure, siting or energy features need RBS approval before you build them.</t>
        </is>
      </c>
      <c r="F47" t="inlineStr">
        <is>
          <t>G4</t>
        </is>
      </c>
      <c r="G47" t="inlineStr">
        <is>
          <t>Not started</t>
        </is>
      </c>
      <c r="H47" s="21" t="n"/>
      <c r="K47" t="inlineStr">
        <is>
          <t>02 Design &amp; Engineering</t>
        </is>
      </c>
      <c r="L47" s="7">
        <f>IF(K47="","",IF(IFERROR(INDEX('Drive Map'!$G$4:$G$33,MATCH(K47,'Drive Map'!$B$4:$B$33,0))&amp;"","")="","",HYPERLINK(INDEX('Drive Map'!$G$4:$G$33,MATCH(K47,'Drive Map'!$B$4:$B$33,0)),"Open")))</f>
        <v/>
      </c>
      <c r="M47" s="6" t="n"/>
    </row>
    <row r="48">
      <c r="A48" t="inlineStr">
        <is>
          <t>cn-pcc</t>
        </is>
      </c>
      <c r="B48" t="inlineStr">
        <is>
          <t>8. During construction</t>
        </is>
      </c>
      <c r="C48" s="6" t="inlineStr">
        <is>
          <t>Plumbing compliance certificates</t>
        </is>
      </c>
      <c r="D48" t="inlineStr">
        <is>
          <t>Must</t>
        </is>
      </c>
      <c r="E48" s="6" t="inlineStr">
        <is>
          <t>Your plumber lodges them for prescribed plumbing work. Collect a copy for every stage (drainage, rough-in, fit-off, gas).</t>
        </is>
      </c>
      <c r="F48" t="inlineStr">
        <is>
          <t>G4</t>
        </is>
      </c>
      <c r="G48" t="inlineStr">
        <is>
          <t>Not started</t>
        </is>
      </c>
      <c r="H48" s="21" t="n"/>
      <c r="K48" t="inlineStr">
        <is>
          <t>07 Inspections &amp; Certificates</t>
        </is>
      </c>
      <c r="L48" s="7">
        <f>IF(K48="","",IF(IFERROR(INDEX('Drive Map'!$G$4:$G$33,MATCH(K48,'Drive Map'!$B$4:$B$33,0))&amp;"","")="","",HYPERLINK(INDEX('Drive Map'!$G$4:$G$33,MATCH(K48,'Drive Map'!$B$4:$B$33,0)),"Open")))</f>
        <v/>
      </c>
      <c r="M48" s="6" t="n"/>
    </row>
    <row r="49">
      <c r="A49" t="inlineStr">
        <is>
          <t>cn-coes</t>
        </is>
      </c>
      <c r="B49" t="inlineStr">
        <is>
          <t>8. During construction</t>
        </is>
      </c>
      <c r="C49" s="6" t="inlineStr">
        <is>
          <t>Certificate of Electrical Safety</t>
        </is>
      </c>
      <c r="D49" t="inlineStr">
        <is>
          <t>Must</t>
        </is>
      </c>
      <c r="E49" s="6" t="inlineStr">
        <is>
          <t>Your electrician issues it for all prescribed electrical work. Get a copy.</t>
        </is>
      </c>
      <c r="F49" t="inlineStr">
        <is>
          <t>G5</t>
        </is>
      </c>
      <c r="G49" t="inlineStr">
        <is>
          <t>Not started</t>
        </is>
      </c>
      <c r="H49" s="21" t="n"/>
      <c r="K49" t="inlineStr">
        <is>
          <t>07 Inspections &amp; Certificates</t>
        </is>
      </c>
      <c r="L49" s="7">
        <f>IF(K49="","",IF(IFERROR(INDEX('Drive Map'!$G$4:$G$33,MATCH(K49,'Drive Map'!$B$4:$B$33,0))&amp;"","")="","",HYPERLINK(INDEX('Drive Map'!$G$4:$G$33,MATCH(K49,'Drive Map'!$B$4:$B$33,0)),"Open")))</f>
        <v/>
      </c>
      <c r="M49" s="6" t="n"/>
    </row>
    <row r="50">
      <c r="A50" t="inlineStr">
        <is>
          <t>cn-certs</t>
        </is>
      </c>
      <c r="B50" t="inlineStr">
        <is>
          <t>8. During construction</t>
        </is>
      </c>
      <c r="C50" s="6" t="inlineStr">
        <is>
          <t>Collect product &amp; installer certificates</t>
        </is>
      </c>
      <c r="D50" t="inlineStr">
        <is>
          <t>Must</t>
        </is>
      </c>
      <c r="E50" s="6" t="inlineStr">
        <is>
          <t>Includes termite management (AS 3660.1), waterproofing (AS 3740), glazing (AS 1288/2047), insulation, smoke alarms, engineer's frame and retaining-wall sign-offs, and truss certificates.</t>
        </is>
      </c>
      <c r="F50" t="inlineStr">
        <is>
          <t>G6</t>
        </is>
      </c>
      <c r="G50" t="inlineStr">
        <is>
          <t>Not started</t>
        </is>
      </c>
      <c r="H50" s="21" t="n"/>
      <c r="K50" t="inlineStr">
        <is>
          <t>07 Inspections &amp; Certificates</t>
        </is>
      </c>
      <c r="L50" s="7">
        <f>IF(K50="","",IF(IFERROR(INDEX('Drive Map'!$G$4:$G$33,MATCH(K50,'Drive Map'!$B$4:$B$33,0))&amp;"","")="","",HYPERLINK(INDEX('Drive Map'!$G$4:$G$33,MATCH(K50,'Drive Map'!$B$4:$B$33,0)),"Open")))</f>
        <v/>
      </c>
      <c r="M50" s="6" t="n"/>
    </row>
    <row r="51">
      <c r="A51" t="inlineStr">
        <is>
          <t>cn-diary</t>
        </is>
      </c>
      <c r="B51" t="inlineStr">
        <is>
          <t>8. During construction</t>
        </is>
      </c>
      <c r="C51" s="6" t="inlineStr">
        <is>
          <t>Keep a site diary &amp; dated photos</t>
        </is>
      </c>
      <c r="D51" t="inlineStr">
        <is>
          <t>Best practice</t>
        </is>
      </c>
      <c r="E51" s="6" t="inlineStr">
        <is>
          <t>Record who was on site, weather, deliveries, instructions and defects. Photograph everything before it's covered. My Build does this.</t>
        </is>
      </c>
      <c r="F51" t="inlineStr">
        <is>
          <t>G4</t>
        </is>
      </c>
      <c r="G51" t="inlineStr">
        <is>
          <t>Not started</t>
        </is>
      </c>
      <c r="H51" s="21" t="n"/>
      <c r="K51" t="inlineStr">
        <is>
          <t>06 Site Diary &amp; Photos</t>
        </is>
      </c>
      <c r="L51" s="7">
        <f>IF(K51="","",IF(IFERROR(INDEX('Drive Map'!$G$4:$G$33,MATCH(K51,'Drive Map'!$B$4:$B$33,0))&amp;"","")="","",HYPERLINK(INDEX('Drive Map'!$G$4:$G$33,MATCH(K51,'Drive Map'!$B$4:$B$33,0)),"Open")))</f>
        <v/>
      </c>
      <c r="M51" s="6" t="n"/>
    </row>
    <row r="52">
      <c r="A52" t="inlineStr">
        <is>
          <t>cn-variations</t>
        </is>
      </c>
      <c r="B52" t="inlineStr">
        <is>
          <t>8. During construction</t>
        </is>
      </c>
      <c r="C52" s="6" t="inlineStr">
        <is>
          <t>Written variations before extra work</t>
        </is>
      </c>
      <c r="D52" t="inlineStr">
        <is>
          <t>Best practice</t>
        </is>
      </c>
      <c r="E52" s="6" t="inlineStr">
        <is>
          <t>Get the price and time impact agreed in writing first. It protects both sides.</t>
        </is>
      </c>
      <c r="F52" t="inlineStr">
        <is>
          <t>G4</t>
        </is>
      </c>
      <c r="G52" t="inlineStr">
        <is>
          <t>Not started</t>
        </is>
      </c>
      <c r="H52" s="21" t="n"/>
      <c r="K52" t="inlineStr">
        <is>
          <t>04 Trades &amp; Tenders</t>
        </is>
      </c>
      <c r="L52" s="7">
        <f>IF(K52="","",IF(IFERROR(INDEX('Drive Map'!$G$4:$G$33,MATCH(K52,'Drive Map'!$B$4:$B$33,0))&amp;"","")="","",HYPERLINK(INDEX('Drive Map'!$G$4:$G$33,MATCH(K52,'Drive Map'!$B$4:$B$33,0)),"Open")))</f>
        <v/>
      </c>
      <c r="M52" s="6" t="n"/>
    </row>
    <row r="53">
      <c r="A53" t="inlineStr">
        <is>
          <t>fi-final</t>
        </is>
      </c>
      <c r="B53" t="inlineStr">
        <is>
          <t>9. Completion &amp; occupancy</t>
        </is>
      </c>
      <c r="C53" s="6" t="inlineStr">
        <is>
          <t>Final inspection by the RBS</t>
        </is>
      </c>
      <c r="D53" t="inlineStr">
        <is>
          <t>Must</t>
        </is>
      </c>
      <c r="E53" s="6" t="inlineStr">
        <is>
          <t>Hand over every compliance certificate first. A missing certificate is the most common reason a final is delayed.</t>
        </is>
      </c>
      <c r="F53" t="inlineStr">
        <is>
          <t>G7</t>
        </is>
      </c>
      <c r="G53" t="inlineStr">
        <is>
          <t>Not started</t>
        </is>
      </c>
      <c r="H53" s="21" t="n"/>
      <c r="K53" t="inlineStr">
        <is>
          <t>07 Inspections &amp; Certificates</t>
        </is>
      </c>
      <c r="L53" s="7">
        <f>IF(K53="","",IF(IFERROR(INDEX('Drive Map'!$G$4:$G$33,MATCH(K53,'Drive Map'!$B$4:$B$33,0))&amp;"","")="","",HYPERLINK(INDEX('Drive Map'!$G$4:$G$33,MATCH(K53,'Drive Map'!$B$4:$B$33,0)),"Open")))</f>
        <v/>
      </c>
      <c r="M53" s="6" t="n"/>
    </row>
    <row r="54">
      <c r="A54" t="inlineStr">
        <is>
          <t>fi-op</t>
        </is>
      </c>
      <c r="B54" t="inlineStr">
        <is>
          <t>9. Completion &amp; occupancy</t>
        </is>
      </c>
      <c r="C54" s="6" t="inlineStr">
        <is>
          <t>Occupancy permit (new home) or certificate of final inspection</t>
        </is>
      </c>
      <c r="D54" t="inlineStr">
        <is>
          <t>Must</t>
        </is>
      </c>
      <c r="E54" s="6" t="inlineStr">
        <is>
          <t>You must not live in a new dwelling until the occupancy permit is issued.</t>
        </is>
      </c>
      <c r="F54" t="inlineStr">
        <is>
          <t>G7</t>
        </is>
      </c>
      <c r="G54" t="inlineStr">
        <is>
          <t>Not started</t>
        </is>
      </c>
      <c r="H54" s="21" t="n"/>
      <c r="K54" t="inlineStr">
        <is>
          <t>08 Handover, Records &amp; Sale</t>
        </is>
      </c>
      <c r="L54" s="7">
        <f>IF(K54="","",IF(IFERROR(INDEX('Drive Map'!$G$4:$G$33,MATCH(K54,'Drive Map'!$B$4:$B$33,0))&amp;"","")="","",HYPERLINK(INDEX('Drive Map'!$G$4:$G$33,MATCH(K54,'Drive Map'!$B$4:$B$33,0)),"Open")))</f>
        <v/>
      </c>
      <c r="M54" s="6" t="n"/>
    </row>
    <row r="55">
      <c r="A55" t="inlineStr">
        <is>
          <t>fi-asset</t>
        </is>
      </c>
      <c r="B55" t="inlineStr">
        <is>
          <t>9. Completion &amp; occupancy</t>
        </is>
      </c>
      <c r="C55" s="6" t="inlineStr">
        <is>
          <t>Council asset inspection &amp; bond refund</t>
        </is>
      </c>
      <c r="D55" t="inlineStr">
        <is>
          <t>If applies</t>
        </is>
      </c>
      <c r="E55" s="6" t="inlineStr">
        <is>
          <t>Repair any damage to the footpath, kerb or crossover first.</t>
        </is>
      </c>
      <c r="F55" t="inlineStr">
        <is>
          <t>G7</t>
        </is>
      </c>
      <c r="G55" t="inlineStr">
        <is>
          <t>Not started</t>
        </is>
      </c>
      <c r="H55" s="21" t="n"/>
      <c r="K55" t="inlineStr">
        <is>
          <t>03 Permits, Insurance &amp; Finance</t>
        </is>
      </c>
      <c r="L55" s="7">
        <f>IF(K55="","",IF(IFERROR(INDEX('Drive Map'!$G$4:$G$33,MATCH(K55,'Drive Map'!$B$4:$B$33,0))&amp;"","")="","",HYPERLINK(INDEX('Drive Map'!$G$4:$G$33,MATCH(K55,'Drive Map'!$B$4:$B$33,0)),"Open")))</f>
        <v/>
      </c>
      <c r="M55" s="6" t="n"/>
    </row>
    <row r="56">
      <c r="A56" t="inlineStr">
        <is>
          <t>fi-insure</t>
        </is>
      </c>
      <c r="B56" t="inlineStr">
        <is>
          <t>9. Completion &amp; occupancy</t>
        </is>
      </c>
      <c r="C56" s="6" t="inlineStr">
        <is>
          <t>Switch to home &amp; contents insurance</t>
        </is>
      </c>
      <c r="D56" t="inlineStr">
        <is>
          <t>Best practice</t>
        </is>
      </c>
      <c r="E56" s="6" t="inlineStr">
        <is>
          <t>Construction cover usually ends at completion or occupancy.</t>
        </is>
      </c>
      <c r="F56" t="inlineStr">
        <is>
          <t>G7</t>
        </is>
      </c>
      <c r="G56" t="inlineStr">
        <is>
          <t>Not started</t>
        </is>
      </c>
      <c r="H56" s="21" t="n"/>
      <c r="K56" t="inlineStr">
        <is>
          <t>03 Permits, Insurance &amp; Finance</t>
        </is>
      </c>
      <c r="L56" s="7">
        <f>IF(K56="","",IF(IFERROR(INDEX('Drive Map'!$G$4:$G$33,MATCH(K56,'Drive Map'!$B$4:$B$33,0))&amp;"","")="","",HYPERLINK(INDEX('Drive Map'!$G$4:$G$33,MATCH(K56,'Drive Map'!$B$4:$B$33,0)),"Open")))</f>
        <v/>
      </c>
      <c r="M56" s="6" t="n"/>
    </row>
    <row r="57">
      <c r="A57" t="inlineStr">
        <is>
          <t>se-file</t>
        </is>
      </c>
      <c r="B57" t="inlineStr">
        <is>
          <t>10. Records &amp; selling</t>
        </is>
      </c>
      <c r="C57" s="6" t="inlineStr">
        <is>
          <t>Build a handover file</t>
        </is>
      </c>
      <c r="D57" t="inlineStr">
        <is>
          <t>Best practice</t>
        </is>
      </c>
      <c r="E57" s="6" t="inlineStr">
        <is>
          <t>Include permits, stamped plans, certificates, warranties, manuals, paint and tile codes, and as-built service locations. Keep it at least 10 years.</t>
        </is>
      </c>
      <c r="F57" t="inlineStr">
        <is>
          <t>G7</t>
        </is>
      </c>
      <c r="G57" t="inlineStr">
        <is>
          <t>Not started</t>
        </is>
      </c>
      <c r="H57" s="21" t="n"/>
      <c r="K57" t="inlineStr">
        <is>
          <t>08 Handover, Records &amp; Sale</t>
        </is>
      </c>
      <c r="L57" s="7">
        <f>IF(K57="","",IF(IFERROR(INDEX('Drive Map'!$G$4:$G$33,MATCH(K57,'Drive Map'!$B$4:$B$33,0))&amp;"","")="","",HYPERLINK(INDEX('Drive Map'!$G$4:$G$33,MATCH(K57,'Drive Map'!$B$4:$B$33,0)),"Open")))</f>
        <v/>
      </c>
      <c r="M57" s="6" t="n"/>
    </row>
    <row r="58">
      <c r="A58" t="inlineStr">
        <is>
          <t>se-137b</t>
        </is>
      </c>
      <c r="B58" t="inlineStr">
        <is>
          <t>10. Records &amp; selling</t>
        </is>
      </c>
      <c r="C58" s="6" t="inlineStr">
        <is>
          <t>s137B defects report before any sale within 6.5 years</t>
        </is>
      </c>
      <c r="D58" t="inlineStr">
        <is>
          <t>If applies</t>
        </is>
      </c>
      <c r="E58" s="6" t="inlineStr">
        <is>
          <t>Commission it from a prescribed practitioner no more than 6 months before the sale.</t>
        </is>
      </c>
      <c r="F58" t="inlineStr">
        <is>
          <t>G7</t>
        </is>
      </c>
      <c r="G58" t="inlineStr">
        <is>
          <t>Not started</t>
        </is>
      </c>
      <c r="H58" s="21" t="n"/>
      <c r="K58" t="inlineStr">
        <is>
          <t>08 Handover, Records &amp; Sale</t>
        </is>
      </c>
      <c r="L58" s="7">
        <f>IF(K58="","",IF(IFERROR(INDEX('Drive Map'!$G$4:$G$33,MATCH(K58,'Drive Map'!$B$4:$B$33,0))&amp;"","")="","",HYPERLINK(INDEX('Drive Map'!$G$4:$G$33,MATCH(K58,'Drive Map'!$B$4:$B$33,0)),"Open")))</f>
        <v/>
      </c>
      <c r="M58" s="6" t="n"/>
    </row>
    <row r="59">
      <c r="A59" t="inlineStr">
        <is>
          <t>se-ins</t>
        </is>
      </c>
      <c r="B59" t="inlineStr">
        <is>
          <t>10. Records &amp; selling</t>
        </is>
      </c>
      <c r="C59" s="6" t="inlineStr">
        <is>
          <t>Owner-builder statutory insurance before sale</t>
        </is>
      </c>
      <c r="D59" t="inlineStr">
        <is>
          <t>If applies</t>
        </is>
      </c>
      <c r="E59" s="6" t="inlineStr">
        <is>
          <t>Required where the work was over $20,000. Arrange it before signing the contract of sale.</t>
        </is>
      </c>
      <c r="F59" t="inlineStr">
        <is>
          <t>G7</t>
        </is>
      </c>
      <c r="G59" t="inlineStr">
        <is>
          <t>Not started</t>
        </is>
      </c>
      <c r="H59" s="21" t="n"/>
      <c r="K59" t="inlineStr">
        <is>
          <t>08 Handover, Records &amp; Sale</t>
        </is>
      </c>
      <c r="L59" s="7">
        <f>IF(K59="","",IF(IFERROR(INDEX('Drive Map'!$G$4:$G$33,MATCH(K59,'Drive Map'!$B$4:$B$33,0))&amp;"","")="","",HYPERLINK(INDEX('Drive Map'!$G$4:$G$33,MATCH(K59,'Drive Map'!$B$4:$B$33,0)),"Open")))</f>
        <v/>
      </c>
      <c r="M59" s="6" t="n"/>
    </row>
    <row r="60">
      <c r="A60" t="inlineStr">
        <is>
          <t>se-s32</t>
        </is>
      </c>
      <c r="B60" t="inlineStr">
        <is>
          <t>10. Records &amp; selling</t>
        </is>
      </c>
      <c r="C60" s="6" t="inlineStr">
        <is>
          <t>Disclose owner-builder work in the section 32</t>
        </is>
      </c>
      <c r="D60" t="inlineStr">
        <is>
          <t>If applies</t>
        </is>
      </c>
      <c r="E60" s="6" t="inlineStr">
        <is>
          <t>Your conveyancer needs the building permit details, report and insurance.</t>
        </is>
      </c>
      <c r="F60" t="inlineStr">
        <is>
          <t>G7</t>
        </is>
      </c>
      <c r="G60" t="inlineStr">
        <is>
          <t>Not started</t>
        </is>
      </c>
      <c r="H60" s="21" t="n"/>
      <c r="K60" t="inlineStr">
        <is>
          <t>08 Handover, Records &amp; Sale</t>
        </is>
      </c>
      <c r="L60" s="7">
        <f>IF(K60="","",IF(IFERROR(INDEX('Drive Map'!$G$4:$G$33,MATCH(K60,'Drive Map'!$B$4:$B$33,0))&amp;"","")="","",HYPERLINK(INDEX('Drive Map'!$G$4:$G$33,MATCH(K60,'Drive Map'!$B$4:$B$33,0)),"Open")))</f>
        <v/>
      </c>
      <c r="M60" s="6" t="n"/>
    </row>
    <row r="61">
      <c r="A61" t="inlineStr">
        <is>
          <t>mo-loan</t>
        </is>
      </c>
      <c r="B61" t="inlineStr">
        <is>
          <t>11. Finance &amp; tax</t>
        </is>
      </c>
      <c r="C61" s="6" t="inlineStr">
        <is>
          <t>Confirm your lender accepts owner-builders</t>
        </is>
      </c>
      <c r="D61" t="inlineStr">
        <is>
          <t>If applies</t>
        </is>
      </c>
      <c r="E61" s="6" t="inlineStr">
        <is>
          <t>Many don't, or they cap the loan-to-value ratio. Expect progress draws tied to stages and a valuer's inspections.</t>
        </is>
      </c>
      <c r="F61" t="inlineStr">
        <is>
          <t>G0</t>
        </is>
      </c>
      <c r="G61" t="inlineStr">
        <is>
          <t>Not started</t>
        </is>
      </c>
      <c r="H61" s="21" t="n"/>
      <c r="K61" t="inlineStr">
        <is>
          <t>03 Permits, Insurance &amp; Finance</t>
        </is>
      </c>
      <c r="L61" s="7">
        <f>IF(K61="","",IF(IFERROR(INDEX('Drive Map'!$G$4:$G$33,MATCH(K61,'Drive Map'!$B$4:$B$33,0))&amp;"","")="","",HYPERLINK(INDEX('Drive Map'!$G$4:$G$33,MATCH(K61,'Drive Map'!$B$4:$B$33,0)),"Open")))</f>
        <v/>
      </c>
      <c r="M61" s="6" t="n"/>
    </row>
    <row r="62">
      <c r="A62" t="inlineStr">
        <is>
          <t>mo-cont</t>
        </is>
      </c>
      <c r="B62" t="inlineStr">
        <is>
          <t>11. Finance &amp; tax</t>
        </is>
      </c>
      <c r="C62" s="6" t="inlineStr">
        <is>
          <t>Budget with a 10–15% contingency</t>
        </is>
      </c>
      <c r="D62" t="inlineStr">
        <is>
          <t>Best practice</t>
        </is>
      </c>
      <c r="E62" s="6" t="inlineStr">
        <is>
          <t>Owner-builders commonly underestimate site works, services connections and finishes.</t>
        </is>
      </c>
      <c r="F62" t="inlineStr">
        <is>
          <t>G1</t>
        </is>
      </c>
      <c r="G62" t="inlineStr">
        <is>
          <t>Not started</t>
        </is>
      </c>
      <c r="H62" s="21" t="n"/>
      <c r="K62" t="inlineStr">
        <is>
          <t>03 Permits, Insurance &amp; Finance</t>
        </is>
      </c>
      <c r="L62" s="7">
        <f>IF(K62="","",IF(IFERROR(INDEX('Drive Map'!$G$4:$G$33,MATCH(K62,'Drive Map'!$B$4:$B$33,0))&amp;"","")="","",HYPERLINK(INDEX('Drive Map'!$G$4:$G$33,MATCH(K62,'Drive Map'!$B$4:$B$33,0)),"Open")))</f>
        <v/>
      </c>
      <c r="M62" s="6" t="n"/>
    </row>
    <row r="63">
      <c r="A63" t="inlineStr">
        <is>
          <t>mo-fhog</t>
        </is>
      </c>
      <c r="B63" t="inlineStr">
        <is>
          <t>11. Finance &amp; tax</t>
        </is>
      </c>
      <c r="C63" s="6" t="inlineStr">
        <is>
          <t>Check First Home Owner Grant / stamp duty concessions</t>
        </is>
      </c>
      <c r="D63" t="inlineStr">
        <is>
          <t>If applies</t>
        </is>
      </c>
      <c r="E63" s="6" t="inlineStr">
        <is>
          <t>Owner-builders may be eligible. Check the rules and deadlines with the State Revenue Office.</t>
        </is>
      </c>
      <c r="F63" t="inlineStr">
        <is>
          <t>G1</t>
        </is>
      </c>
      <c r="G63" t="inlineStr">
        <is>
          <t>Not started</t>
        </is>
      </c>
      <c r="H63" s="21" t="n"/>
      <c r="K63" t="inlineStr">
        <is>
          <t>03 Permits, Insurance &amp; Finance</t>
        </is>
      </c>
      <c r="L63" s="7">
        <f>IF(K63="","",IF(IFERROR(INDEX('Drive Map'!$G$4:$G$33,MATCH(K63,'Drive Map'!$B$4:$B$33,0))&amp;"","")="","",HYPERLINK(INDEX('Drive Map'!$G$4:$G$33,MATCH(K63,'Drive Map'!$B$4:$B$33,0)),"Open")))</f>
        <v/>
      </c>
      <c r="M63" s="6" t="n"/>
    </row>
    <row r="64">
      <c r="A64" t="inlineStr">
        <is>
          <t>mo-tax</t>
        </is>
      </c>
      <c r="B64" t="inlineStr">
        <is>
          <t>11. Finance &amp; tax</t>
        </is>
      </c>
      <c r="C64" s="6" t="inlineStr">
        <is>
          <t>Get tax advice on GST &amp; CGT</t>
        </is>
      </c>
      <c r="D64" t="inlineStr">
        <is>
          <t>Best practice</t>
        </is>
      </c>
      <c r="E64" s="6" t="inlineStr">
        <is>
          <t>Building to live in is generally private. Building to sell can be treated as a business. Get advice early.</t>
        </is>
      </c>
      <c r="F64" t="inlineStr">
        <is>
          <t>G0</t>
        </is>
      </c>
      <c r="G64" t="inlineStr">
        <is>
          <t>Not started</t>
        </is>
      </c>
      <c r="H64" s="21" t="n"/>
      <c r="K64" t="inlineStr">
        <is>
          <t>03 Permits, Insurance &amp; Finance</t>
        </is>
      </c>
      <c r="L64" s="7">
        <f>IF(K64="","",IF(IFERROR(INDEX('Drive Map'!$G$4:$G$33,MATCH(K64,'Drive Map'!$B$4:$B$33,0))&amp;"","")="","",HYPERLINK(INDEX('Drive Map'!$G$4:$G$33,MATCH(K64,'Drive Map'!$B$4:$B$33,0)),"Open")))</f>
        <v/>
      </c>
      <c r="M64" s="6" t="n"/>
    </row>
    <row r="65">
      <c r="C65" s="6" t="n"/>
      <c r="E65" s="6" t="n"/>
      <c r="H65" s="21" t="n"/>
      <c r="L65" s="7">
        <f>IF(K65="","",IF(IFERROR(INDEX('Drive Map'!$G$4:$G$33,MATCH(K65,'Drive Map'!$B$4:$B$33,0))&amp;"","")="","",HYPERLINK(INDEX('Drive Map'!$G$4:$G$33,MATCH(K65,'Drive Map'!$B$4:$B$33,0)),"Open")))</f>
        <v/>
      </c>
      <c r="M65" s="6" t="n"/>
    </row>
    <row r="66">
      <c r="C66" s="6" t="n"/>
      <c r="E66" s="6" t="n"/>
      <c r="H66" s="21" t="n"/>
      <c r="L66" s="7">
        <f>IF(K66="","",IF(IFERROR(INDEX('Drive Map'!$G$4:$G$33,MATCH(K66,'Drive Map'!$B$4:$B$33,0))&amp;"","")="","",HYPERLINK(INDEX('Drive Map'!$G$4:$G$33,MATCH(K66,'Drive Map'!$B$4:$B$33,0)),"Open")))</f>
        <v/>
      </c>
      <c r="M66" s="6" t="n"/>
    </row>
    <row r="67">
      <c r="C67" s="6" t="n"/>
      <c r="E67" s="6" t="n"/>
      <c r="H67" s="21" t="n"/>
      <c r="L67" s="7">
        <f>IF(K67="","",IF(IFERROR(INDEX('Drive Map'!$G$4:$G$33,MATCH(K67,'Drive Map'!$B$4:$B$33,0))&amp;"","")="","",HYPERLINK(INDEX('Drive Map'!$G$4:$G$33,MATCH(K67,'Drive Map'!$B$4:$B$33,0)),"Open")))</f>
        <v/>
      </c>
      <c r="M67" s="6" t="n"/>
    </row>
    <row r="68">
      <c r="C68" s="6" t="n"/>
      <c r="E68" s="6" t="n"/>
      <c r="H68" s="21" t="n"/>
      <c r="L68" s="7">
        <f>IF(K68="","",IF(IFERROR(INDEX('Drive Map'!$G$4:$G$33,MATCH(K68,'Drive Map'!$B$4:$B$33,0))&amp;"","")="","",HYPERLINK(INDEX('Drive Map'!$G$4:$G$33,MATCH(K68,'Drive Map'!$B$4:$B$33,0)),"Open")))</f>
        <v/>
      </c>
      <c r="M68" s="6" t="n"/>
    </row>
    <row r="69">
      <c r="C69" s="6" t="n"/>
      <c r="E69" s="6" t="n"/>
      <c r="H69" s="21" t="n"/>
      <c r="L69" s="7">
        <f>IF(K69="","",IF(IFERROR(INDEX('Drive Map'!$G$4:$G$33,MATCH(K69,'Drive Map'!$B$4:$B$33,0))&amp;"","")="","",HYPERLINK(INDEX('Drive Map'!$G$4:$G$33,MATCH(K69,'Drive Map'!$B$4:$B$33,0)),"Open")))</f>
        <v/>
      </c>
      <c r="M69" s="6" t="n"/>
    </row>
    <row r="70">
      <c r="C70" s="6" t="n"/>
      <c r="E70" s="6" t="n"/>
      <c r="H70" s="21" t="n"/>
      <c r="L70" s="7">
        <f>IF(K70="","",IF(IFERROR(INDEX('Drive Map'!$G$4:$G$33,MATCH(K70,'Drive Map'!$B$4:$B$33,0))&amp;"","")="","",HYPERLINK(INDEX('Drive Map'!$G$4:$G$33,MATCH(K70,'Drive Map'!$B$4:$B$33,0)),"Open")))</f>
        <v/>
      </c>
      <c r="M70" s="6" t="n"/>
    </row>
    <row r="71">
      <c r="C71" s="6" t="n"/>
      <c r="E71" s="6" t="n"/>
      <c r="H71" s="21" t="n"/>
      <c r="L71" s="7">
        <f>IF(K71="","",IF(IFERROR(INDEX('Drive Map'!$G$4:$G$33,MATCH(K71,'Drive Map'!$B$4:$B$33,0))&amp;"","")="","",HYPERLINK(INDEX('Drive Map'!$G$4:$G$33,MATCH(K71,'Drive Map'!$B$4:$B$33,0)),"Open")))</f>
        <v/>
      </c>
      <c r="M71" s="6" t="n"/>
    </row>
    <row r="72">
      <c r="C72" s="6" t="n"/>
      <c r="E72" s="6" t="n"/>
      <c r="H72" s="21" t="n"/>
      <c r="L72" s="7">
        <f>IF(K72="","",IF(IFERROR(INDEX('Drive Map'!$G$4:$G$33,MATCH(K72,'Drive Map'!$B$4:$B$33,0))&amp;"","")="","",HYPERLINK(INDEX('Drive Map'!$G$4:$G$33,MATCH(K72,'Drive Map'!$B$4:$B$33,0)),"Open")))</f>
        <v/>
      </c>
      <c r="M72" s="6" t="n"/>
    </row>
    <row r="73">
      <c r="C73" s="6" t="n"/>
      <c r="E73" s="6" t="n"/>
      <c r="H73" s="21" t="n"/>
      <c r="L73" s="7">
        <f>IF(K73="","",IF(IFERROR(INDEX('Drive Map'!$G$4:$G$33,MATCH(K73,'Drive Map'!$B$4:$B$33,0))&amp;"","")="","",HYPERLINK(INDEX('Drive Map'!$G$4:$G$33,MATCH(K73,'Drive Map'!$B$4:$B$33,0)),"Open")))</f>
        <v/>
      </c>
      <c r="M73" s="6" t="n"/>
    </row>
    <row r="74">
      <c r="C74" s="6" t="n"/>
      <c r="E74" s="6" t="n"/>
      <c r="H74" s="21" t="n"/>
      <c r="L74" s="7">
        <f>IF(K74="","",IF(IFERROR(INDEX('Drive Map'!$G$4:$G$33,MATCH(K74,'Drive Map'!$B$4:$B$33,0))&amp;"","")="","",HYPERLINK(INDEX('Drive Map'!$G$4:$G$33,MATCH(K74,'Drive Map'!$B$4:$B$33,0)),"Open")))</f>
        <v/>
      </c>
      <c r="M74" s="6" t="n"/>
    </row>
    <row r="75">
      <c r="C75" s="6" t="n"/>
      <c r="E75" s="6" t="n"/>
      <c r="H75" s="21" t="n"/>
      <c r="L75" s="7">
        <f>IF(K75="","",IF(IFERROR(INDEX('Drive Map'!$G$4:$G$33,MATCH(K75,'Drive Map'!$B$4:$B$33,0))&amp;"","")="","",HYPERLINK(INDEX('Drive Map'!$G$4:$G$33,MATCH(K75,'Drive Map'!$B$4:$B$33,0)),"Open")))</f>
        <v/>
      </c>
      <c r="M75" s="6" t="n"/>
    </row>
    <row r="76">
      <c r="C76" s="6" t="n"/>
      <c r="E76" s="6" t="n"/>
      <c r="H76" s="21" t="n"/>
      <c r="L76" s="7">
        <f>IF(K76="","",IF(IFERROR(INDEX('Drive Map'!$G$4:$G$33,MATCH(K76,'Drive Map'!$B$4:$B$33,0))&amp;"","")="","",HYPERLINK(INDEX('Drive Map'!$G$4:$G$33,MATCH(K76,'Drive Map'!$B$4:$B$33,0)),"Open")))</f>
        <v/>
      </c>
      <c r="M76" s="6" t="n"/>
    </row>
    <row r="77">
      <c r="C77" s="6" t="n"/>
      <c r="E77" s="6" t="n"/>
      <c r="H77" s="21" t="n"/>
      <c r="L77" s="7">
        <f>IF(K77="","",IF(IFERROR(INDEX('Drive Map'!$G$4:$G$33,MATCH(K77,'Drive Map'!$B$4:$B$33,0))&amp;"","")="","",HYPERLINK(INDEX('Drive Map'!$G$4:$G$33,MATCH(K77,'Drive Map'!$B$4:$B$33,0)),"Open")))</f>
        <v/>
      </c>
      <c r="M77" s="6" t="n"/>
    </row>
    <row r="78">
      <c r="C78" s="6" t="n"/>
      <c r="E78" s="6" t="n"/>
      <c r="H78" s="21" t="n"/>
      <c r="L78" s="7">
        <f>IF(K78="","",IF(IFERROR(INDEX('Drive Map'!$G$4:$G$33,MATCH(K78,'Drive Map'!$B$4:$B$33,0))&amp;"","")="","",HYPERLINK(INDEX('Drive Map'!$G$4:$G$33,MATCH(K78,'Drive Map'!$B$4:$B$33,0)),"Open")))</f>
        <v/>
      </c>
      <c r="M78" s="6" t="n"/>
    </row>
    <row r="79">
      <c r="C79" s="6" t="n"/>
      <c r="E79" s="6" t="n"/>
      <c r="H79" s="21" t="n"/>
      <c r="L79" s="7">
        <f>IF(K79="","",IF(IFERROR(INDEX('Drive Map'!$G$4:$G$33,MATCH(K79,'Drive Map'!$B$4:$B$33,0))&amp;"","")="","",HYPERLINK(INDEX('Drive Map'!$G$4:$G$33,MATCH(K79,'Drive Map'!$B$4:$B$33,0)),"Open")))</f>
        <v/>
      </c>
      <c r="M79" s="6" t="n"/>
    </row>
  </sheetData>
  <autoFilter ref="A3:M79"/>
  <conditionalFormatting sqref="G4:G79">
    <cfRule type="cellIs" priority="1" operator="equal" dxfId="0">
      <formula>"Done"</formula>
    </cfRule>
    <cfRule type="cellIs" priority="2" operator="equal" dxfId="1">
      <formula>"In progress"</formula>
    </cfRule>
  </conditionalFormatting>
  <dataValidations count="3">
    <dataValidation sqref="D4:D79" showDropDown="0" showInputMessage="0" showErrorMessage="0" allowBlank="1" error="Pick a value from the list." type="list" errorStyle="warning">
      <formula1>=Lists!$E$2:$E$4</formula1>
    </dataValidation>
    <dataValidation sqref="F4:F79" showDropDown="0" showInputMessage="0" showErrorMessage="0" allowBlank="1" error="Pick a value from the list." type="list" errorStyle="warning">
      <formula1>=Lists!$A$2:$A$9</formula1>
    </dataValidation>
    <dataValidation sqref="G4:G79" showDropDown="0" showInputMessage="0" showErrorMessage="0" allowBlank="1" error="Pick a value from the list." type="list" errorStyle="warning">
      <formula1>=Lists!$D$2:$D$5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3" customWidth="1" min="6" max="6"/>
    <col width="12" customWidth="1" min="7" max="7"/>
    <col width="13" customWidth="1" min="8" max="8"/>
    <col width="14" customWidth="1" min="9" max="9"/>
    <col width="10" customWidth="1" min="10" max="10"/>
    <col width="14" customWidth="1" min="11" max="11"/>
    <col width="36" customWidth="1" min="12" max="12"/>
  </cols>
  <sheetData>
    <row r="1" ht="24" customHeight="1">
      <c r="A1" s="1" t="inlineStr">
        <is>
          <t>Rooms &amp; spaces</t>
        </is>
      </c>
    </row>
    <row r="2">
      <c r="A2" s="2" t="inlineStr">
        <is>
          <t>Enter each room once. Ceiling height defaults to 2.55 m if left blank. Wall area is one coat before openings are deducted.</t>
        </is>
      </c>
    </row>
    <row r="3" ht="32" customHeight="1">
      <c r="A3" s="19" t="inlineStr">
        <is>
          <t>Room</t>
        </is>
      </c>
      <c r="B3" s="19" t="inlineStr">
        <is>
          <t>Level</t>
        </is>
      </c>
      <c r="C3" s="19" t="inlineStr">
        <is>
          <t>Length (m)</t>
        </is>
      </c>
      <c r="D3" s="19" t="inlineStr">
        <is>
          <t>Width (m)</t>
        </is>
      </c>
      <c r="E3" s="19" t="inlineStr">
        <is>
          <t>Ceiling (m)</t>
        </is>
      </c>
      <c r="F3" s="20" t="inlineStr">
        <is>
          <t>Floor area (m²)</t>
        </is>
      </c>
      <c r="G3" s="20" t="inlineStr">
        <is>
          <t>Skirting (m)</t>
        </is>
      </c>
      <c r="H3" s="20" t="inlineStr">
        <is>
          <t>Wall paint (m²)</t>
        </is>
      </c>
      <c r="I3" s="20" t="inlineStr">
        <is>
          <t>Floor tiles +10% (m²)</t>
        </is>
      </c>
      <c r="J3" s="20" t="inlineStr">
        <is>
          <t>Squares</t>
        </is>
      </c>
      <c r="K3" s="19" t="inlineStr">
        <is>
          <t>Drawing ref</t>
        </is>
      </c>
      <c r="L3" s="19" t="inlineStr">
        <is>
          <t>Notes</t>
        </is>
      </c>
    </row>
    <row r="4">
      <c r="A4" s="22" t="inlineStr">
        <is>
          <t>Kitchen / living</t>
        </is>
      </c>
      <c r="B4" s="22" t="inlineStr">
        <is>
          <t>Ground</t>
        </is>
      </c>
      <c r="C4" s="23" t="n">
        <v>7.2</v>
      </c>
      <c r="D4" s="23" t="n">
        <v>5.4</v>
      </c>
      <c r="E4" s="23" t="n"/>
      <c r="F4" s="24">
        <f>IF(OR(C4="",D4=""),"",C4*D4)</f>
        <v/>
      </c>
      <c r="G4" s="24">
        <f>IF(F4="","",2*(C4+D4))</f>
        <v/>
      </c>
      <c r="H4" s="24">
        <f>IF(F4="","",G4*IF(E4="",2.55,E4))</f>
        <v/>
      </c>
      <c r="I4" s="24">
        <f>IF(F4="","",F4*1.1)</f>
        <v/>
      </c>
      <c r="J4" s="24">
        <f>IF(F4="","",F4/9.29)</f>
        <v/>
      </c>
      <c r="K4" s="22" t="n"/>
      <c r="L4" s="25" t="inlineStr">
        <is>
          <t>EXAMPLE: delete this row</t>
        </is>
      </c>
    </row>
    <row r="5">
      <c r="C5" s="26" t="n"/>
      <c r="D5" s="26" t="n"/>
      <c r="E5" s="26" t="n"/>
      <c r="F5" s="24">
        <f>IF(OR(C5="",D5=""),"",C5*D5)</f>
        <v/>
      </c>
      <c r="G5" s="24">
        <f>IF(F5="","",2*(C5+D5))</f>
        <v/>
      </c>
      <c r="H5" s="24">
        <f>IF(F5="","",G5*IF(E5="",2.55,E5))</f>
        <v/>
      </c>
      <c r="I5" s="24">
        <f>IF(F5="","",F5*1.1)</f>
        <v/>
      </c>
      <c r="J5" s="24">
        <f>IF(F5="","",F5/9.29)</f>
        <v/>
      </c>
      <c r="L5" s="6" t="n"/>
    </row>
    <row r="6">
      <c r="C6" s="26" t="n"/>
      <c r="D6" s="26" t="n"/>
      <c r="E6" s="26" t="n"/>
      <c r="F6" s="24">
        <f>IF(OR(C6="",D6=""),"",C6*D6)</f>
        <v/>
      </c>
      <c r="G6" s="24">
        <f>IF(F6="","",2*(C6+D6))</f>
        <v/>
      </c>
      <c r="H6" s="24">
        <f>IF(F6="","",G6*IF(E6="",2.55,E6))</f>
        <v/>
      </c>
      <c r="I6" s="24">
        <f>IF(F6="","",F6*1.1)</f>
        <v/>
      </c>
      <c r="J6" s="24">
        <f>IF(F6="","",F6/9.29)</f>
        <v/>
      </c>
      <c r="L6" s="6" t="n"/>
    </row>
    <row r="7">
      <c r="C7" s="26" t="n"/>
      <c r="D7" s="26" t="n"/>
      <c r="E7" s="26" t="n"/>
      <c r="F7" s="24">
        <f>IF(OR(C7="",D7=""),"",C7*D7)</f>
        <v/>
      </c>
      <c r="G7" s="24">
        <f>IF(F7="","",2*(C7+D7))</f>
        <v/>
      </c>
      <c r="H7" s="24">
        <f>IF(F7="","",G7*IF(E7="",2.55,E7))</f>
        <v/>
      </c>
      <c r="I7" s="24">
        <f>IF(F7="","",F7*1.1)</f>
        <v/>
      </c>
      <c r="J7" s="24">
        <f>IF(F7="","",F7/9.29)</f>
        <v/>
      </c>
      <c r="L7" s="6" t="n"/>
    </row>
    <row r="8">
      <c r="C8" s="26" t="n"/>
      <c r="D8" s="26" t="n"/>
      <c r="E8" s="26" t="n"/>
      <c r="F8" s="24">
        <f>IF(OR(C8="",D8=""),"",C8*D8)</f>
        <v/>
      </c>
      <c r="G8" s="24">
        <f>IF(F8="","",2*(C8+D8))</f>
        <v/>
      </c>
      <c r="H8" s="24">
        <f>IF(F8="","",G8*IF(E8="",2.55,E8))</f>
        <v/>
      </c>
      <c r="I8" s="24">
        <f>IF(F8="","",F8*1.1)</f>
        <v/>
      </c>
      <c r="J8" s="24">
        <f>IF(F8="","",F8/9.29)</f>
        <v/>
      </c>
      <c r="L8" s="6" t="n"/>
    </row>
    <row r="9">
      <c r="C9" s="26" t="n"/>
      <c r="D9" s="26" t="n"/>
      <c r="E9" s="26" t="n"/>
      <c r="F9" s="24">
        <f>IF(OR(C9="",D9=""),"",C9*D9)</f>
        <v/>
      </c>
      <c r="G9" s="24">
        <f>IF(F9="","",2*(C9+D9))</f>
        <v/>
      </c>
      <c r="H9" s="24">
        <f>IF(F9="","",G9*IF(E9="",2.55,E9))</f>
        <v/>
      </c>
      <c r="I9" s="24">
        <f>IF(F9="","",F9*1.1)</f>
        <v/>
      </c>
      <c r="J9" s="24">
        <f>IF(F9="","",F9/9.29)</f>
        <v/>
      </c>
      <c r="L9" s="6" t="n"/>
    </row>
    <row r="10">
      <c r="C10" s="26" t="n"/>
      <c r="D10" s="26" t="n"/>
      <c r="E10" s="26" t="n"/>
      <c r="F10" s="24">
        <f>IF(OR(C10="",D10=""),"",C10*D10)</f>
        <v/>
      </c>
      <c r="G10" s="24">
        <f>IF(F10="","",2*(C10+D10))</f>
        <v/>
      </c>
      <c r="H10" s="24">
        <f>IF(F10="","",G10*IF(E10="",2.55,E10))</f>
        <v/>
      </c>
      <c r="I10" s="24">
        <f>IF(F10="","",F10*1.1)</f>
        <v/>
      </c>
      <c r="J10" s="24">
        <f>IF(F10="","",F10/9.29)</f>
        <v/>
      </c>
      <c r="L10" s="6" t="n"/>
    </row>
    <row r="11">
      <c r="C11" s="26" t="n"/>
      <c r="D11" s="26" t="n"/>
      <c r="E11" s="26" t="n"/>
      <c r="F11" s="24">
        <f>IF(OR(C11="",D11=""),"",C11*D11)</f>
        <v/>
      </c>
      <c r="G11" s="24">
        <f>IF(F11="","",2*(C11+D11))</f>
        <v/>
      </c>
      <c r="H11" s="24">
        <f>IF(F11="","",G11*IF(E11="",2.55,E11))</f>
        <v/>
      </c>
      <c r="I11" s="24">
        <f>IF(F11="","",F11*1.1)</f>
        <v/>
      </c>
      <c r="J11" s="24">
        <f>IF(F11="","",F11/9.29)</f>
        <v/>
      </c>
      <c r="L11" s="6" t="n"/>
    </row>
    <row r="12">
      <c r="C12" s="26" t="n"/>
      <c r="D12" s="26" t="n"/>
      <c r="E12" s="26" t="n"/>
      <c r="F12" s="24">
        <f>IF(OR(C12="",D12=""),"",C12*D12)</f>
        <v/>
      </c>
      <c r="G12" s="24">
        <f>IF(F12="","",2*(C12+D12))</f>
        <v/>
      </c>
      <c r="H12" s="24">
        <f>IF(F12="","",G12*IF(E12="",2.55,E12))</f>
        <v/>
      </c>
      <c r="I12" s="24">
        <f>IF(F12="","",F12*1.1)</f>
        <v/>
      </c>
      <c r="J12" s="24">
        <f>IF(F12="","",F12/9.29)</f>
        <v/>
      </c>
      <c r="L12" s="6" t="n"/>
    </row>
    <row r="13">
      <c r="C13" s="26" t="n"/>
      <c r="D13" s="26" t="n"/>
      <c r="E13" s="26" t="n"/>
      <c r="F13" s="24">
        <f>IF(OR(C13="",D13=""),"",C13*D13)</f>
        <v/>
      </c>
      <c r="G13" s="24">
        <f>IF(F13="","",2*(C13+D13))</f>
        <v/>
      </c>
      <c r="H13" s="24">
        <f>IF(F13="","",G13*IF(E13="",2.55,E13))</f>
        <v/>
      </c>
      <c r="I13" s="24">
        <f>IF(F13="","",F13*1.1)</f>
        <v/>
      </c>
      <c r="J13" s="24">
        <f>IF(F13="","",F13/9.29)</f>
        <v/>
      </c>
      <c r="L13" s="6" t="n"/>
    </row>
    <row r="14">
      <c r="C14" s="26" t="n"/>
      <c r="D14" s="26" t="n"/>
      <c r="E14" s="26" t="n"/>
      <c r="F14" s="24">
        <f>IF(OR(C14="",D14=""),"",C14*D14)</f>
        <v/>
      </c>
      <c r="G14" s="24">
        <f>IF(F14="","",2*(C14+D14))</f>
        <v/>
      </c>
      <c r="H14" s="24">
        <f>IF(F14="","",G14*IF(E14="",2.55,E14))</f>
        <v/>
      </c>
      <c r="I14" s="24">
        <f>IF(F14="","",F14*1.1)</f>
        <v/>
      </c>
      <c r="J14" s="24">
        <f>IF(F14="","",F14/9.29)</f>
        <v/>
      </c>
      <c r="L14" s="6" t="n"/>
    </row>
    <row r="15">
      <c r="C15" s="26" t="n"/>
      <c r="D15" s="26" t="n"/>
      <c r="E15" s="26" t="n"/>
      <c r="F15" s="24">
        <f>IF(OR(C15="",D15=""),"",C15*D15)</f>
        <v/>
      </c>
      <c r="G15" s="24">
        <f>IF(F15="","",2*(C15+D15))</f>
        <v/>
      </c>
      <c r="H15" s="24">
        <f>IF(F15="","",G15*IF(E15="",2.55,E15))</f>
        <v/>
      </c>
      <c r="I15" s="24">
        <f>IF(F15="","",F15*1.1)</f>
        <v/>
      </c>
      <c r="J15" s="24">
        <f>IF(F15="","",F15/9.29)</f>
        <v/>
      </c>
      <c r="L15" s="6" t="n"/>
    </row>
    <row r="16">
      <c r="C16" s="26" t="n"/>
      <c r="D16" s="26" t="n"/>
      <c r="E16" s="26" t="n"/>
      <c r="F16" s="24">
        <f>IF(OR(C16="",D16=""),"",C16*D16)</f>
        <v/>
      </c>
      <c r="G16" s="24">
        <f>IF(F16="","",2*(C16+D16))</f>
        <v/>
      </c>
      <c r="H16" s="24">
        <f>IF(F16="","",G16*IF(E16="",2.55,E16))</f>
        <v/>
      </c>
      <c r="I16" s="24">
        <f>IF(F16="","",F16*1.1)</f>
        <v/>
      </c>
      <c r="J16" s="24">
        <f>IF(F16="","",F16/9.29)</f>
        <v/>
      </c>
      <c r="L16" s="6" t="n"/>
    </row>
    <row r="17">
      <c r="C17" s="26" t="n"/>
      <c r="D17" s="26" t="n"/>
      <c r="E17" s="26" t="n"/>
      <c r="F17" s="24">
        <f>IF(OR(C17="",D17=""),"",C17*D17)</f>
        <v/>
      </c>
      <c r="G17" s="24">
        <f>IF(F17="","",2*(C17+D17))</f>
        <v/>
      </c>
      <c r="H17" s="24">
        <f>IF(F17="","",G17*IF(E17="",2.55,E17))</f>
        <v/>
      </c>
      <c r="I17" s="24">
        <f>IF(F17="","",F17*1.1)</f>
        <v/>
      </c>
      <c r="J17" s="24">
        <f>IF(F17="","",F17/9.29)</f>
        <v/>
      </c>
      <c r="L17" s="6" t="n"/>
    </row>
    <row r="18">
      <c r="C18" s="26" t="n"/>
      <c r="D18" s="26" t="n"/>
      <c r="E18" s="26" t="n"/>
      <c r="F18" s="24">
        <f>IF(OR(C18="",D18=""),"",C18*D18)</f>
        <v/>
      </c>
      <c r="G18" s="24">
        <f>IF(F18="","",2*(C18+D18))</f>
        <v/>
      </c>
      <c r="H18" s="24">
        <f>IF(F18="","",G18*IF(E18="",2.55,E18))</f>
        <v/>
      </c>
      <c r="I18" s="24">
        <f>IF(F18="","",F18*1.1)</f>
        <v/>
      </c>
      <c r="J18" s="24">
        <f>IF(F18="","",F18/9.29)</f>
        <v/>
      </c>
      <c r="L18" s="6" t="n"/>
    </row>
    <row r="19">
      <c r="C19" s="26" t="n"/>
      <c r="D19" s="26" t="n"/>
      <c r="E19" s="26" t="n"/>
      <c r="F19" s="24">
        <f>IF(OR(C19="",D19=""),"",C19*D19)</f>
        <v/>
      </c>
      <c r="G19" s="24">
        <f>IF(F19="","",2*(C19+D19))</f>
        <v/>
      </c>
      <c r="H19" s="24">
        <f>IF(F19="","",G19*IF(E19="",2.55,E19))</f>
        <v/>
      </c>
      <c r="I19" s="24">
        <f>IF(F19="","",F19*1.1)</f>
        <v/>
      </c>
      <c r="J19" s="24">
        <f>IF(F19="","",F19/9.29)</f>
        <v/>
      </c>
      <c r="L19" s="6" t="n"/>
    </row>
    <row r="20">
      <c r="C20" s="26" t="n"/>
      <c r="D20" s="26" t="n"/>
      <c r="E20" s="26" t="n"/>
      <c r="F20" s="24">
        <f>IF(OR(C20="",D20=""),"",C20*D20)</f>
        <v/>
      </c>
      <c r="G20" s="24">
        <f>IF(F20="","",2*(C20+D20))</f>
        <v/>
      </c>
      <c r="H20" s="24">
        <f>IF(F20="","",G20*IF(E20="",2.55,E20))</f>
        <v/>
      </c>
      <c r="I20" s="24">
        <f>IF(F20="","",F20*1.1)</f>
        <v/>
      </c>
      <c r="J20" s="24">
        <f>IF(F20="","",F20/9.29)</f>
        <v/>
      </c>
      <c r="L20" s="6" t="n"/>
    </row>
    <row r="21">
      <c r="C21" s="26" t="n"/>
      <c r="D21" s="26" t="n"/>
      <c r="E21" s="26" t="n"/>
      <c r="F21" s="24">
        <f>IF(OR(C21="",D21=""),"",C21*D21)</f>
        <v/>
      </c>
      <c r="G21" s="24">
        <f>IF(F21="","",2*(C21+D21))</f>
        <v/>
      </c>
      <c r="H21" s="24">
        <f>IF(F21="","",G21*IF(E21="",2.55,E21))</f>
        <v/>
      </c>
      <c r="I21" s="24">
        <f>IF(F21="","",F21*1.1)</f>
        <v/>
      </c>
      <c r="J21" s="24">
        <f>IF(F21="","",F21/9.29)</f>
        <v/>
      </c>
      <c r="L21" s="6" t="n"/>
    </row>
    <row r="22">
      <c r="C22" s="26" t="n"/>
      <c r="D22" s="26" t="n"/>
      <c r="E22" s="26" t="n"/>
      <c r="F22" s="24">
        <f>IF(OR(C22="",D22=""),"",C22*D22)</f>
        <v/>
      </c>
      <c r="G22" s="24">
        <f>IF(F22="","",2*(C22+D22))</f>
        <v/>
      </c>
      <c r="H22" s="24">
        <f>IF(F22="","",G22*IF(E22="",2.55,E22))</f>
        <v/>
      </c>
      <c r="I22" s="24">
        <f>IF(F22="","",F22*1.1)</f>
        <v/>
      </c>
      <c r="J22" s="24">
        <f>IF(F22="","",F22/9.29)</f>
        <v/>
      </c>
      <c r="L22" s="6" t="n"/>
    </row>
    <row r="23">
      <c r="C23" s="26" t="n"/>
      <c r="D23" s="26" t="n"/>
      <c r="E23" s="26" t="n"/>
      <c r="F23" s="24">
        <f>IF(OR(C23="",D23=""),"",C23*D23)</f>
        <v/>
      </c>
      <c r="G23" s="24">
        <f>IF(F23="","",2*(C23+D23))</f>
        <v/>
      </c>
      <c r="H23" s="24">
        <f>IF(F23="","",G23*IF(E23="",2.55,E23))</f>
        <v/>
      </c>
      <c r="I23" s="24">
        <f>IF(F23="","",F23*1.1)</f>
        <v/>
      </c>
      <c r="J23" s="24">
        <f>IF(F23="","",F23/9.29)</f>
        <v/>
      </c>
      <c r="L23" s="6" t="n"/>
    </row>
    <row r="24">
      <c r="C24" s="26" t="n"/>
      <c r="D24" s="26" t="n"/>
      <c r="E24" s="26" t="n"/>
      <c r="F24" s="24">
        <f>IF(OR(C24="",D24=""),"",C24*D24)</f>
        <v/>
      </c>
      <c r="G24" s="24">
        <f>IF(F24="","",2*(C24+D24))</f>
        <v/>
      </c>
      <c r="H24" s="24">
        <f>IF(F24="","",G24*IF(E24="",2.55,E24))</f>
        <v/>
      </c>
      <c r="I24" s="24">
        <f>IF(F24="","",F24*1.1)</f>
        <v/>
      </c>
      <c r="J24" s="24">
        <f>IF(F24="","",F24/9.29)</f>
        <v/>
      </c>
      <c r="L24" s="6" t="n"/>
    </row>
    <row r="25">
      <c r="C25" s="26" t="n"/>
      <c r="D25" s="26" t="n"/>
      <c r="E25" s="26" t="n"/>
      <c r="F25" s="24">
        <f>IF(OR(C25="",D25=""),"",C25*D25)</f>
        <v/>
      </c>
      <c r="G25" s="24">
        <f>IF(F25="","",2*(C25+D25))</f>
        <v/>
      </c>
      <c r="H25" s="24">
        <f>IF(F25="","",G25*IF(E25="",2.55,E25))</f>
        <v/>
      </c>
      <c r="I25" s="24">
        <f>IF(F25="","",F25*1.1)</f>
        <v/>
      </c>
      <c r="J25" s="24">
        <f>IF(F25="","",F25/9.29)</f>
        <v/>
      </c>
      <c r="L25" s="6" t="n"/>
    </row>
    <row r="26">
      <c r="C26" s="26" t="n"/>
      <c r="D26" s="26" t="n"/>
      <c r="E26" s="26" t="n"/>
      <c r="F26" s="24">
        <f>IF(OR(C26="",D26=""),"",C26*D26)</f>
        <v/>
      </c>
      <c r="G26" s="24">
        <f>IF(F26="","",2*(C26+D26))</f>
        <v/>
      </c>
      <c r="H26" s="24">
        <f>IF(F26="","",G26*IF(E26="",2.55,E26))</f>
        <v/>
      </c>
      <c r="I26" s="24">
        <f>IF(F26="","",F26*1.1)</f>
        <v/>
      </c>
      <c r="J26" s="24">
        <f>IF(F26="","",F26/9.29)</f>
        <v/>
      </c>
      <c r="L26" s="6" t="n"/>
    </row>
    <row r="27">
      <c r="C27" s="26" t="n"/>
      <c r="D27" s="26" t="n"/>
      <c r="E27" s="26" t="n"/>
      <c r="F27" s="24">
        <f>IF(OR(C27="",D27=""),"",C27*D27)</f>
        <v/>
      </c>
      <c r="G27" s="24">
        <f>IF(F27="","",2*(C27+D27))</f>
        <v/>
      </c>
      <c r="H27" s="24">
        <f>IF(F27="","",G27*IF(E27="",2.55,E27))</f>
        <v/>
      </c>
      <c r="I27" s="24">
        <f>IF(F27="","",F27*1.1)</f>
        <v/>
      </c>
      <c r="J27" s="24">
        <f>IF(F27="","",F27/9.29)</f>
        <v/>
      </c>
      <c r="L27" s="6" t="n"/>
    </row>
    <row r="28">
      <c r="C28" s="26" t="n"/>
      <c r="D28" s="26" t="n"/>
      <c r="E28" s="26" t="n"/>
      <c r="F28" s="24">
        <f>IF(OR(C28="",D28=""),"",C28*D28)</f>
        <v/>
      </c>
      <c r="G28" s="24">
        <f>IF(F28="","",2*(C28+D28))</f>
        <v/>
      </c>
      <c r="H28" s="24">
        <f>IF(F28="","",G28*IF(E28="",2.55,E28))</f>
        <v/>
      </c>
      <c r="I28" s="24">
        <f>IF(F28="","",F28*1.1)</f>
        <v/>
      </c>
      <c r="J28" s="24">
        <f>IF(F28="","",F28/9.29)</f>
        <v/>
      </c>
      <c r="L28" s="6" t="n"/>
    </row>
    <row r="29">
      <c r="C29" s="26" t="n"/>
      <c r="D29" s="26" t="n"/>
      <c r="E29" s="26" t="n"/>
      <c r="F29" s="24">
        <f>IF(OR(C29="",D29=""),"",C29*D29)</f>
        <v/>
      </c>
      <c r="G29" s="24">
        <f>IF(F29="","",2*(C29+D29))</f>
        <v/>
      </c>
      <c r="H29" s="24">
        <f>IF(F29="","",G29*IF(E29="",2.55,E29))</f>
        <v/>
      </c>
      <c r="I29" s="24">
        <f>IF(F29="","",F29*1.1)</f>
        <v/>
      </c>
      <c r="J29" s="24">
        <f>IF(F29="","",F29/9.29)</f>
        <v/>
      </c>
      <c r="L29" s="6" t="n"/>
    </row>
    <row r="30">
      <c r="C30" s="26" t="n"/>
      <c r="D30" s="26" t="n"/>
      <c r="E30" s="26" t="n"/>
      <c r="F30" s="24">
        <f>IF(OR(C30="",D30=""),"",C30*D30)</f>
        <v/>
      </c>
      <c r="G30" s="24">
        <f>IF(F30="","",2*(C30+D30))</f>
        <v/>
      </c>
      <c r="H30" s="24">
        <f>IF(F30="","",G30*IF(E30="",2.55,E30))</f>
        <v/>
      </c>
      <c r="I30" s="24">
        <f>IF(F30="","",F30*1.1)</f>
        <v/>
      </c>
      <c r="J30" s="24">
        <f>IF(F30="","",F30/9.29)</f>
        <v/>
      </c>
      <c r="L30" s="6" t="n"/>
    </row>
    <row r="31">
      <c r="C31" s="26" t="n"/>
      <c r="D31" s="26" t="n"/>
      <c r="E31" s="26" t="n"/>
      <c r="F31" s="24">
        <f>IF(OR(C31="",D31=""),"",C31*D31)</f>
        <v/>
      </c>
      <c r="G31" s="24">
        <f>IF(F31="","",2*(C31+D31))</f>
        <v/>
      </c>
      <c r="H31" s="24">
        <f>IF(F31="","",G31*IF(E31="",2.55,E31))</f>
        <v/>
      </c>
      <c r="I31" s="24">
        <f>IF(F31="","",F31*1.1)</f>
        <v/>
      </c>
      <c r="J31" s="24">
        <f>IF(F31="","",F31/9.29)</f>
        <v/>
      </c>
      <c r="L31" s="6" t="n"/>
    </row>
    <row r="32">
      <c r="C32" s="26" t="n"/>
      <c r="D32" s="26" t="n"/>
      <c r="E32" s="26" t="n"/>
      <c r="F32" s="24">
        <f>IF(OR(C32="",D32=""),"",C32*D32)</f>
        <v/>
      </c>
      <c r="G32" s="24">
        <f>IF(F32="","",2*(C32+D32))</f>
        <v/>
      </c>
      <c r="H32" s="24">
        <f>IF(F32="","",G32*IF(E32="",2.55,E32))</f>
        <v/>
      </c>
      <c r="I32" s="24">
        <f>IF(F32="","",F32*1.1)</f>
        <v/>
      </c>
      <c r="J32" s="24">
        <f>IF(F32="","",F32/9.29)</f>
        <v/>
      </c>
      <c r="L32" s="6" t="n"/>
    </row>
    <row r="33">
      <c r="C33" s="26" t="n"/>
      <c r="D33" s="26" t="n"/>
      <c r="E33" s="26" t="n"/>
      <c r="F33" s="24">
        <f>IF(OR(C33="",D33=""),"",C33*D33)</f>
        <v/>
      </c>
      <c r="G33" s="24">
        <f>IF(F33="","",2*(C33+D33))</f>
        <v/>
      </c>
      <c r="H33" s="24">
        <f>IF(F33="","",G33*IF(E33="",2.55,E33))</f>
        <v/>
      </c>
      <c r="I33" s="24">
        <f>IF(F33="","",F33*1.1)</f>
        <v/>
      </c>
      <c r="J33" s="24">
        <f>IF(F33="","",F33/9.29)</f>
        <v/>
      </c>
      <c r="L33" s="6" t="n"/>
    </row>
    <row r="34">
      <c r="C34" s="26" t="n"/>
      <c r="D34" s="26" t="n"/>
      <c r="E34" s="26" t="n"/>
      <c r="F34" s="24">
        <f>IF(OR(C34="",D34=""),"",C34*D34)</f>
        <v/>
      </c>
      <c r="G34" s="24">
        <f>IF(F34="","",2*(C34+D34))</f>
        <v/>
      </c>
      <c r="H34" s="24">
        <f>IF(F34="","",G34*IF(E34="",2.55,E34))</f>
        <v/>
      </c>
      <c r="I34" s="24">
        <f>IF(F34="","",F34*1.1)</f>
        <v/>
      </c>
      <c r="J34" s="24">
        <f>IF(F34="","",F34/9.29)</f>
        <v/>
      </c>
      <c r="L34" s="6" t="n"/>
    </row>
    <row r="35">
      <c r="C35" s="26" t="n"/>
      <c r="D35" s="26" t="n"/>
      <c r="E35" s="26" t="n"/>
      <c r="F35" s="24">
        <f>IF(OR(C35="",D35=""),"",C35*D35)</f>
        <v/>
      </c>
      <c r="G35" s="24">
        <f>IF(F35="","",2*(C35+D35))</f>
        <v/>
      </c>
      <c r="H35" s="24">
        <f>IF(F35="","",G35*IF(E35="",2.55,E35))</f>
        <v/>
      </c>
      <c r="I35" s="24">
        <f>IF(F35="","",F35*1.1)</f>
        <v/>
      </c>
      <c r="J35" s="24">
        <f>IF(F35="","",F35/9.29)</f>
        <v/>
      </c>
      <c r="L35" s="6" t="n"/>
    </row>
    <row r="36">
      <c r="C36" s="26" t="n"/>
      <c r="D36" s="26" t="n"/>
      <c r="E36" s="26" t="n"/>
      <c r="F36" s="24">
        <f>IF(OR(C36="",D36=""),"",C36*D36)</f>
        <v/>
      </c>
      <c r="G36" s="24">
        <f>IF(F36="","",2*(C36+D36))</f>
        <v/>
      </c>
      <c r="H36" s="24">
        <f>IF(F36="","",G36*IF(E36="",2.55,E36))</f>
        <v/>
      </c>
      <c r="I36" s="24">
        <f>IF(F36="","",F36*1.1)</f>
        <v/>
      </c>
      <c r="J36" s="24">
        <f>IF(F36="","",F36/9.29)</f>
        <v/>
      </c>
      <c r="L36" s="6" t="n"/>
    </row>
    <row r="37">
      <c r="C37" s="26" t="n"/>
      <c r="D37" s="26" t="n"/>
      <c r="E37" s="26" t="n"/>
      <c r="F37" s="24">
        <f>IF(OR(C37="",D37=""),"",C37*D37)</f>
        <v/>
      </c>
      <c r="G37" s="24">
        <f>IF(F37="","",2*(C37+D37))</f>
        <v/>
      </c>
      <c r="H37" s="24">
        <f>IF(F37="","",G37*IF(E37="",2.55,E37))</f>
        <v/>
      </c>
      <c r="I37" s="24">
        <f>IF(F37="","",F37*1.1)</f>
        <v/>
      </c>
      <c r="J37" s="24">
        <f>IF(F37="","",F37/9.29)</f>
        <v/>
      </c>
      <c r="L37" s="6" t="n"/>
    </row>
    <row r="38">
      <c r="C38" s="26" t="n"/>
      <c r="D38" s="26" t="n"/>
      <c r="E38" s="26" t="n"/>
      <c r="F38" s="24">
        <f>IF(OR(C38="",D38=""),"",C38*D38)</f>
        <v/>
      </c>
      <c r="G38" s="24">
        <f>IF(F38="","",2*(C38+D38))</f>
        <v/>
      </c>
      <c r="H38" s="24">
        <f>IF(F38="","",G38*IF(E38="",2.55,E38))</f>
        <v/>
      </c>
      <c r="I38" s="24">
        <f>IF(F38="","",F38*1.1)</f>
        <v/>
      </c>
      <c r="J38" s="24">
        <f>IF(F38="","",F38/9.29)</f>
        <v/>
      </c>
      <c r="L38" s="6" t="n"/>
    </row>
    <row r="39">
      <c r="C39" s="26" t="n"/>
      <c r="D39" s="26" t="n"/>
      <c r="E39" s="26" t="n"/>
      <c r="F39" s="24">
        <f>IF(OR(C39="",D39=""),"",C39*D39)</f>
        <v/>
      </c>
      <c r="G39" s="24">
        <f>IF(F39="","",2*(C39+D39))</f>
        <v/>
      </c>
      <c r="H39" s="24">
        <f>IF(F39="","",G39*IF(E39="",2.55,E39))</f>
        <v/>
      </c>
      <c r="I39" s="24">
        <f>IF(F39="","",F39*1.1)</f>
        <v/>
      </c>
      <c r="J39" s="24">
        <f>IF(F39="","",F39/9.29)</f>
        <v/>
      </c>
      <c r="L39" s="6" t="n"/>
    </row>
    <row r="40">
      <c r="C40" s="26" t="n"/>
      <c r="D40" s="26" t="n"/>
      <c r="E40" s="26" t="n"/>
      <c r="F40" s="24">
        <f>IF(OR(C40="",D40=""),"",C40*D40)</f>
        <v/>
      </c>
      <c r="G40" s="24">
        <f>IF(F40="","",2*(C40+D40))</f>
        <v/>
      </c>
      <c r="H40" s="24">
        <f>IF(F40="","",G40*IF(E40="",2.55,E40))</f>
        <v/>
      </c>
      <c r="I40" s="24">
        <f>IF(F40="","",F40*1.1)</f>
        <v/>
      </c>
      <c r="J40" s="24">
        <f>IF(F40="","",F40/9.29)</f>
        <v/>
      </c>
      <c r="L40" s="6" t="n"/>
    </row>
    <row r="41">
      <c r="C41" s="26" t="n"/>
      <c r="D41" s="26" t="n"/>
      <c r="E41" s="26" t="n"/>
      <c r="F41" s="24">
        <f>IF(OR(C41="",D41=""),"",C41*D41)</f>
        <v/>
      </c>
      <c r="G41" s="24">
        <f>IF(F41="","",2*(C41+D41))</f>
        <v/>
      </c>
      <c r="H41" s="24">
        <f>IF(F41="","",G41*IF(E41="",2.55,E41))</f>
        <v/>
      </c>
      <c r="I41" s="24">
        <f>IF(F41="","",F41*1.1)</f>
        <v/>
      </c>
      <c r="J41" s="24">
        <f>IF(F41="","",F41/9.29)</f>
        <v/>
      </c>
      <c r="L41" s="6" t="n"/>
    </row>
    <row r="42">
      <c r="C42" s="26" t="n"/>
      <c r="D42" s="26" t="n"/>
      <c r="E42" s="26" t="n"/>
      <c r="F42" s="24">
        <f>IF(OR(C42="",D42=""),"",C42*D42)</f>
        <v/>
      </c>
      <c r="G42" s="24">
        <f>IF(F42="","",2*(C42+D42))</f>
        <v/>
      </c>
      <c r="H42" s="24">
        <f>IF(F42="","",G42*IF(E42="",2.55,E42))</f>
        <v/>
      </c>
      <c r="I42" s="24">
        <f>IF(F42="","",F42*1.1)</f>
        <v/>
      </c>
      <c r="J42" s="24">
        <f>IF(F42="","",F42/9.29)</f>
        <v/>
      </c>
      <c r="L42" s="6" t="n"/>
    </row>
    <row r="43">
      <c r="C43" s="26" t="n"/>
      <c r="D43" s="26" t="n"/>
      <c r="E43" s="26" t="n"/>
      <c r="F43" s="24">
        <f>IF(OR(C43="",D43=""),"",C43*D43)</f>
        <v/>
      </c>
      <c r="G43" s="24">
        <f>IF(F43="","",2*(C43+D43))</f>
        <v/>
      </c>
      <c r="H43" s="24">
        <f>IF(F43="","",G43*IF(E43="",2.55,E43))</f>
        <v/>
      </c>
      <c r="I43" s="24">
        <f>IF(F43="","",F43*1.1)</f>
        <v/>
      </c>
      <c r="J43" s="24">
        <f>IF(F43="","",F43/9.29)</f>
        <v/>
      </c>
      <c r="L43" s="6" t="n"/>
    </row>
    <row r="44">
      <c r="C44" s="26" t="n"/>
      <c r="D44" s="26" t="n"/>
      <c r="E44" s="26" t="n"/>
      <c r="F44" s="24">
        <f>IF(OR(C44="",D44=""),"",C44*D44)</f>
        <v/>
      </c>
      <c r="G44" s="24">
        <f>IF(F44="","",2*(C44+D44))</f>
        <v/>
      </c>
      <c r="H44" s="24">
        <f>IF(F44="","",G44*IF(E44="",2.55,E44))</f>
        <v/>
      </c>
      <c r="I44" s="24">
        <f>IF(F44="","",F44*1.1)</f>
        <v/>
      </c>
      <c r="J44" s="24">
        <f>IF(F44="","",F44/9.29)</f>
        <v/>
      </c>
      <c r="L44" s="6" t="n"/>
    </row>
    <row r="45">
      <c r="C45" s="26" t="n"/>
      <c r="D45" s="26" t="n"/>
      <c r="E45" s="26" t="n"/>
      <c r="F45" s="24">
        <f>IF(OR(C45="",D45=""),"",C45*D45)</f>
        <v/>
      </c>
      <c r="G45" s="24">
        <f>IF(F45="","",2*(C45+D45))</f>
        <v/>
      </c>
      <c r="H45" s="24">
        <f>IF(F45="","",G45*IF(E45="",2.55,E45))</f>
        <v/>
      </c>
      <c r="I45" s="24">
        <f>IF(F45="","",F45*1.1)</f>
        <v/>
      </c>
      <c r="J45" s="24">
        <f>IF(F45="","",F45/9.29)</f>
        <v/>
      </c>
      <c r="L45" s="6" t="n"/>
    </row>
    <row r="46">
      <c r="C46" s="26" t="n"/>
      <c r="D46" s="26" t="n"/>
      <c r="E46" s="26" t="n"/>
      <c r="F46" s="24">
        <f>IF(OR(C46="",D46=""),"",C46*D46)</f>
        <v/>
      </c>
      <c r="G46" s="24">
        <f>IF(F46="","",2*(C46+D46))</f>
        <v/>
      </c>
      <c r="H46" s="24">
        <f>IF(F46="","",G46*IF(E46="",2.55,E46))</f>
        <v/>
      </c>
      <c r="I46" s="24">
        <f>IF(F46="","",F46*1.1)</f>
        <v/>
      </c>
      <c r="J46" s="24">
        <f>IF(F46="","",F46/9.29)</f>
        <v/>
      </c>
      <c r="L46" s="6" t="n"/>
    </row>
    <row r="47">
      <c r="C47" s="26" t="n"/>
      <c r="D47" s="26" t="n"/>
      <c r="E47" s="26" t="n"/>
      <c r="F47" s="24">
        <f>IF(OR(C47="",D47=""),"",C47*D47)</f>
        <v/>
      </c>
      <c r="G47" s="24">
        <f>IF(F47="","",2*(C47+D47))</f>
        <v/>
      </c>
      <c r="H47" s="24">
        <f>IF(F47="","",G47*IF(E47="",2.55,E47))</f>
        <v/>
      </c>
      <c r="I47" s="24">
        <f>IF(F47="","",F47*1.1)</f>
        <v/>
      </c>
      <c r="J47" s="24">
        <f>IF(F47="","",F47/9.29)</f>
        <v/>
      </c>
      <c r="L47" s="6" t="n"/>
    </row>
    <row r="48">
      <c r="C48" s="26" t="n"/>
      <c r="D48" s="26" t="n"/>
      <c r="E48" s="26" t="n"/>
      <c r="F48" s="24">
        <f>IF(OR(C48="",D48=""),"",C48*D48)</f>
        <v/>
      </c>
      <c r="G48" s="24">
        <f>IF(F48="","",2*(C48+D48))</f>
        <v/>
      </c>
      <c r="H48" s="24">
        <f>IF(F48="","",G48*IF(E48="",2.55,E48))</f>
        <v/>
      </c>
      <c r="I48" s="24">
        <f>IF(F48="","",F48*1.1)</f>
        <v/>
      </c>
      <c r="J48" s="24">
        <f>IF(F48="","",F48/9.29)</f>
        <v/>
      </c>
      <c r="L48" s="6" t="n"/>
    </row>
    <row r="49">
      <c r="C49" s="26" t="n"/>
      <c r="D49" s="26" t="n"/>
      <c r="E49" s="26" t="n"/>
      <c r="F49" s="24">
        <f>IF(OR(C49="",D49=""),"",C49*D49)</f>
        <v/>
      </c>
      <c r="G49" s="24">
        <f>IF(F49="","",2*(C49+D49))</f>
        <v/>
      </c>
      <c r="H49" s="24">
        <f>IF(F49="","",G49*IF(E49="",2.55,E49))</f>
        <v/>
      </c>
      <c r="I49" s="24">
        <f>IF(F49="","",F49*1.1)</f>
        <v/>
      </c>
      <c r="J49" s="24">
        <f>IF(F49="","",F49/9.29)</f>
        <v/>
      </c>
      <c r="L49" s="6" t="n"/>
    </row>
    <row r="50">
      <c r="C50" s="26" t="n"/>
      <c r="D50" s="26" t="n"/>
      <c r="E50" s="26" t="n"/>
      <c r="F50" s="24">
        <f>IF(OR(C50="",D50=""),"",C50*D50)</f>
        <v/>
      </c>
      <c r="G50" s="24">
        <f>IF(F50="","",2*(C50+D50))</f>
        <v/>
      </c>
      <c r="H50" s="24">
        <f>IF(F50="","",G50*IF(E50="",2.55,E50))</f>
        <v/>
      </c>
      <c r="I50" s="24">
        <f>IF(F50="","",F50*1.1)</f>
        <v/>
      </c>
      <c r="J50" s="24">
        <f>IF(F50="","",F50/9.29)</f>
        <v/>
      </c>
      <c r="L50" s="6" t="n"/>
    </row>
    <row r="51">
      <c r="C51" s="26" t="n"/>
      <c r="D51" s="26" t="n"/>
      <c r="E51" s="26" t="n"/>
      <c r="F51" s="24">
        <f>IF(OR(C51="",D51=""),"",C51*D51)</f>
        <v/>
      </c>
      <c r="G51" s="24">
        <f>IF(F51="","",2*(C51+D51))</f>
        <v/>
      </c>
      <c r="H51" s="24">
        <f>IF(F51="","",G51*IF(E51="",2.55,E51))</f>
        <v/>
      </c>
      <c r="I51" s="24">
        <f>IF(F51="","",F51*1.1)</f>
        <v/>
      </c>
      <c r="J51" s="24">
        <f>IF(F51="","",F51/9.29)</f>
        <v/>
      </c>
      <c r="L51" s="6" t="n"/>
    </row>
    <row r="52">
      <c r="C52" s="26" t="n"/>
      <c r="D52" s="26" t="n"/>
      <c r="E52" s="26" t="n"/>
      <c r="F52" s="24">
        <f>IF(OR(C52="",D52=""),"",C52*D52)</f>
        <v/>
      </c>
      <c r="G52" s="24">
        <f>IF(F52="","",2*(C52+D52))</f>
        <v/>
      </c>
      <c r="H52" s="24">
        <f>IF(F52="","",G52*IF(E52="",2.55,E52))</f>
        <v/>
      </c>
      <c r="I52" s="24">
        <f>IF(F52="","",F52*1.1)</f>
        <v/>
      </c>
      <c r="J52" s="24">
        <f>IF(F52="","",F52/9.29)</f>
        <v/>
      </c>
      <c r="L52" s="6" t="n"/>
    </row>
    <row r="53">
      <c r="C53" s="26" t="n"/>
      <c r="D53" s="26" t="n"/>
      <c r="E53" s="26" t="n"/>
      <c r="F53" s="24">
        <f>IF(OR(C53="",D53=""),"",C53*D53)</f>
        <v/>
      </c>
      <c r="G53" s="24">
        <f>IF(F53="","",2*(C53+D53))</f>
        <v/>
      </c>
      <c r="H53" s="24">
        <f>IF(F53="","",G53*IF(E53="",2.55,E53))</f>
        <v/>
      </c>
      <c r="I53" s="24">
        <f>IF(F53="","",F53*1.1)</f>
        <v/>
      </c>
      <c r="J53" s="24">
        <f>IF(F53="","",F53/9.29)</f>
        <v/>
      </c>
      <c r="L53" s="6" t="n"/>
    </row>
    <row r="54">
      <c r="C54" s="26" t="n"/>
      <c r="D54" s="26" t="n"/>
      <c r="E54" s="26" t="n"/>
      <c r="F54" s="24">
        <f>IF(OR(C54="",D54=""),"",C54*D54)</f>
        <v/>
      </c>
      <c r="G54" s="24">
        <f>IF(F54="","",2*(C54+D54))</f>
        <v/>
      </c>
      <c r="H54" s="24">
        <f>IF(F54="","",G54*IF(E54="",2.55,E54))</f>
        <v/>
      </c>
      <c r="I54" s="24">
        <f>IF(F54="","",F54*1.1)</f>
        <v/>
      </c>
      <c r="J54" s="24">
        <f>IF(F54="","",F54/9.29)</f>
        <v/>
      </c>
      <c r="L54" s="6" t="n"/>
    </row>
    <row r="55">
      <c r="C55" s="26" t="n"/>
      <c r="D55" s="26" t="n"/>
      <c r="E55" s="26" t="n"/>
      <c r="F55" s="24">
        <f>IF(OR(C55="",D55=""),"",C55*D55)</f>
        <v/>
      </c>
      <c r="G55" s="24">
        <f>IF(F55="","",2*(C55+D55))</f>
        <v/>
      </c>
      <c r="H55" s="24">
        <f>IF(F55="","",G55*IF(E55="",2.55,E55))</f>
        <v/>
      </c>
      <c r="I55" s="24">
        <f>IF(F55="","",F55*1.1)</f>
        <v/>
      </c>
      <c r="J55" s="24">
        <f>IF(F55="","",F55/9.29)</f>
        <v/>
      </c>
      <c r="L55" s="6" t="n"/>
    </row>
    <row r="56">
      <c r="C56" s="26" t="n"/>
      <c r="D56" s="26" t="n"/>
      <c r="E56" s="26" t="n"/>
      <c r="F56" s="24">
        <f>IF(OR(C56="",D56=""),"",C56*D56)</f>
        <v/>
      </c>
      <c r="G56" s="24">
        <f>IF(F56="","",2*(C56+D56))</f>
        <v/>
      </c>
      <c r="H56" s="24">
        <f>IF(F56="","",G56*IF(E56="",2.55,E56))</f>
        <v/>
      </c>
      <c r="I56" s="24">
        <f>IF(F56="","",F56*1.1)</f>
        <v/>
      </c>
      <c r="J56" s="24">
        <f>IF(F56="","",F56/9.29)</f>
        <v/>
      </c>
      <c r="L56" s="6" t="n"/>
    </row>
    <row r="57">
      <c r="C57" s="26" t="n"/>
      <c r="D57" s="26" t="n"/>
      <c r="E57" s="26" t="n"/>
      <c r="F57" s="24">
        <f>IF(OR(C57="",D57=""),"",C57*D57)</f>
        <v/>
      </c>
      <c r="G57" s="24">
        <f>IF(F57="","",2*(C57+D57))</f>
        <v/>
      </c>
      <c r="H57" s="24">
        <f>IF(F57="","",G57*IF(E57="",2.55,E57))</f>
        <v/>
      </c>
      <c r="I57" s="24">
        <f>IF(F57="","",F57*1.1)</f>
        <v/>
      </c>
      <c r="J57" s="24">
        <f>IF(F57="","",F57/9.29)</f>
        <v/>
      </c>
      <c r="L57" s="6" t="n"/>
    </row>
    <row r="58">
      <c r="C58" s="26" t="n"/>
      <c r="D58" s="26" t="n"/>
      <c r="E58" s="26" t="n"/>
      <c r="F58" s="24">
        <f>IF(OR(C58="",D58=""),"",C58*D58)</f>
        <v/>
      </c>
      <c r="G58" s="24">
        <f>IF(F58="","",2*(C58+D58))</f>
        <v/>
      </c>
      <c r="H58" s="24">
        <f>IF(F58="","",G58*IF(E58="",2.55,E58))</f>
        <v/>
      </c>
      <c r="I58" s="24">
        <f>IF(F58="","",F58*1.1)</f>
        <v/>
      </c>
      <c r="J58" s="24">
        <f>IF(F58="","",F58/9.29)</f>
        <v/>
      </c>
      <c r="L58" s="6" t="n"/>
    </row>
    <row r="59">
      <c r="C59" s="26" t="n"/>
      <c r="D59" s="26" t="n"/>
      <c r="E59" s="26" t="n"/>
      <c r="F59" s="24">
        <f>IF(OR(C59="",D59=""),"",C59*D59)</f>
        <v/>
      </c>
      <c r="G59" s="24">
        <f>IF(F59="","",2*(C59+D59))</f>
        <v/>
      </c>
      <c r="H59" s="24">
        <f>IF(F59="","",G59*IF(E59="",2.55,E59))</f>
        <v/>
      </c>
      <c r="I59" s="24">
        <f>IF(F59="","",F59*1.1)</f>
        <v/>
      </c>
      <c r="J59" s="24">
        <f>IF(F59="","",F59/9.29)</f>
        <v/>
      </c>
      <c r="L59" s="6" t="n"/>
    </row>
    <row r="60">
      <c r="C60" s="26" t="n"/>
      <c r="D60" s="26" t="n"/>
      <c r="E60" s="26" t="n"/>
      <c r="F60" s="24">
        <f>IF(OR(C60="",D60=""),"",C60*D60)</f>
        <v/>
      </c>
      <c r="G60" s="24">
        <f>IF(F60="","",2*(C60+D60))</f>
        <v/>
      </c>
      <c r="H60" s="24">
        <f>IF(F60="","",G60*IF(E60="",2.55,E60))</f>
        <v/>
      </c>
      <c r="I60" s="24">
        <f>IF(F60="","",F60*1.1)</f>
        <v/>
      </c>
      <c r="J60" s="24">
        <f>IF(F60="","",F60/9.29)</f>
        <v/>
      </c>
      <c r="L60" s="6" t="n"/>
    </row>
    <row r="61">
      <c r="C61" s="26" t="n"/>
      <c r="D61" s="26" t="n"/>
      <c r="E61" s="26" t="n"/>
      <c r="F61" s="24">
        <f>IF(OR(C61="",D61=""),"",C61*D61)</f>
        <v/>
      </c>
      <c r="G61" s="24">
        <f>IF(F61="","",2*(C61+D61))</f>
        <v/>
      </c>
      <c r="H61" s="24">
        <f>IF(F61="","",G61*IF(E61="",2.55,E61))</f>
        <v/>
      </c>
      <c r="I61" s="24">
        <f>IF(F61="","",F61*1.1)</f>
        <v/>
      </c>
      <c r="J61" s="24">
        <f>IF(F61="","",F61/9.29)</f>
        <v/>
      </c>
      <c r="L61" s="6" t="n"/>
    </row>
    <row r="62">
      <c r="C62" s="26" t="n"/>
      <c r="D62" s="26" t="n"/>
      <c r="E62" s="26" t="n"/>
      <c r="F62" s="24">
        <f>IF(OR(C62="",D62=""),"",C62*D62)</f>
        <v/>
      </c>
      <c r="G62" s="24">
        <f>IF(F62="","",2*(C62+D62))</f>
        <v/>
      </c>
      <c r="H62" s="24">
        <f>IF(F62="","",G62*IF(E62="",2.55,E62))</f>
        <v/>
      </c>
      <c r="I62" s="24">
        <f>IF(F62="","",F62*1.1)</f>
        <v/>
      </c>
      <c r="J62" s="24">
        <f>IF(F62="","",F62/9.29)</f>
        <v/>
      </c>
      <c r="L62" s="6" t="n"/>
    </row>
    <row r="63">
      <c r="C63" s="26" t="n"/>
      <c r="D63" s="26" t="n"/>
      <c r="E63" s="26" t="n"/>
      <c r="F63" s="24">
        <f>IF(OR(C63="",D63=""),"",C63*D63)</f>
        <v/>
      </c>
      <c r="G63" s="24">
        <f>IF(F63="","",2*(C63+D63))</f>
        <v/>
      </c>
      <c r="H63" s="24">
        <f>IF(F63="","",G63*IF(E63="",2.55,E63))</f>
        <v/>
      </c>
      <c r="I63" s="24">
        <f>IF(F63="","",F63*1.1)</f>
        <v/>
      </c>
      <c r="J63" s="24">
        <f>IF(F63="","",F63/9.29)</f>
        <v/>
      </c>
      <c r="L63" s="6" t="n"/>
    </row>
  </sheetData>
  <autoFilter ref="A3:L63"/>
  <dataValidations count="1">
    <dataValidation sqref="B4:B63" showDropDown="0" showInputMessage="0" showErrorMessage="0" allowBlank="1" error="Pick a value from the list." type="list" errorStyle="warning">
      <formula1>=Lists!$V$2:$V$6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8" customWidth="1" min="3" max="3"/>
    <col width="34" customWidth="1" min="4" max="4"/>
    <col width="18" customWidth="1" min="5" max="5"/>
    <col width="7" customWidth="1" min="6" max="6"/>
    <col width="7" customWidth="1" min="7" max="7"/>
    <col width="12" customWidth="1" min="8" max="8"/>
    <col width="12" customWidth="1" min="9" max="9"/>
    <col width="12" customWidth="1" min="10" max="10"/>
    <col width="10" customWidth="1" min="11" max="11"/>
    <col width="12" customWidth="1" min="12" max="12"/>
    <col width="12" customWidth="1" min="13" max="13"/>
    <col width="15" customWidth="1" min="14" max="14"/>
    <col width="32" customWidth="1" min="15" max="15"/>
  </cols>
  <sheetData>
    <row r="1" ht="24" customHeight="1">
      <c r="A1" s="1" t="inlineStr">
        <is>
          <t>Selections &amp; specs</t>
        </is>
      </c>
    </row>
    <row r="2">
      <c r="A2" s="2" t="inlineStr">
        <is>
          <t>Every product decision in one list. Lock them all in before G6 (fit-out). File spec sheets in 05 Selections &amp; Specs.</t>
        </is>
      </c>
    </row>
    <row r="3" ht="32" customHeight="1">
      <c r="A3" s="19" t="inlineStr">
        <is>
          <t>Item</t>
        </is>
      </c>
      <c r="B3" s="19" t="inlineStr">
        <is>
          <t>Category</t>
        </is>
      </c>
      <c r="C3" s="19" t="inlineStr">
        <is>
          <t>Room</t>
        </is>
      </c>
      <c r="D3" s="19" t="inlineStr">
        <is>
          <t>Spec / model / colour</t>
        </is>
      </c>
      <c r="E3" s="19" t="inlineStr">
        <is>
          <t>Supplier</t>
        </is>
      </c>
      <c r="F3" s="19" t="inlineStr">
        <is>
          <t>Qty</t>
        </is>
      </c>
      <c r="G3" s="19" t="inlineStr">
        <is>
          <t>Unit</t>
        </is>
      </c>
      <c r="H3" s="19" t="inlineStr">
        <is>
          <t>Unit price ($)</t>
        </is>
      </c>
      <c r="I3" s="20" t="inlineStr">
        <is>
          <t>Total ($)</t>
        </is>
      </c>
      <c r="J3" s="19" t="inlineStr">
        <is>
          <t>Status</t>
        </is>
      </c>
      <c r="K3" s="19" t="inlineStr">
        <is>
          <t>Needed by</t>
        </is>
      </c>
      <c r="L3" s="19" t="inlineStr">
        <is>
          <t>Order date</t>
        </is>
      </c>
      <c r="M3" s="19" t="inlineStr">
        <is>
          <t>Delivery date</t>
        </is>
      </c>
      <c r="N3" s="19" t="inlineStr">
        <is>
          <t>Spec Doc ID</t>
        </is>
      </c>
      <c r="O3" s="19" t="inlineStr">
        <is>
          <t>Notes</t>
        </is>
      </c>
    </row>
    <row r="4">
      <c r="A4" s="22" t="inlineStr">
        <is>
          <t>Kitchen mixer tap</t>
        </is>
      </c>
      <c r="B4" s="22" t="inlineStr">
        <is>
          <t>Fit-out</t>
        </is>
      </c>
      <c r="C4" s="22" t="inlineStr">
        <is>
          <t>Kitchen / living</t>
        </is>
      </c>
      <c r="D4" s="25" t="inlineStr">
        <is>
          <t>Gooseneck, brushed nickel, WELS 5-star</t>
        </is>
      </c>
      <c r="E4" s="22" t="inlineStr">
        <is>
          <t>Plumbing supplier</t>
        </is>
      </c>
      <c r="F4" s="22" t="n">
        <v>1</v>
      </c>
      <c r="G4" s="22" t="inlineStr">
        <is>
          <t>ea</t>
        </is>
      </c>
      <c r="H4" s="27" t="n">
        <v>420</v>
      </c>
      <c r="I4" s="9">
        <f>IF(H4="","",H4*IF(F4="",1,F4))</f>
        <v/>
      </c>
      <c r="J4" s="22" t="inlineStr">
        <is>
          <t>Selected</t>
        </is>
      </c>
      <c r="K4" s="22" t="inlineStr">
        <is>
          <t>G6</t>
        </is>
      </c>
      <c r="L4" s="28" t="n"/>
      <c r="M4" s="28" t="n"/>
      <c r="N4" s="22" t="n"/>
      <c r="O4" s="25" t="inlineStr">
        <is>
          <t>EXAMPLE: delete this row</t>
        </is>
      </c>
    </row>
    <row r="5">
      <c r="D5" s="6" t="n"/>
      <c r="H5" s="29" t="n"/>
      <c r="I5" s="9">
        <f>IF(H5="","",H5*IF(F5="",1,F5))</f>
        <v/>
      </c>
      <c r="L5" s="21" t="n"/>
      <c r="M5" s="21" t="n"/>
      <c r="O5" s="6" t="n"/>
    </row>
    <row r="6">
      <c r="D6" s="6" t="n"/>
      <c r="H6" s="29" t="n"/>
      <c r="I6" s="9">
        <f>IF(H6="","",H6*IF(F6="",1,F6))</f>
        <v/>
      </c>
      <c r="L6" s="21" t="n"/>
      <c r="M6" s="21" t="n"/>
      <c r="O6" s="6" t="n"/>
    </row>
    <row r="7">
      <c r="D7" s="6" t="n"/>
      <c r="H7" s="29" t="n"/>
      <c r="I7" s="9">
        <f>IF(H7="","",H7*IF(F7="",1,F7))</f>
        <v/>
      </c>
      <c r="L7" s="21" t="n"/>
      <c r="M7" s="21" t="n"/>
      <c r="O7" s="6" t="n"/>
    </row>
    <row r="8">
      <c r="D8" s="6" t="n"/>
      <c r="H8" s="29" t="n"/>
      <c r="I8" s="9">
        <f>IF(H8="","",H8*IF(F8="",1,F8))</f>
        <v/>
      </c>
      <c r="L8" s="21" t="n"/>
      <c r="M8" s="21" t="n"/>
      <c r="O8" s="6" t="n"/>
    </row>
    <row r="9">
      <c r="D9" s="6" t="n"/>
      <c r="H9" s="29" t="n"/>
      <c r="I9" s="9">
        <f>IF(H9="","",H9*IF(F9="",1,F9))</f>
        <v/>
      </c>
      <c r="L9" s="21" t="n"/>
      <c r="M9" s="21" t="n"/>
      <c r="O9" s="6" t="n"/>
    </row>
    <row r="10">
      <c r="D10" s="6" t="n"/>
      <c r="H10" s="29" t="n"/>
      <c r="I10" s="9">
        <f>IF(H10="","",H10*IF(F10="",1,F10))</f>
        <v/>
      </c>
      <c r="L10" s="21" t="n"/>
      <c r="M10" s="21" t="n"/>
      <c r="O10" s="6" t="n"/>
    </row>
    <row r="11">
      <c r="D11" s="6" t="n"/>
      <c r="H11" s="29" t="n"/>
      <c r="I11" s="9">
        <f>IF(H11="","",H11*IF(F11="",1,F11))</f>
        <v/>
      </c>
      <c r="L11" s="21" t="n"/>
      <c r="M11" s="21" t="n"/>
      <c r="O11" s="6" t="n"/>
    </row>
    <row r="12">
      <c r="D12" s="6" t="n"/>
      <c r="H12" s="29" t="n"/>
      <c r="I12" s="9">
        <f>IF(H12="","",H12*IF(F12="",1,F12))</f>
        <v/>
      </c>
      <c r="L12" s="21" t="n"/>
      <c r="M12" s="21" t="n"/>
      <c r="O12" s="6" t="n"/>
    </row>
    <row r="13">
      <c r="D13" s="6" t="n"/>
      <c r="H13" s="29" t="n"/>
      <c r="I13" s="9">
        <f>IF(H13="","",H13*IF(F13="",1,F13))</f>
        <v/>
      </c>
      <c r="L13" s="21" t="n"/>
      <c r="M13" s="21" t="n"/>
      <c r="O13" s="6" t="n"/>
    </row>
    <row r="14">
      <c r="D14" s="6" t="n"/>
      <c r="H14" s="29" t="n"/>
      <c r="I14" s="9">
        <f>IF(H14="","",H14*IF(F14="",1,F14))</f>
        <v/>
      </c>
      <c r="L14" s="21" t="n"/>
      <c r="M14" s="21" t="n"/>
      <c r="O14" s="6" t="n"/>
    </row>
    <row r="15">
      <c r="D15" s="6" t="n"/>
      <c r="H15" s="29" t="n"/>
      <c r="I15" s="9">
        <f>IF(H15="","",H15*IF(F15="",1,F15))</f>
        <v/>
      </c>
      <c r="L15" s="21" t="n"/>
      <c r="M15" s="21" t="n"/>
      <c r="O15" s="6" t="n"/>
    </row>
    <row r="16">
      <c r="D16" s="6" t="n"/>
      <c r="H16" s="29" t="n"/>
      <c r="I16" s="9">
        <f>IF(H16="","",H16*IF(F16="",1,F16))</f>
        <v/>
      </c>
      <c r="L16" s="21" t="n"/>
      <c r="M16" s="21" t="n"/>
      <c r="O16" s="6" t="n"/>
    </row>
    <row r="17">
      <c r="D17" s="6" t="n"/>
      <c r="H17" s="29" t="n"/>
      <c r="I17" s="9">
        <f>IF(H17="","",H17*IF(F17="",1,F17))</f>
        <v/>
      </c>
      <c r="L17" s="21" t="n"/>
      <c r="M17" s="21" t="n"/>
      <c r="O17" s="6" t="n"/>
    </row>
    <row r="18">
      <c r="D18" s="6" t="n"/>
      <c r="H18" s="29" t="n"/>
      <c r="I18" s="9">
        <f>IF(H18="","",H18*IF(F18="",1,F18))</f>
        <v/>
      </c>
      <c r="L18" s="21" t="n"/>
      <c r="M18" s="21" t="n"/>
      <c r="O18" s="6" t="n"/>
    </row>
    <row r="19">
      <c r="D19" s="6" t="n"/>
      <c r="H19" s="29" t="n"/>
      <c r="I19" s="9">
        <f>IF(H19="","",H19*IF(F19="",1,F19))</f>
        <v/>
      </c>
      <c r="L19" s="21" t="n"/>
      <c r="M19" s="21" t="n"/>
      <c r="O19" s="6" t="n"/>
    </row>
    <row r="20">
      <c r="D20" s="6" t="n"/>
      <c r="H20" s="29" t="n"/>
      <c r="I20" s="9">
        <f>IF(H20="","",H20*IF(F20="",1,F20))</f>
        <v/>
      </c>
      <c r="L20" s="21" t="n"/>
      <c r="M20" s="21" t="n"/>
      <c r="O20" s="6" t="n"/>
    </row>
    <row r="21">
      <c r="D21" s="6" t="n"/>
      <c r="H21" s="29" t="n"/>
      <c r="I21" s="9">
        <f>IF(H21="","",H21*IF(F21="",1,F21))</f>
        <v/>
      </c>
      <c r="L21" s="21" t="n"/>
      <c r="M21" s="21" t="n"/>
      <c r="O21" s="6" t="n"/>
    </row>
    <row r="22">
      <c r="D22" s="6" t="n"/>
      <c r="H22" s="29" t="n"/>
      <c r="I22" s="9">
        <f>IF(H22="","",H22*IF(F22="",1,F22))</f>
        <v/>
      </c>
      <c r="L22" s="21" t="n"/>
      <c r="M22" s="21" t="n"/>
      <c r="O22" s="6" t="n"/>
    </row>
    <row r="23">
      <c r="D23" s="6" t="n"/>
      <c r="H23" s="29" t="n"/>
      <c r="I23" s="9">
        <f>IF(H23="","",H23*IF(F23="",1,F23))</f>
        <v/>
      </c>
      <c r="L23" s="21" t="n"/>
      <c r="M23" s="21" t="n"/>
      <c r="O23" s="6" t="n"/>
    </row>
    <row r="24">
      <c r="D24" s="6" t="n"/>
      <c r="H24" s="29" t="n"/>
      <c r="I24" s="9">
        <f>IF(H24="","",H24*IF(F24="",1,F24))</f>
        <v/>
      </c>
      <c r="L24" s="21" t="n"/>
      <c r="M24" s="21" t="n"/>
      <c r="O24" s="6" t="n"/>
    </row>
    <row r="25">
      <c r="D25" s="6" t="n"/>
      <c r="H25" s="29" t="n"/>
      <c r="I25" s="9">
        <f>IF(H25="","",H25*IF(F25="",1,F25))</f>
        <v/>
      </c>
      <c r="L25" s="21" t="n"/>
      <c r="M25" s="21" t="n"/>
      <c r="O25" s="6" t="n"/>
    </row>
    <row r="26">
      <c r="D26" s="6" t="n"/>
      <c r="H26" s="29" t="n"/>
      <c r="I26" s="9">
        <f>IF(H26="","",H26*IF(F26="",1,F26))</f>
        <v/>
      </c>
      <c r="L26" s="21" t="n"/>
      <c r="M26" s="21" t="n"/>
      <c r="O26" s="6" t="n"/>
    </row>
    <row r="27">
      <c r="D27" s="6" t="n"/>
      <c r="H27" s="29" t="n"/>
      <c r="I27" s="9">
        <f>IF(H27="","",H27*IF(F27="",1,F27))</f>
        <v/>
      </c>
      <c r="L27" s="21" t="n"/>
      <c r="M27" s="21" t="n"/>
      <c r="O27" s="6" t="n"/>
    </row>
    <row r="28">
      <c r="D28" s="6" t="n"/>
      <c r="H28" s="29" t="n"/>
      <c r="I28" s="9">
        <f>IF(H28="","",H28*IF(F28="",1,F28))</f>
        <v/>
      </c>
      <c r="L28" s="21" t="n"/>
      <c r="M28" s="21" t="n"/>
      <c r="O28" s="6" t="n"/>
    </row>
    <row r="29">
      <c r="D29" s="6" t="n"/>
      <c r="H29" s="29" t="n"/>
      <c r="I29" s="9">
        <f>IF(H29="","",H29*IF(F29="",1,F29))</f>
        <v/>
      </c>
      <c r="L29" s="21" t="n"/>
      <c r="M29" s="21" t="n"/>
      <c r="O29" s="6" t="n"/>
    </row>
    <row r="30">
      <c r="D30" s="6" t="n"/>
      <c r="H30" s="29" t="n"/>
      <c r="I30" s="9">
        <f>IF(H30="","",H30*IF(F30="",1,F30))</f>
        <v/>
      </c>
      <c r="L30" s="21" t="n"/>
      <c r="M30" s="21" t="n"/>
      <c r="O30" s="6" t="n"/>
    </row>
    <row r="31">
      <c r="D31" s="6" t="n"/>
      <c r="H31" s="29" t="n"/>
      <c r="I31" s="9">
        <f>IF(H31="","",H31*IF(F31="",1,F31))</f>
        <v/>
      </c>
      <c r="L31" s="21" t="n"/>
      <c r="M31" s="21" t="n"/>
      <c r="O31" s="6" t="n"/>
    </row>
    <row r="32">
      <c r="D32" s="6" t="n"/>
      <c r="H32" s="29" t="n"/>
      <c r="I32" s="9">
        <f>IF(H32="","",H32*IF(F32="",1,F32))</f>
        <v/>
      </c>
      <c r="L32" s="21" t="n"/>
      <c r="M32" s="21" t="n"/>
      <c r="O32" s="6" t="n"/>
    </row>
    <row r="33">
      <c r="D33" s="6" t="n"/>
      <c r="H33" s="29" t="n"/>
      <c r="I33" s="9">
        <f>IF(H33="","",H33*IF(F33="",1,F33))</f>
        <v/>
      </c>
      <c r="L33" s="21" t="n"/>
      <c r="M33" s="21" t="n"/>
      <c r="O33" s="6" t="n"/>
    </row>
    <row r="34">
      <c r="D34" s="6" t="n"/>
      <c r="H34" s="29" t="n"/>
      <c r="I34" s="9">
        <f>IF(H34="","",H34*IF(F34="",1,F34))</f>
        <v/>
      </c>
      <c r="L34" s="21" t="n"/>
      <c r="M34" s="21" t="n"/>
      <c r="O34" s="6" t="n"/>
    </row>
    <row r="35">
      <c r="D35" s="6" t="n"/>
      <c r="H35" s="29" t="n"/>
      <c r="I35" s="9">
        <f>IF(H35="","",H35*IF(F35="",1,F35))</f>
        <v/>
      </c>
      <c r="L35" s="21" t="n"/>
      <c r="M35" s="21" t="n"/>
      <c r="O35" s="6" t="n"/>
    </row>
    <row r="36">
      <c r="D36" s="6" t="n"/>
      <c r="H36" s="29" t="n"/>
      <c r="I36" s="9">
        <f>IF(H36="","",H36*IF(F36="",1,F36))</f>
        <v/>
      </c>
      <c r="L36" s="21" t="n"/>
      <c r="M36" s="21" t="n"/>
      <c r="O36" s="6" t="n"/>
    </row>
    <row r="37">
      <c r="D37" s="6" t="n"/>
      <c r="H37" s="29" t="n"/>
      <c r="I37" s="9">
        <f>IF(H37="","",H37*IF(F37="",1,F37))</f>
        <v/>
      </c>
      <c r="L37" s="21" t="n"/>
      <c r="M37" s="21" t="n"/>
      <c r="O37" s="6" t="n"/>
    </row>
    <row r="38">
      <c r="D38" s="6" t="n"/>
      <c r="H38" s="29" t="n"/>
      <c r="I38" s="9">
        <f>IF(H38="","",H38*IF(F38="",1,F38))</f>
        <v/>
      </c>
      <c r="L38" s="21" t="n"/>
      <c r="M38" s="21" t="n"/>
      <c r="O38" s="6" t="n"/>
    </row>
    <row r="39">
      <c r="D39" s="6" t="n"/>
      <c r="H39" s="29" t="n"/>
      <c r="I39" s="9">
        <f>IF(H39="","",H39*IF(F39="",1,F39))</f>
        <v/>
      </c>
      <c r="L39" s="21" t="n"/>
      <c r="M39" s="21" t="n"/>
      <c r="O39" s="6" t="n"/>
    </row>
    <row r="40">
      <c r="D40" s="6" t="n"/>
      <c r="H40" s="29" t="n"/>
      <c r="I40" s="9">
        <f>IF(H40="","",H40*IF(F40="",1,F40))</f>
        <v/>
      </c>
      <c r="L40" s="21" t="n"/>
      <c r="M40" s="21" t="n"/>
      <c r="O40" s="6" t="n"/>
    </row>
    <row r="41">
      <c r="D41" s="6" t="n"/>
      <c r="H41" s="29" t="n"/>
      <c r="I41" s="9">
        <f>IF(H41="","",H41*IF(F41="",1,F41))</f>
        <v/>
      </c>
      <c r="L41" s="21" t="n"/>
      <c r="M41" s="21" t="n"/>
      <c r="O41" s="6" t="n"/>
    </row>
    <row r="42">
      <c r="D42" s="6" t="n"/>
      <c r="H42" s="29" t="n"/>
      <c r="I42" s="9">
        <f>IF(H42="","",H42*IF(F42="",1,F42))</f>
        <v/>
      </c>
      <c r="L42" s="21" t="n"/>
      <c r="M42" s="21" t="n"/>
      <c r="O42" s="6" t="n"/>
    </row>
    <row r="43">
      <c r="D43" s="6" t="n"/>
      <c r="H43" s="29" t="n"/>
      <c r="I43" s="9">
        <f>IF(H43="","",H43*IF(F43="",1,F43))</f>
        <v/>
      </c>
      <c r="L43" s="21" t="n"/>
      <c r="M43" s="21" t="n"/>
      <c r="O43" s="6" t="n"/>
    </row>
    <row r="44">
      <c r="D44" s="6" t="n"/>
      <c r="H44" s="29" t="n"/>
      <c r="I44" s="9">
        <f>IF(H44="","",H44*IF(F44="",1,F44))</f>
        <v/>
      </c>
      <c r="L44" s="21" t="n"/>
      <c r="M44" s="21" t="n"/>
      <c r="O44" s="6" t="n"/>
    </row>
    <row r="45">
      <c r="D45" s="6" t="n"/>
      <c r="H45" s="29" t="n"/>
      <c r="I45" s="9">
        <f>IF(H45="","",H45*IF(F45="",1,F45))</f>
        <v/>
      </c>
      <c r="L45" s="21" t="n"/>
      <c r="M45" s="21" t="n"/>
      <c r="O45" s="6" t="n"/>
    </row>
    <row r="46">
      <c r="D46" s="6" t="n"/>
      <c r="H46" s="29" t="n"/>
      <c r="I46" s="9">
        <f>IF(H46="","",H46*IF(F46="",1,F46))</f>
        <v/>
      </c>
      <c r="L46" s="21" t="n"/>
      <c r="M46" s="21" t="n"/>
      <c r="O46" s="6" t="n"/>
    </row>
    <row r="47">
      <c r="D47" s="6" t="n"/>
      <c r="H47" s="29" t="n"/>
      <c r="I47" s="9">
        <f>IF(H47="","",H47*IF(F47="",1,F47))</f>
        <v/>
      </c>
      <c r="L47" s="21" t="n"/>
      <c r="M47" s="21" t="n"/>
      <c r="O47" s="6" t="n"/>
    </row>
    <row r="48">
      <c r="D48" s="6" t="n"/>
      <c r="H48" s="29" t="n"/>
      <c r="I48" s="9">
        <f>IF(H48="","",H48*IF(F48="",1,F48))</f>
        <v/>
      </c>
      <c r="L48" s="21" t="n"/>
      <c r="M48" s="21" t="n"/>
      <c r="O48" s="6" t="n"/>
    </row>
    <row r="49">
      <c r="D49" s="6" t="n"/>
      <c r="H49" s="29" t="n"/>
      <c r="I49" s="9">
        <f>IF(H49="","",H49*IF(F49="",1,F49))</f>
        <v/>
      </c>
      <c r="L49" s="21" t="n"/>
      <c r="M49" s="21" t="n"/>
      <c r="O49" s="6" t="n"/>
    </row>
    <row r="50">
      <c r="D50" s="6" t="n"/>
      <c r="H50" s="29" t="n"/>
      <c r="I50" s="9">
        <f>IF(H50="","",H50*IF(F50="",1,F50))</f>
        <v/>
      </c>
      <c r="L50" s="21" t="n"/>
      <c r="M50" s="21" t="n"/>
      <c r="O50" s="6" t="n"/>
    </row>
    <row r="51">
      <c r="D51" s="6" t="n"/>
      <c r="H51" s="29" t="n"/>
      <c r="I51" s="9">
        <f>IF(H51="","",H51*IF(F51="",1,F51))</f>
        <v/>
      </c>
      <c r="L51" s="21" t="n"/>
      <c r="M51" s="21" t="n"/>
      <c r="O51" s="6" t="n"/>
    </row>
    <row r="52">
      <c r="D52" s="6" t="n"/>
      <c r="H52" s="29" t="n"/>
      <c r="I52" s="9">
        <f>IF(H52="","",H52*IF(F52="",1,F52))</f>
        <v/>
      </c>
      <c r="L52" s="21" t="n"/>
      <c r="M52" s="21" t="n"/>
      <c r="O52" s="6" t="n"/>
    </row>
    <row r="53">
      <c r="D53" s="6" t="n"/>
      <c r="H53" s="29" t="n"/>
      <c r="I53" s="9">
        <f>IF(H53="","",H53*IF(F53="",1,F53))</f>
        <v/>
      </c>
      <c r="L53" s="21" t="n"/>
      <c r="M53" s="21" t="n"/>
      <c r="O53" s="6" t="n"/>
    </row>
    <row r="54">
      <c r="D54" s="6" t="n"/>
      <c r="H54" s="29" t="n"/>
      <c r="I54" s="9">
        <f>IF(H54="","",H54*IF(F54="",1,F54))</f>
        <v/>
      </c>
      <c r="L54" s="21" t="n"/>
      <c r="M54" s="21" t="n"/>
      <c r="O54" s="6" t="n"/>
    </row>
    <row r="55">
      <c r="D55" s="6" t="n"/>
      <c r="H55" s="29" t="n"/>
      <c r="I55" s="9">
        <f>IF(H55="","",H55*IF(F55="",1,F55))</f>
        <v/>
      </c>
      <c r="L55" s="21" t="n"/>
      <c r="M55" s="21" t="n"/>
      <c r="O55" s="6" t="n"/>
    </row>
    <row r="56">
      <c r="D56" s="6" t="n"/>
      <c r="H56" s="29" t="n"/>
      <c r="I56" s="9">
        <f>IF(H56="","",H56*IF(F56="",1,F56))</f>
        <v/>
      </c>
      <c r="L56" s="21" t="n"/>
      <c r="M56" s="21" t="n"/>
      <c r="O56" s="6" t="n"/>
    </row>
    <row r="57">
      <c r="D57" s="6" t="n"/>
      <c r="H57" s="29" t="n"/>
      <c r="I57" s="9">
        <f>IF(H57="","",H57*IF(F57="",1,F57))</f>
        <v/>
      </c>
      <c r="L57" s="21" t="n"/>
      <c r="M57" s="21" t="n"/>
      <c r="O57" s="6" t="n"/>
    </row>
    <row r="58">
      <c r="D58" s="6" t="n"/>
      <c r="H58" s="29" t="n"/>
      <c r="I58" s="9">
        <f>IF(H58="","",H58*IF(F58="",1,F58))</f>
        <v/>
      </c>
      <c r="L58" s="21" t="n"/>
      <c r="M58" s="21" t="n"/>
      <c r="O58" s="6" t="n"/>
    </row>
    <row r="59">
      <c r="D59" s="6" t="n"/>
      <c r="H59" s="29" t="n"/>
      <c r="I59" s="9">
        <f>IF(H59="","",H59*IF(F59="",1,F59))</f>
        <v/>
      </c>
      <c r="L59" s="21" t="n"/>
      <c r="M59" s="21" t="n"/>
      <c r="O59" s="6" t="n"/>
    </row>
    <row r="60">
      <c r="D60" s="6" t="n"/>
      <c r="H60" s="29" t="n"/>
      <c r="I60" s="9">
        <f>IF(H60="","",H60*IF(F60="",1,F60))</f>
        <v/>
      </c>
      <c r="L60" s="21" t="n"/>
      <c r="M60" s="21" t="n"/>
      <c r="O60" s="6" t="n"/>
    </row>
    <row r="61">
      <c r="D61" s="6" t="n"/>
      <c r="H61" s="29" t="n"/>
      <c r="I61" s="9">
        <f>IF(H61="","",H61*IF(F61="",1,F61))</f>
        <v/>
      </c>
      <c r="L61" s="21" t="n"/>
      <c r="M61" s="21" t="n"/>
      <c r="O61" s="6" t="n"/>
    </row>
    <row r="62">
      <c r="D62" s="6" t="n"/>
      <c r="H62" s="29" t="n"/>
      <c r="I62" s="9">
        <f>IF(H62="","",H62*IF(F62="",1,F62))</f>
        <v/>
      </c>
      <c r="L62" s="21" t="n"/>
      <c r="M62" s="21" t="n"/>
      <c r="O62" s="6" t="n"/>
    </row>
    <row r="63">
      <c r="D63" s="6" t="n"/>
      <c r="H63" s="29" t="n"/>
      <c r="I63" s="9">
        <f>IF(H63="","",H63*IF(F63="",1,F63))</f>
        <v/>
      </c>
      <c r="L63" s="21" t="n"/>
      <c r="M63" s="21" t="n"/>
      <c r="O63" s="6" t="n"/>
    </row>
    <row r="64">
      <c r="D64" s="6" t="n"/>
      <c r="H64" s="29" t="n"/>
      <c r="I64" s="9">
        <f>IF(H64="","",H64*IF(F64="",1,F64))</f>
        <v/>
      </c>
      <c r="L64" s="21" t="n"/>
      <c r="M64" s="21" t="n"/>
      <c r="O64" s="6" t="n"/>
    </row>
    <row r="65">
      <c r="D65" s="6" t="n"/>
      <c r="H65" s="29" t="n"/>
      <c r="I65" s="9">
        <f>IF(H65="","",H65*IF(F65="",1,F65))</f>
        <v/>
      </c>
      <c r="L65" s="21" t="n"/>
      <c r="M65" s="21" t="n"/>
      <c r="O65" s="6" t="n"/>
    </row>
    <row r="66">
      <c r="D66" s="6" t="n"/>
      <c r="H66" s="29" t="n"/>
      <c r="I66" s="9">
        <f>IF(H66="","",H66*IF(F66="",1,F66))</f>
        <v/>
      </c>
      <c r="L66" s="21" t="n"/>
      <c r="M66" s="21" t="n"/>
      <c r="O66" s="6" t="n"/>
    </row>
    <row r="67">
      <c r="D67" s="6" t="n"/>
      <c r="H67" s="29" t="n"/>
      <c r="I67" s="9">
        <f>IF(H67="","",H67*IF(F67="",1,F67))</f>
        <v/>
      </c>
      <c r="L67" s="21" t="n"/>
      <c r="M67" s="21" t="n"/>
      <c r="O67" s="6" t="n"/>
    </row>
    <row r="68">
      <c r="D68" s="6" t="n"/>
      <c r="H68" s="29" t="n"/>
      <c r="I68" s="9">
        <f>IF(H68="","",H68*IF(F68="",1,F68))</f>
        <v/>
      </c>
      <c r="L68" s="21" t="n"/>
      <c r="M68" s="21" t="n"/>
      <c r="O68" s="6" t="n"/>
    </row>
    <row r="69">
      <c r="D69" s="6" t="n"/>
      <c r="H69" s="29" t="n"/>
      <c r="I69" s="9">
        <f>IF(H69="","",H69*IF(F69="",1,F69))</f>
        <v/>
      </c>
      <c r="L69" s="21" t="n"/>
      <c r="M69" s="21" t="n"/>
      <c r="O69" s="6" t="n"/>
    </row>
    <row r="70">
      <c r="D70" s="6" t="n"/>
      <c r="H70" s="29" t="n"/>
      <c r="I70" s="9">
        <f>IF(H70="","",H70*IF(F70="",1,F70))</f>
        <v/>
      </c>
      <c r="L70" s="21" t="n"/>
      <c r="M70" s="21" t="n"/>
      <c r="O70" s="6" t="n"/>
    </row>
    <row r="71">
      <c r="D71" s="6" t="n"/>
      <c r="H71" s="29" t="n"/>
      <c r="I71" s="9">
        <f>IF(H71="","",H71*IF(F71="",1,F71))</f>
        <v/>
      </c>
      <c r="L71" s="21" t="n"/>
      <c r="M71" s="21" t="n"/>
      <c r="O71" s="6" t="n"/>
    </row>
    <row r="72">
      <c r="D72" s="6" t="n"/>
      <c r="H72" s="29" t="n"/>
      <c r="I72" s="9">
        <f>IF(H72="","",H72*IF(F72="",1,F72))</f>
        <v/>
      </c>
      <c r="L72" s="21" t="n"/>
      <c r="M72" s="21" t="n"/>
      <c r="O72" s="6" t="n"/>
    </row>
    <row r="73">
      <c r="D73" s="6" t="n"/>
      <c r="H73" s="29" t="n"/>
      <c r="I73" s="9">
        <f>IF(H73="","",H73*IF(F73="",1,F73))</f>
        <v/>
      </c>
      <c r="L73" s="21" t="n"/>
      <c r="M73" s="21" t="n"/>
      <c r="O73" s="6" t="n"/>
    </row>
    <row r="74">
      <c r="D74" s="6" t="n"/>
      <c r="H74" s="29" t="n"/>
      <c r="I74" s="9">
        <f>IF(H74="","",H74*IF(F74="",1,F74))</f>
        <v/>
      </c>
      <c r="L74" s="21" t="n"/>
      <c r="M74" s="21" t="n"/>
      <c r="O74" s="6" t="n"/>
    </row>
    <row r="75">
      <c r="D75" s="6" t="n"/>
      <c r="H75" s="29" t="n"/>
      <c r="I75" s="9">
        <f>IF(H75="","",H75*IF(F75="",1,F75))</f>
        <v/>
      </c>
      <c r="L75" s="21" t="n"/>
      <c r="M75" s="21" t="n"/>
      <c r="O75" s="6" t="n"/>
    </row>
    <row r="76">
      <c r="D76" s="6" t="n"/>
      <c r="H76" s="29" t="n"/>
      <c r="I76" s="9">
        <f>IF(H76="","",H76*IF(F76="",1,F76))</f>
        <v/>
      </c>
      <c r="L76" s="21" t="n"/>
      <c r="M76" s="21" t="n"/>
      <c r="O76" s="6" t="n"/>
    </row>
    <row r="77">
      <c r="D77" s="6" t="n"/>
      <c r="H77" s="29" t="n"/>
      <c r="I77" s="9">
        <f>IF(H77="","",H77*IF(F77="",1,F77))</f>
        <v/>
      </c>
      <c r="L77" s="21" t="n"/>
      <c r="M77" s="21" t="n"/>
      <c r="O77" s="6" t="n"/>
    </row>
    <row r="78">
      <c r="D78" s="6" t="n"/>
      <c r="H78" s="29" t="n"/>
      <c r="I78" s="9">
        <f>IF(H78="","",H78*IF(F78="",1,F78))</f>
        <v/>
      </c>
      <c r="L78" s="21" t="n"/>
      <c r="M78" s="21" t="n"/>
      <c r="O78" s="6" t="n"/>
    </row>
    <row r="79">
      <c r="D79" s="6" t="n"/>
      <c r="H79" s="29" t="n"/>
      <c r="I79" s="9">
        <f>IF(H79="","",H79*IF(F79="",1,F79))</f>
        <v/>
      </c>
      <c r="L79" s="21" t="n"/>
      <c r="M79" s="21" t="n"/>
      <c r="O79" s="6" t="n"/>
    </row>
    <row r="80">
      <c r="D80" s="6" t="n"/>
      <c r="H80" s="29" t="n"/>
      <c r="I80" s="9">
        <f>IF(H80="","",H80*IF(F80="",1,F80))</f>
        <v/>
      </c>
      <c r="L80" s="21" t="n"/>
      <c r="M80" s="21" t="n"/>
      <c r="O80" s="6" t="n"/>
    </row>
    <row r="81">
      <c r="D81" s="6" t="n"/>
      <c r="H81" s="29" t="n"/>
      <c r="I81" s="9">
        <f>IF(H81="","",H81*IF(F81="",1,F81))</f>
        <v/>
      </c>
      <c r="L81" s="21" t="n"/>
      <c r="M81" s="21" t="n"/>
      <c r="O81" s="6" t="n"/>
    </row>
    <row r="82">
      <c r="D82" s="6" t="n"/>
      <c r="H82" s="29" t="n"/>
      <c r="I82" s="9">
        <f>IF(H82="","",H82*IF(F82="",1,F82))</f>
        <v/>
      </c>
      <c r="L82" s="21" t="n"/>
      <c r="M82" s="21" t="n"/>
      <c r="O82" s="6" t="n"/>
    </row>
    <row r="83">
      <c r="D83" s="6" t="n"/>
      <c r="H83" s="29" t="n"/>
      <c r="I83" s="9">
        <f>IF(H83="","",H83*IF(F83="",1,F83))</f>
        <v/>
      </c>
      <c r="L83" s="21" t="n"/>
      <c r="M83" s="21" t="n"/>
      <c r="O83" s="6" t="n"/>
    </row>
    <row r="84">
      <c r="D84" s="6" t="n"/>
      <c r="H84" s="29" t="n"/>
      <c r="I84" s="9">
        <f>IF(H84="","",H84*IF(F84="",1,F84))</f>
        <v/>
      </c>
      <c r="L84" s="21" t="n"/>
      <c r="M84" s="21" t="n"/>
      <c r="O84" s="6" t="n"/>
    </row>
    <row r="85">
      <c r="D85" s="6" t="n"/>
      <c r="H85" s="29" t="n"/>
      <c r="I85" s="9">
        <f>IF(H85="","",H85*IF(F85="",1,F85))</f>
        <v/>
      </c>
      <c r="L85" s="21" t="n"/>
      <c r="M85" s="21" t="n"/>
      <c r="O85" s="6" t="n"/>
    </row>
    <row r="86">
      <c r="D86" s="6" t="n"/>
      <c r="H86" s="29" t="n"/>
      <c r="I86" s="9">
        <f>IF(H86="","",H86*IF(F86="",1,F86))</f>
        <v/>
      </c>
      <c r="L86" s="21" t="n"/>
      <c r="M86" s="21" t="n"/>
      <c r="O86" s="6" t="n"/>
    </row>
    <row r="87">
      <c r="D87" s="6" t="n"/>
      <c r="H87" s="29" t="n"/>
      <c r="I87" s="9">
        <f>IF(H87="","",H87*IF(F87="",1,F87))</f>
        <v/>
      </c>
      <c r="L87" s="21" t="n"/>
      <c r="M87" s="21" t="n"/>
      <c r="O87" s="6" t="n"/>
    </row>
    <row r="88">
      <c r="D88" s="6" t="n"/>
      <c r="H88" s="29" t="n"/>
      <c r="I88" s="9">
        <f>IF(H88="","",H88*IF(F88="",1,F88))</f>
        <v/>
      </c>
      <c r="L88" s="21" t="n"/>
      <c r="M88" s="21" t="n"/>
      <c r="O88" s="6" t="n"/>
    </row>
    <row r="89">
      <c r="D89" s="6" t="n"/>
      <c r="H89" s="29" t="n"/>
      <c r="I89" s="9">
        <f>IF(H89="","",H89*IF(F89="",1,F89))</f>
        <v/>
      </c>
      <c r="L89" s="21" t="n"/>
      <c r="M89" s="21" t="n"/>
      <c r="O89" s="6" t="n"/>
    </row>
    <row r="90">
      <c r="D90" s="6" t="n"/>
      <c r="H90" s="29" t="n"/>
      <c r="I90" s="9">
        <f>IF(H90="","",H90*IF(F90="",1,F90))</f>
        <v/>
      </c>
      <c r="L90" s="21" t="n"/>
      <c r="M90" s="21" t="n"/>
      <c r="O90" s="6" t="n"/>
    </row>
    <row r="91">
      <c r="D91" s="6" t="n"/>
      <c r="H91" s="29" t="n"/>
      <c r="I91" s="9">
        <f>IF(H91="","",H91*IF(F91="",1,F91))</f>
        <v/>
      </c>
      <c r="L91" s="21" t="n"/>
      <c r="M91" s="21" t="n"/>
      <c r="O91" s="6" t="n"/>
    </row>
    <row r="92">
      <c r="D92" s="6" t="n"/>
      <c r="H92" s="29" t="n"/>
      <c r="I92" s="9">
        <f>IF(H92="","",H92*IF(F92="",1,F92))</f>
        <v/>
      </c>
      <c r="L92" s="21" t="n"/>
      <c r="M92" s="21" t="n"/>
      <c r="O92" s="6" t="n"/>
    </row>
    <row r="93">
      <c r="D93" s="6" t="n"/>
      <c r="H93" s="29" t="n"/>
      <c r="I93" s="9">
        <f>IF(H93="","",H93*IF(F93="",1,F93))</f>
        <v/>
      </c>
      <c r="L93" s="21" t="n"/>
      <c r="M93" s="21" t="n"/>
      <c r="O93" s="6" t="n"/>
    </row>
    <row r="94">
      <c r="D94" s="6" t="n"/>
      <c r="H94" s="29" t="n"/>
      <c r="I94" s="9">
        <f>IF(H94="","",H94*IF(F94="",1,F94))</f>
        <v/>
      </c>
      <c r="L94" s="21" t="n"/>
      <c r="M94" s="21" t="n"/>
      <c r="O94" s="6" t="n"/>
    </row>
    <row r="95">
      <c r="D95" s="6" t="n"/>
      <c r="H95" s="29" t="n"/>
      <c r="I95" s="9">
        <f>IF(H95="","",H95*IF(F95="",1,F95))</f>
        <v/>
      </c>
      <c r="L95" s="21" t="n"/>
      <c r="M95" s="21" t="n"/>
      <c r="O95" s="6" t="n"/>
    </row>
    <row r="96">
      <c r="D96" s="6" t="n"/>
      <c r="H96" s="29" t="n"/>
      <c r="I96" s="9">
        <f>IF(H96="","",H96*IF(F96="",1,F96))</f>
        <v/>
      </c>
      <c r="L96" s="21" t="n"/>
      <c r="M96" s="21" t="n"/>
      <c r="O96" s="6" t="n"/>
    </row>
    <row r="97">
      <c r="D97" s="6" t="n"/>
      <c r="H97" s="29" t="n"/>
      <c r="I97" s="9">
        <f>IF(H97="","",H97*IF(F97="",1,F97))</f>
        <v/>
      </c>
      <c r="L97" s="21" t="n"/>
      <c r="M97" s="21" t="n"/>
      <c r="O97" s="6" t="n"/>
    </row>
    <row r="98">
      <c r="D98" s="6" t="n"/>
      <c r="H98" s="29" t="n"/>
      <c r="I98" s="9">
        <f>IF(H98="","",H98*IF(F98="",1,F98))</f>
        <v/>
      </c>
      <c r="L98" s="21" t="n"/>
      <c r="M98" s="21" t="n"/>
      <c r="O98" s="6" t="n"/>
    </row>
    <row r="99">
      <c r="D99" s="6" t="n"/>
      <c r="H99" s="29" t="n"/>
      <c r="I99" s="9">
        <f>IF(H99="","",H99*IF(F99="",1,F99))</f>
        <v/>
      </c>
      <c r="L99" s="21" t="n"/>
      <c r="M99" s="21" t="n"/>
      <c r="O99" s="6" t="n"/>
    </row>
    <row r="100">
      <c r="D100" s="6" t="n"/>
      <c r="H100" s="29" t="n"/>
      <c r="I100" s="9">
        <f>IF(H100="","",H100*IF(F100="",1,F100))</f>
        <v/>
      </c>
      <c r="L100" s="21" t="n"/>
      <c r="M100" s="21" t="n"/>
      <c r="O100" s="6" t="n"/>
    </row>
    <row r="101">
      <c r="D101" s="6" t="n"/>
      <c r="H101" s="29" t="n"/>
      <c r="I101" s="9">
        <f>IF(H101="","",H101*IF(F101="",1,F101))</f>
        <v/>
      </c>
      <c r="L101" s="21" t="n"/>
      <c r="M101" s="21" t="n"/>
      <c r="O101" s="6" t="n"/>
    </row>
    <row r="102">
      <c r="D102" s="6" t="n"/>
      <c r="H102" s="29" t="n"/>
      <c r="I102" s="9">
        <f>IF(H102="","",H102*IF(F102="",1,F102))</f>
        <v/>
      </c>
      <c r="L102" s="21" t="n"/>
      <c r="M102" s="21" t="n"/>
      <c r="O102" s="6" t="n"/>
    </row>
    <row r="103">
      <c r="D103" s="6" t="n"/>
      <c r="H103" s="29" t="n"/>
      <c r="I103" s="9">
        <f>IF(H103="","",H103*IF(F103="",1,F103))</f>
        <v/>
      </c>
      <c r="L103" s="21" t="n"/>
      <c r="M103" s="21" t="n"/>
      <c r="O103" s="6" t="n"/>
    </row>
    <row r="104">
      <c r="D104" s="6" t="n"/>
      <c r="H104" s="29" t="n"/>
      <c r="I104" s="9">
        <f>IF(H104="","",H104*IF(F104="",1,F104))</f>
        <v/>
      </c>
      <c r="L104" s="21" t="n"/>
      <c r="M104" s="21" t="n"/>
      <c r="O104" s="6" t="n"/>
    </row>
    <row r="105">
      <c r="D105" s="6" t="n"/>
      <c r="H105" s="29" t="n"/>
      <c r="I105" s="9">
        <f>IF(H105="","",H105*IF(F105="",1,F105))</f>
        <v/>
      </c>
      <c r="L105" s="21" t="n"/>
      <c r="M105" s="21" t="n"/>
      <c r="O105" s="6" t="n"/>
    </row>
    <row r="106">
      <c r="D106" s="6" t="n"/>
      <c r="H106" s="29" t="n"/>
      <c r="I106" s="9">
        <f>IF(H106="","",H106*IF(F106="",1,F106))</f>
        <v/>
      </c>
      <c r="L106" s="21" t="n"/>
      <c r="M106" s="21" t="n"/>
      <c r="O106" s="6" t="n"/>
    </row>
    <row r="107">
      <c r="D107" s="6" t="n"/>
      <c r="H107" s="29" t="n"/>
      <c r="I107" s="9">
        <f>IF(H107="","",H107*IF(F107="",1,F107))</f>
        <v/>
      </c>
      <c r="L107" s="21" t="n"/>
      <c r="M107" s="21" t="n"/>
      <c r="O107" s="6" t="n"/>
    </row>
    <row r="108">
      <c r="D108" s="6" t="n"/>
      <c r="H108" s="29" t="n"/>
      <c r="I108" s="9">
        <f>IF(H108="","",H108*IF(F108="",1,F108))</f>
        <v/>
      </c>
      <c r="L108" s="21" t="n"/>
      <c r="M108" s="21" t="n"/>
      <c r="O108" s="6" t="n"/>
    </row>
    <row r="109">
      <c r="D109" s="6" t="n"/>
      <c r="H109" s="29" t="n"/>
      <c r="I109" s="9">
        <f>IF(H109="","",H109*IF(F109="",1,F109))</f>
        <v/>
      </c>
      <c r="L109" s="21" t="n"/>
      <c r="M109" s="21" t="n"/>
      <c r="O109" s="6" t="n"/>
    </row>
    <row r="110">
      <c r="D110" s="6" t="n"/>
      <c r="H110" s="29" t="n"/>
      <c r="I110" s="9">
        <f>IF(H110="","",H110*IF(F110="",1,F110))</f>
        <v/>
      </c>
      <c r="L110" s="21" t="n"/>
      <c r="M110" s="21" t="n"/>
      <c r="O110" s="6" t="n"/>
    </row>
    <row r="111">
      <c r="D111" s="6" t="n"/>
      <c r="H111" s="29" t="n"/>
      <c r="I111" s="9">
        <f>IF(H111="","",H111*IF(F111="",1,F111))</f>
        <v/>
      </c>
      <c r="L111" s="21" t="n"/>
      <c r="M111" s="21" t="n"/>
      <c r="O111" s="6" t="n"/>
    </row>
    <row r="112">
      <c r="D112" s="6" t="n"/>
      <c r="H112" s="29" t="n"/>
      <c r="I112" s="9">
        <f>IF(H112="","",H112*IF(F112="",1,F112))</f>
        <v/>
      </c>
      <c r="L112" s="21" t="n"/>
      <c r="M112" s="21" t="n"/>
      <c r="O112" s="6" t="n"/>
    </row>
    <row r="113">
      <c r="D113" s="6" t="n"/>
      <c r="H113" s="29" t="n"/>
      <c r="I113" s="9">
        <f>IF(H113="","",H113*IF(F113="",1,F113))</f>
        <v/>
      </c>
      <c r="L113" s="21" t="n"/>
      <c r="M113" s="21" t="n"/>
      <c r="O113" s="6" t="n"/>
    </row>
    <row r="114">
      <c r="D114" s="6" t="n"/>
      <c r="H114" s="29" t="n"/>
      <c r="I114" s="9">
        <f>IF(H114="","",H114*IF(F114="",1,F114))</f>
        <v/>
      </c>
      <c r="L114" s="21" t="n"/>
      <c r="M114" s="21" t="n"/>
      <c r="O114" s="6" t="n"/>
    </row>
    <row r="115">
      <c r="D115" s="6" t="n"/>
      <c r="H115" s="29" t="n"/>
      <c r="I115" s="9">
        <f>IF(H115="","",H115*IF(F115="",1,F115))</f>
        <v/>
      </c>
      <c r="L115" s="21" t="n"/>
      <c r="M115" s="21" t="n"/>
      <c r="O115" s="6" t="n"/>
    </row>
    <row r="116">
      <c r="D116" s="6" t="n"/>
      <c r="H116" s="29" t="n"/>
      <c r="I116" s="9">
        <f>IF(H116="","",H116*IF(F116="",1,F116))</f>
        <v/>
      </c>
      <c r="L116" s="21" t="n"/>
      <c r="M116" s="21" t="n"/>
      <c r="O116" s="6" t="n"/>
    </row>
    <row r="117">
      <c r="D117" s="6" t="n"/>
      <c r="H117" s="29" t="n"/>
      <c r="I117" s="9">
        <f>IF(H117="","",H117*IF(F117="",1,F117))</f>
        <v/>
      </c>
      <c r="L117" s="21" t="n"/>
      <c r="M117" s="21" t="n"/>
      <c r="O117" s="6" t="n"/>
    </row>
    <row r="118">
      <c r="D118" s="6" t="n"/>
      <c r="H118" s="29" t="n"/>
      <c r="I118" s="9">
        <f>IF(H118="","",H118*IF(F118="",1,F118))</f>
        <v/>
      </c>
      <c r="L118" s="21" t="n"/>
      <c r="M118" s="21" t="n"/>
      <c r="O118" s="6" t="n"/>
    </row>
    <row r="119">
      <c r="D119" s="6" t="n"/>
      <c r="H119" s="29" t="n"/>
      <c r="I119" s="9">
        <f>IF(H119="","",H119*IF(F119="",1,F119))</f>
        <v/>
      </c>
      <c r="L119" s="21" t="n"/>
      <c r="M119" s="21" t="n"/>
      <c r="O119" s="6" t="n"/>
    </row>
    <row r="120">
      <c r="D120" s="6" t="n"/>
      <c r="H120" s="29" t="n"/>
      <c r="I120" s="9">
        <f>IF(H120="","",H120*IF(F120="",1,F120))</f>
        <v/>
      </c>
      <c r="L120" s="21" t="n"/>
      <c r="M120" s="21" t="n"/>
      <c r="O120" s="6" t="n"/>
    </row>
    <row r="121">
      <c r="D121" s="6" t="n"/>
      <c r="H121" s="29" t="n"/>
      <c r="I121" s="9">
        <f>IF(H121="","",H121*IF(F121="",1,F121))</f>
        <v/>
      </c>
      <c r="L121" s="21" t="n"/>
      <c r="M121" s="21" t="n"/>
      <c r="O121" s="6" t="n"/>
    </row>
    <row r="122">
      <c r="D122" s="6" t="n"/>
      <c r="H122" s="29" t="n"/>
      <c r="I122" s="9">
        <f>IF(H122="","",H122*IF(F122="",1,F122))</f>
        <v/>
      </c>
      <c r="L122" s="21" t="n"/>
      <c r="M122" s="21" t="n"/>
      <c r="O122" s="6" t="n"/>
    </row>
    <row r="123">
      <c r="D123" s="6" t="n"/>
      <c r="H123" s="29" t="n"/>
      <c r="I123" s="9">
        <f>IF(H123="","",H123*IF(F123="",1,F123))</f>
        <v/>
      </c>
      <c r="L123" s="21" t="n"/>
      <c r="M123" s="21" t="n"/>
      <c r="O123" s="6" t="n"/>
    </row>
    <row r="124">
      <c r="D124" s="6" t="n"/>
      <c r="H124" s="29" t="n"/>
      <c r="I124" s="9">
        <f>IF(H124="","",H124*IF(F124="",1,F124))</f>
        <v/>
      </c>
      <c r="L124" s="21" t="n"/>
      <c r="M124" s="21" t="n"/>
      <c r="O124" s="6" t="n"/>
    </row>
    <row r="125">
      <c r="D125" s="6" t="n"/>
      <c r="H125" s="29" t="n"/>
      <c r="I125" s="9">
        <f>IF(H125="","",H125*IF(F125="",1,F125))</f>
        <v/>
      </c>
      <c r="L125" s="21" t="n"/>
      <c r="M125" s="21" t="n"/>
      <c r="O125" s="6" t="n"/>
    </row>
    <row r="126">
      <c r="D126" s="6" t="n"/>
      <c r="H126" s="29" t="n"/>
      <c r="I126" s="9">
        <f>IF(H126="","",H126*IF(F126="",1,F126))</f>
        <v/>
      </c>
      <c r="L126" s="21" t="n"/>
      <c r="M126" s="21" t="n"/>
      <c r="O126" s="6" t="n"/>
    </row>
    <row r="127">
      <c r="D127" s="6" t="n"/>
      <c r="H127" s="29" t="n"/>
      <c r="I127" s="9">
        <f>IF(H127="","",H127*IF(F127="",1,F127))</f>
        <v/>
      </c>
      <c r="L127" s="21" t="n"/>
      <c r="M127" s="21" t="n"/>
      <c r="O127" s="6" t="n"/>
    </row>
    <row r="128">
      <c r="D128" s="6" t="n"/>
      <c r="H128" s="29" t="n"/>
      <c r="I128" s="9">
        <f>IF(H128="","",H128*IF(F128="",1,F128))</f>
        <v/>
      </c>
      <c r="L128" s="21" t="n"/>
      <c r="M128" s="21" t="n"/>
      <c r="O128" s="6" t="n"/>
    </row>
    <row r="129">
      <c r="D129" s="6" t="n"/>
      <c r="H129" s="29" t="n"/>
      <c r="I129" s="9">
        <f>IF(H129="","",H129*IF(F129="",1,F129))</f>
        <v/>
      </c>
      <c r="L129" s="21" t="n"/>
      <c r="M129" s="21" t="n"/>
      <c r="O129" s="6" t="n"/>
    </row>
    <row r="130">
      <c r="D130" s="6" t="n"/>
      <c r="H130" s="29" t="n"/>
      <c r="I130" s="9">
        <f>IF(H130="","",H130*IF(F130="",1,F130))</f>
        <v/>
      </c>
      <c r="L130" s="21" t="n"/>
      <c r="M130" s="21" t="n"/>
      <c r="O130" s="6" t="n"/>
    </row>
    <row r="131">
      <c r="D131" s="6" t="n"/>
      <c r="H131" s="29" t="n"/>
      <c r="I131" s="9">
        <f>IF(H131="","",H131*IF(F131="",1,F131))</f>
        <v/>
      </c>
      <c r="L131" s="21" t="n"/>
      <c r="M131" s="21" t="n"/>
      <c r="O131" s="6" t="n"/>
    </row>
    <row r="132">
      <c r="D132" s="6" t="n"/>
      <c r="H132" s="29" t="n"/>
      <c r="I132" s="9">
        <f>IF(H132="","",H132*IF(F132="",1,F132))</f>
        <v/>
      </c>
      <c r="L132" s="21" t="n"/>
      <c r="M132" s="21" t="n"/>
      <c r="O132" s="6" t="n"/>
    </row>
    <row r="133">
      <c r="D133" s="6" t="n"/>
      <c r="H133" s="29" t="n"/>
      <c r="I133" s="9">
        <f>IF(H133="","",H133*IF(F133="",1,F133))</f>
        <v/>
      </c>
      <c r="L133" s="21" t="n"/>
      <c r="M133" s="21" t="n"/>
      <c r="O133" s="6" t="n"/>
    </row>
    <row r="134">
      <c r="D134" s="6" t="n"/>
      <c r="H134" s="29" t="n"/>
      <c r="I134" s="9">
        <f>IF(H134="","",H134*IF(F134="",1,F134))</f>
        <v/>
      </c>
      <c r="L134" s="21" t="n"/>
      <c r="M134" s="21" t="n"/>
      <c r="O134" s="6" t="n"/>
    </row>
    <row r="135">
      <c r="D135" s="6" t="n"/>
      <c r="H135" s="29" t="n"/>
      <c r="I135" s="9">
        <f>IF(H135="","",H135*IF(F135="",1,F135))</f>
        <v/>
      </c>
      <c r="L135" s="21" t="n"/>
      <c r="M135" s="21" t="n"/>
      <c r="O135" s="6" t="n"/>
    </row>
    <row r="136">
      <c r="D136" s="6" t="n"/>
      <c r="H136" s="29" t="n"/>
      <c r="I136" s="9">
        <f>IF(H136="","",H136*IF(F136="",1,F136))</f>
        <v/>
      </c>
      <c r="L136" s="21" t="n"/>
      <c r="M136" s="21" t="n"/>
      <c r="O136" s="6" t="n"/>
    </row>
    <row r="137">
      <c r="D137" s="6" t="n"/>
      <c r="H137" s="29" t="n"/>
      <c r="I137" s="9">
        <f>IF(H137="","",H137*IF(F137="",1,F137))</f>
        <v/>
      </c>
      <c r="L137" s="21" t="n"/>
      <c r="M137" s="21" t="n"/>
      <c r="O137" s="6" t="n"/>
    </row>
    <row r="138">
      <c r="D138" s="6" t="n"/>
      <c r="H138" s="29" t="n"/>
      <c r="I138" s="9">
        <f>IF(H138="","",H138*IF(F138="",1,F138))</f>
        <v/>
      </c>
      <c r="L138" s="21" t="n"/>
      <c r="M138" s="21" t="n"/>
      <c r="O138" s="6" t="n"/>
    </row>
    <row r="139">
      <c r="D139" s="6" t="n"/>
      <c r="H139" s="29" t="n"/>
      <c r="I139" s="9">
        <f>IF(H139="","",H139*IF(F139="",1,F139))</f>
        <v/>
      </c>
      <c r="L139" s="21" t="n"/>
      <c r="M139" s="21" t="n"/>
      <c r="O139" s="6" t="n"/>
    </row>
    <row r="140">
      <c r="D140" s="6" t="n"/>
      <c r="H140" s="29" t="n"/>
      <c r="I140" s="9">
        <f>IF(H140="","",H140*IF(F140="",1,F140))</f>
        <v/>
      </c>
      <c r="L140" s="21" t="n"/>
      <c r="M140" s="21" t="n"/>
      <c r="O140" s="6" t="n"/>
    </row>
    <row r="141">
      <c r="D141" s="6" t="n"/>
      <c r="H141" s="29" t="n"/>
      <c r="I141" s="9">
        <f>IF(H141="","",H141*IF(F141="",1,F141))</f>
        <v/>
      </c>
      <c r="L141" s="21" t="n"/>
      <c r="M141" s="21" t="n"/>
      <c r="O141" s="6" t="n"/>
    </row>
    <row r="142">
      <c r="D142" s="6" t="n"/>
      <c r="H142" s="29" t="n"/>
      <c r="I142" s="9">
        <f>IF(H142="","",H142*IF(F142="",1,F142))</f>
        <v/>
      </c>
      <c r="L142" s="21" t="n"/>
      <c r="M142" s="21" t="n"/>
      <c r="O142" s="6" t="n"/>
    </row>
    <row r="143">
      <c r="D143" s="6" t="n"/>
      <c r="H143" s="29" t="n"/>
      <c r="I143" s="9">
        <f>IF(H143="","",H143*IF(F143="",1,F143))</f>
        <v/>
      </c>
      <c r="L143" s="21" t="n"/>
      <c r="M143" s="21" t="n"/>
      <c r="O143" s="6" t="n"/>
    </row>
    <row r="144">
      <c r="D144" s="6" t="n"/>
      <c r="H144" s="29" t="n"/>
      <c r="I144" s="9">
        <f>IF(H144="","",H144*IF(F144="",1,F144))</f>
        <v/>
      </c>
      <c r="L144" s="21" t="n"/>
      <c r="M144" s="21" t="n"/>
      <c r="O144" s="6" t="n"/>
    </row>
    <row r="145">
      <c r="D145" s="6" t="n"/>
      <c r="H145" s="29" t="n"/>
      <c r="I145" s="9">
        <f>IF(H145="","",H145*IF(F145="",1,F145))</f>
        <v/>
      </c>
      <c r="L145" s="21" t="n"/>
      <c r="M145" s="21" t="n"/>
      <c r="O145" s="6" t="n"/>
    </row>
    <row r="146">
      <c r="D146" s="6" t="n"/>
      <c r="H146" s="29" t="n"/>
      <c r="I146" s="9">
        <f>IF(H146="","",H146*IF(F146="",1,F146))</f>
        <v/>
      </c>
      <c r="L146" s="21" t="n"/>
      <c r="M146" s="21" t="n"/>
      <c r="O146" s="6" t="n"/>
    </row>
    <row r="147">
      <c r="D147" s="6" t="n"/>
      <c r="H147" s="29" t="n"/>
      <c r="I147" s="9">
        <f>IF(H147="","",H147*IF(F147="",1,F147))</f>
        <v/>
      </c>
      <c r="L147" s="21" t="n"/>
      <c r="M147" s="21" t="n"/>
      <c r="O147" s="6" t="n"/>
    </row>
    <row r="148">
      <c r="D148" s="6" t="n"/>
      <c r="H148" s="29" t="n"/>
      <c r="I148" s="9">
        <f>IF(H148="","",H148*IF(F148="",1,F148))</f>
        <v/>
      </c>
      <c r="L148" s="21" t="n"/>
      <c r="M148" s="21" t="n"/>
      <c r="O148" s="6" t="n"/>
    </row>
    <row r="149">
      <c r="D149" s="6" t="n"/>
      <c r="H149" s="29" t="n"/>
      <c r="I149" s="9">
        <f>IF(H149="","",H149*IF(F149="",1,F149))</f>
        <v/>
      </c>
      <c r="L149" s="21" t="n"/>
      <c r="M149" s="21" t="n"/>
      <c r="O149" s="6" t="n"/>
    </row>
    <row r="150">
      <c r="D150" s="6" t="n"/>
      <c r="H150" s="29" t="n"/>
      <c r="I150" s="9">
        <f>IF(H150="","",H150*IF(F150="",1,F150))</f>
        <v/>
      </c>
      <c r="L150" s="21" t="n"/>
      <c r="M150" s="21" t="n"/>
      <c r="O150" s="6" t="n"/>
    </row>
    <row r="151">
      <c r="D151" s="6" t="n"/>
      <c r="H151" s="29" t="n"/>
      <c r="I151" s="9">
        <f>IF(H151="","",H151*IF(F151="",1,F151))</f>
        <v/>
      </c>
      <c r="L151" s="21" t="n"/>
      <c r="M151" s="21" t="n"/>
      <c r="O151" s="6" t="n"/>
    </row>
    <row r="152">
      <c r="D152" s="6" t="n"/>
      <c r="H152" s="29" t="n"/>
      <c r="I152" s="9">
        <f>IF(H152="","",H152*IF(F152="",1,F152))</f>
        <v/>
      </c>
      <c r="L152" s="21" t="n"/>
      <c r="M152" s="21" t="n"/>
      <c r="O152" s="6" t="n"/>
    </row>
    <row r="153">
      <c r="D153" s="6" t="n"/>
      <c r="H153" s="29" t="n"/>
      <c r="I153" s="9">
        <f>IF(H153="","",H153*IF(F153="",1,F153))</f>
        <v/>
      </c>
      <c r="L153" s="21" t="n"/>
      <c r="M153" s="21" t="n"/>
      <c r="O153" s="6" t="n"/>
    </row>
  </sheetData>
  <autoFilter ref="A3:O153"/>
  <conditionalFormatting sqref="J4:J153">
    <cfRule type="cellIs" priority="1" operator="equal" dxfId="2">
      <formula>"To choose"</formula>
    </cfRule>
    <cfRule type="cellIs" priority="2" operator="equal" dxfId="0">
      <formula>"Installed"</formula>
    </cfRule>
  </conditionalFormatting>
  <dataValidations count="4">
    <dataValidation sqref="B4:B153" showDropDown="0" showInputMessage="0" showErrorMessage="0" allowBlank="1" error="Pick a value from the list." type="list" errorStyle="warning">
      <formula1>=Lists!$I$2:$I$9</formula1>
    </dataValidation>
    <dataValidation sqref="C4:C153" showDropDown="0" showInputMessage="0" showErrorMessage="0" allowBlank="1" error="Pick a value from the list." type="list" errorStyle="warning">
      <formula1>='Rooms'!$A$4:$A$63</formula1>
    </dataValidation>
    <dataValidation sqref="J4:J153" showDropDown="0" showInputMessage="0" showErrorMessage="0" allowBlank="1" error="Pick a value from the list." type="list" errorStyle="warning">
      <formula1>=Lists!$H$2:$H$6</formula1>
    </dataValidation>
    <dataValidation sqref="K4:K15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5" customWidth="1" min="3" max="3"/>
    <col width="50" customWidth="1" min="4" max="4"/>
    <col width="22" customWidth="1" min="5" max="5"/>
    <col width="12" customWidth="1" min="6" max="6"/>
    <col width="20" customWidth="1" min="7" max="7"/>
    <col width="14" customWidth="1" min="8" max="8"/>
    <col width="12" customWidth="1" min="9" max="9"/>
    <col width="9" customWidth="1" min="10" max="10"/>
    <col width="18" customWidth="1" min="11" max="11"/>
    <col width="30" customWidth="1" min="12" max="12"/>
  </cols>
  <sheetData>
    <row r="1" ht="24" customHeight="1">
      <c r="A1" s="1" t="inlineStr">
        <is>
          <t>Plan notes &amp; site diary</t>
        </is>
      </c>
    </row>
    <row r="2">
      <c r="A2" s="2" t="inlineStr">
        <is>
          <t>Who was on site, weather, deliveries, instructions, defects and questions for the building surveyor. Link notes to a drawing sheet.</t>
        </is>
      </c>
    </row>
    <row r="3" ht="32" customHeight="1">
      <c r="A3" s="19" t="inlineStr">
        <is>
          <t>Date</t>
        </is>
      </c>
      <c r="B3" s="19" t="inlineStr">
        <is>
          <t>Type</t>
        </is>
      </c>
      <c r="C3" s="19" t="inlineStr">
        <is>
          <t>Drawing / sheet ref</t>
        </is>
      </c>
      <c r="D3" s="19" t="inlineStr">
        <is>
          <t>Note</t>
        </is>
      </c>
      <c r="E3" s="19" t="inlineStr">
        <is>
          <t>On site</t>
        </is>
      </c>
      <c r="F3" s="19" t="inlineStr">
        <is>
          <t>Weather</t>
        </is>
      </c>
      <c r="G3" s="19" t="inlineStr">
        <is>
          <t>Trade / package</t>
        </is>
      </c>
      <c r="H3" s="19" t="inlineStr">
        <is>
          <t>Action by</t>
        </is>
      </c>
      <c r="I3" s="19" t="inlineStr">
        <is>
          <t>Due</t>
        </is>
      </c>
      <c r="J3" s="19" t="inlineStr">
        <is>
          <t>Closed?</t>
        </is>
      </c>
      <c r="K3" s="19" t="inlineStr">
        <is>
          <t>Photo Doc IDs</t>
        </is>
      </c>
      <c r="L3" s="19" t="inlineStr">
        <is>
          <t>Notes</t>
        </is>
      </c>
    </row>
    <row r="4">
      <c r="A4" s="28" t="n"/>
      <c r="B4" s="22" t="inlineStr">
        <is>
          <t>Instruction to trade</t>
        </is>
      </c>
      <c r="C4" s="22" t="inlineStr">
        <is>
          <t>A102</t>
        </is>
      </c>
      <c r="D4" s="25" t="inlineStr">
        <is>
          <t>Move kitchen power point 300 mm left of window as marked on site.</t>
        </is>
      </c>
      <c r="E4" s="25" t="n"/>
      <c r="F4" s="22" t="n"/>
      <c r="G4" s="22" t="inlineStr">
        <is>
          <t>11 Electrician</t>
        </is>
      </c>
      <c r="H4" s="22" t="inlineStr">
        <is>
          <t>Electrician</t>
        </is>
      </c>
      <c r="I4" s="28" t="n"/>
      <c r="J4" s="22" t="inlineStr">
        <is>
          <t>No</t>
        </is>
      </c>
      <c r="K4" s="22" t="n"/>
      <c r="L4" s="25" t="inlineStr">
        <is>
          <t>EXAMPLE: delete this row</t>
        </is>
      </c>
    </row>
    <row r="5">
      <c r="A5" s="21" t="n"/>
      <c r="D5" s="6" t="n"/>
      <c r="E5" s="6" t="n"/>
      <c r="I5" s="21" t="n"/>
      <c r="L5" s="6" t="n"/>
    </row>
    <row r="6">
      <c r="A6" s="21" t="n"/>
      <c r="D6" s="6" t="n"/>
      <c r="E6" s="6" t="n"/>
      <c r="I6" s="21" t="n"/>
      <c r="L6" s="6" t="n"/>
    </row>
    <row r="7">
      <c r="A7" s="21" t="n"/>
      <c r="D7" s="6" t="n"/>
      <c r="E7" s="6" t="n"/>
      <c r="I7" s="21" t="n"/>
      <c r="L7" s="6" t="n"/>
    </row>
    <row r="8">
      <c r="A8" s="21" t="n"/>
      <c r="D8" s="6" t="n"/>
      <c r="E8" s="6" t="n"/>
      <c r="I8" s="21" t="n"/>
      <c r="L8" s="6" t="n"/>
    </row>
    <row r="9">
      <c r="A9" s="21" t="n"/>
      <c r="D9" s="6" t="n"/>
      <c r="E9" s="6" t="n"/>
      <c r="I9" s="21" t="n"/>
      <c r="L9" s="6" t="n"/>
    </row>
    <row r="10">
      <c r="A10" s="21" t="n"/>
      <c r="D10" s="6" t="n"/>
      <c r="E10" s="6" t="n"/>
      <c r="I10" s="21" t="n"/>
      <c r="L10" s="6" t="n"/>
    </row>
    <row r="11">
      <c r="A11" s="21" t="n"/>
      <c r="D11" s="6" t="n"/>
      <c r="E11" s="6" t="n"/>
      <c r="I11" s="21" t="n"/>
      <c r="L11" s="6" t="n"/>
    </row>
    <row r="12">
      <c r="A12" s="21" t="n"/>
      <c r="D12" s="6" t="n"/>
      <c r="E12" s="6" t="n"/>
      <c r="I12" s="21" t="n"/>
      <c r="L12" s="6" t="n"/>
    </row>
    <row r="13">
      <c r="A13" s="21" t="n"/>
      <c r="D13" s="6" t="n"/>
      <c r="E13" s="6" t="n"/>
      <c r="I13" s="21" t="n"/>
      <c r="L13" s="6" t="n"/>
    </row>
    <row r="14">
      <c r="A14" s="21" t="n"/>
      <c r="D14" s="6" t="n"/>
      <c r="E14" s="6" t="n"/>
      <c r="I14" s="21" t="n"/>
      <c r="L14" s="6" t="n"/>
    </row>
    <row r="15">
      <c r="A15" s="21" t="n"/>
      <c r="D15" s="6" t="n"/>
      <c r="E15" s="6" t="n"/>
      <c r="I15" s="21" t="n"/>
      <c r="L15" s="6" t="n"/>
    </row>
    <row r="16">
      <c r="A16" s="21" t="n"/>
      <c r="D16" s="6" t="n"/>
      <c r="E16" s="6" t="n"/>
      <c r="I16" s="21" t="n"/>
      <c r="L16" s="6" t="n"/>
    </row>
    <row r="17">
      <c r="A17" s="21" t="n"/>
      <c r="D17" s="6" t="n"/>
      <c r="E17" s="6" t="n"/>
      <c r="I17" s="21" t="n"/>
      <c r="L17" s="6" t="n"/>
    </row>
    <row r="18">
      <c r="A18" s="21" t="n"/>
      <c r="D18" s="6" t="n"/>
      <c r="E18" s="6" t="n"/>
      <c r="I18" s="21" t="n"/>
      <c r="L18" s="6" t="n"/>
    </row>
    <row r="19">
      <c r="A19" s="21" t="n"/>
      <c r="D19" s="6" t="n"/>
      <c r="E19" s="6" t="n"/>
      <c r="I19" s="21" t="n"/>
      <c r="L19" s="6" t="n"/>
    </row>
    <row r="20">
      <c r="A20" s="21" t="n"/>
      <c r="D20" s="6" t="n"/>
      <c r="E20" s="6" t="n"/>
      <c r="I20" s="21" t="n"/>
      <c r="L20" s="6" t="n"/>
    </row>
    <row r="21">
      <c r="A21" s="21" t="n"/>
      <c r="D21" s="6" t="n"/>
      <c r="E21" s="6" t="n"/>
      <c r="I21" s="21" t="n"/>
      <c r="L21" s="6" t="n"/>
    </row>
    <row r="22">
      <c r="A22" s="21" t="n"/>
      <c r="D22" s="6" t="n"/>
      <c r="E22" s="6" t="n"/>
      <c r="I22" s="21" t="n"/>
      <c r="L22" s="6" t="n"/>
    </row>
    <row r="23">
      <c r="A23" s="21" t="n"/>
      <c r="D23" s="6" t="n"/>
      <c r="E23" s="6" t="n"/>
      <c r="I23" s="21" t="n"/>
      <c r="L23" s="6" t="n"/>
    </row>
    <row r="24">
      <c r="A24" s="21" t="n"/>
      <c r="D24" s="6" t="n"/>
      <c r="E24" s="6" t="n"/>
      <c r="I24" s="21" t="n"/>
      <c r="L24" s="6" t="n"/>
    </row>
    <row r="25">
      <c r="A25" s="21" t="n"/>
      <c r="D25" s="6" t="n"/>
      <c r="E25" s="6" t="n"/>
      <c r="I25" s="21" t="n"/>
      <c r="L25" s="6" t="n"/>
    </row>
    <row r="26">
      <c r="A26" s="21" t="n"/>
      <c r="D26" s="6" t="n"/>
      <c r="E26" s="6" t="n"/>
      <c r="I26" s="21" t="n"/>
      <c r="L26" s="6" t="n"/>
    </row>
    <row r="27">
      <c r="A27" s="21" t="n"/>
      <c r="D27" s="6" t="n"/>
      <c r="E27" s="6" t="n"/>
      <c r="I27" s="21" t="n"/>
      <c r="L27" s="6" t="n"/>
    </row>
    <row r="28">
      <c r="A28" s="21" t="n"/>
      <c r="D28" s="6" t="n"/>
      <c r="E28" s="6" t="n"/>
      <c r="I28" s="21" t="n"/>
      <c r="L28" s="6" t="n"/>
    </row>
    <row r="29">
      <c r="A29" s="21" t="n"/>
      <c r="D29" s="6" t="n"/>
      <c r="E29" s="6" t="n"/>
      <c r="I29" s="21" t="n"/>
      <c r="L29" s="6" t="n"/>
    </row>
    <row r="30">
      <c r="A30" s="21" t="n"/>
      <c r="D30" s="6" t="n"/>
      <c r="E30" s="6" t="n"/>
      <c r="I30" s="21" t="n"/>
      <c r="L30" s="6" t="n"/>
    </row>
    <row r="31">
      <c r="A31" s="21" t="n"/>
      <c r="D31" s="6" t="n"/>
      <c r="E31" s="6" t="n"/>
      <c r="I31" s="21" t="n"/>
      <c r="L31" s="6" t="n"/>
    </row>
    <row r="32">
      <c r="A32" s="21" t="n"/>
      <c r="D32" s="6" t="n"/>
      <c r="E32" s="6" t="n"/>
      <c r="I32" s="21" t="n"/>
      <c r="L32" s="6" t="n"/>
    </row>
    <row r="33">
      <c r="A33" s="21" t="n"/>
      <c r="D33" s="6" t="n"/>
      <c r="E33" s="6" t="n"/>
      <c r="I33" s="21" t="n"/>
      <c r="L33" s="6" t="n"/>
    </row>
    <row r="34">
      <c r="A34" s="21" t="n"/>
      <c r="D34" s="6" t="n"/>
      <c r="E34" s="6" t="n"/>
      <c r="I34" s="21" t="n"/>
      <c r="L34" s="6" t="n"/>
    </row>
    <row r="35">
      <c r="A35" s="21" t="n"/>
      <c r="D35" s="6" t="n"/>
      <c r="E35" s="6" t="n"/>
      <c r="I35" s="21" t="n"/>
      <c r="L35" s="6" t="n"/>
    </row>
    <row r="36">
      <c r="A36" s="21" t="n"/>
      <c r="D36" s="6" t="n"/>
      <c r="E36" s="6" t="n"/>
      <c r="I36" s="21" t="n"/>
      <c r="L36" s="6" t="n"/>
    </row>
    <row r="37">
      <c r="A37" s="21" t="n"/>
      <c r="D37" s="6" t="n"/>
      <c r="E37" s="6" t="n"/>
      <c r="I37" s="21" t="n"/>
      <c r="L37" s="6" t="n"/>
    </row>
    <row r="38">
      <c r="A38" s="21" t="n"/>
      <c r="D38" s="6" t="n"/>
      <c r="E38" s="6" t="n"/>
      <c r="I38" s="21" t="n"/>
      <c r="L38" s="6" t="n"/>
    </row>
    <row r="39">
      <c r="A39" s="21" t="n"/>
      <c r="D39" s="6" t="n"/>
      <c r="E39" s="6" t="n"/>
      <c r="I39" s="21" t="n"/>
      <c r="L39" s="6" t="n"/>
    </row>
    <row r="40">
      <c r="A40" s="21" t="n"/>
      <c r="D40" s="6" t="n"/>
      <c r="E40" s="6" t="n"/>
      <c r="I40" s="21" t="n"/>
      <c r="L40" s="6" t="n"/>
    </row>
    <row r="41">
      <c r="A41" s="21" t="n"/>
      <c r="D41" s="6" t="n"/>
      <c r="E41" s="6" t="n"/>
      <c r="I41" s="21" t="n"/>
      <c r="L41" s="6" t="n"/>
    </row>
    <row r="42">
      <c r="A42" s="21" t="n"/>
      <c r="D42" s="6" t="n"/>
      <c r="E42" s="6" t="n"/>
      <c r="I42" s="21" t="n"/>
      <c r="L42" s="6" t="n"/>
    </row>
    <row r="43">
      <c r="A43" s="21" t="n"/>
      <c r="D43" s="6" t="n"/>
      <c r="E43" s="6" t="n"/>
      <c r="I43" s="21" t="n"/>
      <c r="L43" s="6" t="n"/>
    </row>
    <row r="44">
      <c r="A44" s="21" t="n"/>
      <c r="D44" s="6" t="n"/>
      <c r="E44" s="6" t="n"/>
      <c r="I44" s="21" t="n"/>
      <c r="L44" s="6" t="n"/>
    </row>
    <row r="45">
      <c r="A45" s="21" t="n"/>
      <c r="D45" s="6" t="n"/>
      <c r="E45" s="6" t="n"/>
      <c r="I45" s="21" t="n"/>
      <c r="L45" s="6" t="n"/>
    </row>
    <row r="46">
      <c r="A46" s="21" t="n"/>
      <c r="D46" s="6" t="n"/>
      <c r="E46" s="6" t="n"/>
      <c r="I46" s="21" t="n"/>
      <c r="L46" s="6" t="n"/>
    </row>
    <row r="47">
      <c r="A47" s="21" t="n"/>
      <c r="D47" s="6" t="n"/>
      <c r="E47" s="6" t="n"/>
      <c r="I47" s="21" t="n"/>
      <c r="L47" s="6" t="n"/>
    </row>
    <row r="48">
      <c r="A48" s="21" t="n"/>
      <c r="D48" s="6" t="n"/>
      <c r="E48" s="6" t="n"/>
      <c r="I48" s="21" t="n"/>
      <c r="L48" s="6" t="n"/>
    </row>
    <row r="49">
      <c r="A49" s="21" t="n"/>
      <c r="D49" s="6" t="n"/>
      <c r="E49" s="6" t="n"/>
      <c r="I49" s="21" t="n"/>
      <c r="L49" s="6" t="n"/>
    </row>
    <row r="50">
      <c r="A50" s="21" t="n"/>
      <c r="D50" s="6" t="n"/>
      <c r="E50" s="6" t="n"/>
      <c r="I50" s="21" t="n"/>
      <c r="L50" s="6" t="n"/>
    </row>
    <row r="51">
      <c r="A51" s="21" t="n"/>
      <c r="D51" s="6" t="n"/>
      <c r="E51" s="6" t="n"/>
      <c r="I51" s="21" t="n"/>
      <c r="L51" s="6" t="n"/>
    </row>
    <row r="52">
      <c r="A52" s="21" t="n"/>
      <c r="D52" s="6" t="n"/>
      <c r="E52" s="6" t="n"/>
      <c r="I52" s="21" t="n"/>
      <c r="L52" s="6" t="n"/>
    </row>
    <row r="53">
      <c r="A53" s="21" t="n"/>
      <c r="D53" s="6" t="n"/>
      <c r="E53" s="6" t="n"/>
      <c r="I53" s="21" t="n"/>
      <c r="L53" s="6" t="n"/>
    </row>
    <row r="54">
      <c r="A54" s="21" t="n"/>
      <c r="D54" s="6" t="n"/>
      <c r="E54" s="6" t="n"/>
      <c r="I54" s="21" t="n"/>
      <c r="L54" s="6" t="n"/>
    </row>
    <row r="55">
      <c r="A55" s="21" t="n"/>
      <c r="D55" s="6" t="n"/>
      <c r="E55" s="6" t="n"/>
      <c r="I55" s="21" t="n"/>
      <c r="L55" s="6" t="n"/>
    </row>
    <row r="56">
      <c r="A56" s="21" t="n"/>
      <c r="D56" s="6" t="n"/>
      <c r="E56" s="6" t="n"/>
      <c r="I56" s="21" t="n"/>
      <c r="L56" s="6" t="n"/>
    </row>
    <row r="57">
      <c r="A57" s="21" t="n"/>
      <c r="D57" s="6" t="n"/>
      <c r="E57" s="6" t="n"/>
      <c r="I57" s="21" t="n"/>
      <c r="L57" s="6" t="n"/>
    </row>
    <row r="58">
      <c r="A58" s="21" t="n"/>
      <c r="D58" s="6" t="n"/>
      <c r="E58" s="6" t="n"/>
      <c r="I58" s="21" t="n"/>
      <c r="L58" s="6" t="n"/>
    </row>
    <row r="59">
      <c r="A59" s="21" t="n"/>
      <c r="D59" s="6" t="n"/>
      <c r="E59" s="6" t="n"/>
      <c r="I59" s="21" t="n"/>
      <c r="L59" s="6" t="n"/>
    </row>
    <row r="60">
      <c r="A60" s="21" t="n"/>
      <c r="D60" s="6" t="n"/>
      <c r="E60" s="6" t="n"/>
      <c r="I60" s="21" t="n"/>
      <c r="L60" s="6" t="n"/>
    </row>
    <row r="61">
      <c r="A61" s="21" t="n"/>
      <c r="D61" s="6" t="n"/>
      <c r="E61" s="6" t="n"/>
      <c r="I61" s="21" t="n"/>
      <c r="L61" s="6" t="n"/>
    </row>
    <row r="62">
      <c r="A62" s="21" t="n"/>
      <c r="D62" s="6" t="n"/>
      <c r="E62" s="6" t="n"/>
      <c r="I62" s="21" t="n"/>
      <c r="L62" s="6" t="n"/>
    </row>
    <row r="63">
      <c r="A63" s="21" t="n"/>
      <c r="D63" s="6" t="n"/>
      <c r="E63" s="6" t="n"/>
      <c r="I63" s="21" t="n"/>
      <c r="L63" s="6" t="n"/>
    </row>
    <row r="64">
      <c r="A64" s="21" t="n"/>
      <c r="D64" s="6" t="n"/>
      <c r="E64" s="6" t="n"/>
      <c r="I64" s="21" t="n"/>
      <c r="L64" s="6" t="n"/>
    </row>
    <row r="65">
      <c r="A65" s="21" t="n"/>
      <c r="D65" s="6" t="n"/>
      <c r="E65" s="6" t="n"/>
      <c r="I65" s="21" t="n"/>
      <c r="L65" s="6" t="n"/>
    </row>
    <row r="66">
      <c r="A66" s="21" t="n"/>
      <c r="D66" s="6" t="n"/>
      <c r="E66" s="6" t="n"/>
      <c r="I66" s="21" t="n"/>
      <c r="L66" s="6" t="n"/>
    </row>
    <row r="67">
      <c r="A67" s="21" t="n"/>
      <c r="D67" s="6" t="n"/>
      <c r="E67" s="6" t="n"/>
      <c r="I67" s="21" t="n"/>
      <c r="L67" s="6" t="n"/>
    </row>
    <row r="68">
      <c r="A68" s="21" t="n"/>
      <c r="D68" s="6" t="n"/>
      <c r="E68" s="6" t="n"/>
      <c r="I68" s="21" t="n"/>
      <c r="L68" s="6" t="n"/>
    </row>
    <row r="69">
      <c r="A69" s="21" t="n"/>
      <c r="D69" s="6" t="n"/>
      <c r="E69" s="6" t="n"/>
      <c r="I69" s="21" t="n"/>
      <c r="L69" s="6" t="n"/>
    </row>
    <row r="70">
      <c r="A70" s="21" t="n"/>
      <c r="D70" s="6" t="n"/>
      <c r="E70" s="6" t="n"/>
      <c r="I70" s="21" t="n"/>
      <c r="L70" s="6" t="n"/>
    </row>
    <row r="71">
      <c r="A71" s="21" t="n"/>
      <c r="D71" s="6" t="n"/>
      <c r="E71" s="6" t="n"/>
      <c r="I71" s="21" t="n"/>
      <c r="L71" s="6" t="n"/>
    </row>
    <row r="72">
      <c r="A72" s="21" t="n"/>
      <c r="D72" s="6" t="n"/>
      <c r="E72" s="6" t="n"/>
      <c r="I72" s="21" t="n"/>
      <c r="L72" s="6" t="n"/>
    </row>
    <row r="73">
      <c r="A73" s="21" t="n"/>
      <c r="D73" s="6" t="n"/>
      <c r="E73" s="6" t="n"/>
      <c r="I73" s="21" t="n"/>
      <c r="L73" s="6" t="n"/>
    </row>
    <row r="74">
      <c r="A74" s="21" t="n"/>
      <c r="D74" s="6" t="n"/>
      <c r="E74" s="6" t="n"/>
      <c r="I74" s="21" t="n"/>
      <c r="L74" s="6" t="n"/>
    </row>
    <row r="75">
      <c r="A75" s="21" t="n"/>
      <c r="D75" s="6" t="n"/>
      <c r="E75" s="6" t="n"/>
      <c r="I75" s="21" t="n"/>
      <c r="L75" s="6" t="n"/>
    </row>
    <row r="76">
      <c r="A76" s="21" t="n"/>
      <c r="D76" s="6" t="n"/>
      <c r="E76" s="6" t="n"/>
      <c r="I76" s="21" t="n"/>
      <c r="L76" s="6" t="n"/>
    </row>
    <row r="77">
      <c r="A77" s="21" t="n"/>
      <c r="D77" s="6" t="n"/>
      <c r="E77" s="6" t="n"/>
      <c r="I77" s="21" t="n"/>
      <c r="L77" s="6" t="n"/>
    </row>
    <row r="78">
      <c r="A78" s="21" t="n"/>
      <c r="D78" s="6" t="n"/>
      <c r="E78" s="6" t="n"/>
      <c r="I78" s="21" t="n"/>
      <c r="L78" s="6" t="n"/>
    </row>
    <row r="79">
      <c r="A79" s="21" t="n"/>
      <c r="D79" s="6" t="n"/>
      <c r="E79" s="6" t="n"/>
      <c r="I79" s="21" t="n"/>
      <c r="L79" s="6" t="n"/>
    </row>
    <row r="80">
      <c r="A80" s="21" t="n"/>
      <c r="D80" s="6" t="n"/>
      <c r="E80" s="6" t="n"/>
      <c r="I80" s="21" t="n"/>
      <c r="L80" s="6" t="n"/>
    </row>
    <row r="81">
      <c r="A81" s="21" t="n"/>
      <c r="D81" s="6" t="n"/>
      <c r="E81" s="6" t="n"/>
      <c r="I81" s="21" t="n"/>
      <c r="L81" s="6" t="n"/>
    </row>
    <row r="82">
      <c r="A82" s="21" t="n"/>
      <c r="D82" s="6" t="n"/>
      <c r="E82" s="6" t="n"/>
      <c r="I82" s="21" t="n"/>
      <c r="L82" s="6" t="n"/>
    </row>
    <row r="83">
      <c r="A83" s="21" t="n"/>
      <c r="D83" s="6" t="n"/>
      <c r="E83" s="6" t="n"/>
      <c r="I83" s="21" t="n"/>
      <c r="L83" s="6" t="n"/>
    </row>
    <row r="84">
      <c r="A84" s="21" t="n"/>
      <c r="D84" s="6" t="n"/>
      <c r="E84" s="6" t="n"/>
      <c r="I84" s="21" t="n"/>
      <c r="L84" s="6" t="n"/>
    </row>
    <row r="85">
      <c r="A85" s="21" t="n"/>
      <c r="D85" s="6" t="n"/>
      <c r="E85" s="6" t="n"/>
      <c r="I85" s="21" t="n"/>
      <c r="L85" s="6" t="n"/>
    </row>
    <row r="86">
      <c r="A86" s="21" t="n"/>
      <c r="D86" s="6" t="n"/>
      <c r="E86" s="6" t="n"/>
      <c r="I86" s="21" t="n"/>
      <c r="L86" s="6" t="n"/>
    </row>
    <row r="87">
      <c r="A87" s="21" t="n"/>
      <c r="D87" s="6" t="n"/>
      <c r="E87" s="6" t="n"/>
      <c r="I87" s="21" t="n"/>
      <c r="L87" s="6" t="n"/>
    </row>
    <row r="88">
      <c r="A88" s="21" t="n"/>
      <c r="D88" s="6" t="n"/>
      <c r="E88" s="6" t="n"/>
      <c r="I88" s="21" t="n"/>
      <c r="L88" s="6" t="n"/>
    </row>
    <row r="89">
      <c r="A89" s="21" t="n"/>
      <c r="D89" s="6" t="n"/>
      <c r="E89" s="6" t="n"/>
      <c r="I89" s="21" t="n"/>
      <c r="L89" s="6" t="n"/>
    </row>
    <row r="90">
      <c r="A90" s="21" t="n"/>
      <c r="D90" s="6" t="n"/>
      <c r="E90" s="6" t="n"/>
      <c r="I90" s="21" t="n"/>
      <c r="L90" s="6" t="n"/>
    </row>
    <row r="91">
      <c r="A91" s="21" t="n"/>
      <c r="D91" s="6" t="n"/>
      <c r="E91" s="6" t="n"/>
      <c r="I91" s="21" t="n"/>
      <c r="L91" s="6" t="n"/>
    </row>
    <row r="92">
      <c r="A92" s="21" t="n"/>
      <c r="D92" s="6" t="n"/>
      <c r="E92" s="6" t="n"/>
      <c r="I92" s="21" t="n"/>
      <c r="L92" s="6" t="n"/>
    </row>
    <row r="93">
      <c r="A93" s="21" t="n"/>
      <c r="D93" s="6" t="n"/>
      <c r="E93" s="6" t="n"/>
      <c r="I93" s="21" t="n"/>
      <c r="L93" s="6" t="n"/>
    </row>
    <row r="94">
      <c r="A94" s="21" t="n"/>
      <c r="D94" s="6" t="n"/>
      <c r="E94" s="6" t="n"/>
      <c r="I94" s="21" t="n"/>
      <c r="L94" s="6" t="n"/>
    </row>
    <row r="95">
      <c r="A95" s="21" t="n"/>
      <c r="D95" s="6" t="n"/>
      <c r="E95" s="6" t="n"/>
      <c r="I95" s="21" t="n"/>
      <c r="L95" s="6" t="n"/>
    </row>
    <row r="96">
      <c r="A96" s="21" t="n"/>
      <c r="D96" s="6" t="n"/>
      <c r="E96" s="6" t="n"/>
      <c r="I96" s="21" t="n"/>
      <c r="L96" s="6" t="n"/>
    </row>
    <row r="97">
      <c r="A97" s="21" t="n"/>
      <c r="D97" s="6" t="n"/>
      <c r="E97" s="6" t="n"/>
      <c r="I97" s="21" t="n"/>
      <c r="L97" s="6" t="n"/>
    </row>
    <row r="98">
      <c r="A98" s="21" t="n"/>
      <c r="D98" s="6" t="n"/>
      <c r="E98" s="6" t="n"/>
      <c r="I98" s="21" t="n"/>
      <c r="L98" s="6" t="n"/>
    </row>
    <row r="99">
      <c r="A99" s="21" t="n"/>
      <c r="D99" s="6" t="n"/>
      <c r="E99" s="6" t="n"/>
      <c r="I99" s="21" t="n"/>
      <c r="L99" s="6" t="n"/>
    </row>
    <row r="100">
      <c r="A100" s="21" t="n"/>
      <c r="D100" s="6" t="n"/>
      <c r="E100" s="6" t="n"/>
      <c r="I100" s="21" t="n"/>
      <c r="L100" s="6" t="n"/>
    </row>
    <row r="101">
      <c r="A101" s="21" t="n"/>
      <c r="D101" s="6" t="n"/>
      <c r="E101" s="6" t="n"/>
      <c r="I101" s="21" t="n"/>
      <c r="L101" s="6" t="n"/>
    </row>
    <row r="102">
      <c r="A102" s="21" t="n"/>
      <c r="D102" s="6" t="n"/>
      <c r="E102" s="6" t="n"/>
      <c r="I102" s="21" t="n"/>
      <c r="L102" s="6" t="n"/>
    </row>
    <row r="103">
      <c r="A103" s="21" t="n"/>
      <c r="D103" s="6" t="n"/>
      <c r="E103" s="6" t="n"/>
      <c r="I103" s="21" t="n"/>
      <c r="L103" s="6" t="n"/>
    </row>
    <row r="104">
      <c r="A104" s="21" t="n"/>
      <c r="D104" s="6" t="n"/>
      <c r="E104" s="6" t="n"/>
      <c r="I104" s="21" t="n"/>
      <c r="L104" s="6" t="n"/>
    </row>
    <row r="105">
      <c r="A105" s="21" t="n"/>
      <c r="D105" s="6" t="n"/>
      <c r="E105" s="6" t="n"/>
      <c r="I105" s="21" t="n"/>
      <c r="L105" s="6" t="n"/>
    </row>
    <row r="106">
      <c r="A106" s="21" t="n"/>
      <c r="D106" s="6" t="n"/>
      <c r="E106" s="6" t="n"/>
      <c r="I106" s="21" t="n"/>
      <c r="L106" s="6" t="n"/>
    </row>
    <row r="107">
      <c r="A107" s="21" t="n"/>
      <c r="D107" s="6" t="n"/>
      <c r="E107" s="6" t="n"/>
      <c r="I107" s="21" t="n"/>
      <c r="L107" s="6" t="n"/>
    </row>
    <row r="108">
      <c r="A108" s="21" t="n"/>
      <c r="D108" s="6" t="n"/>
      <c r="E108" s="6" t="n"/>
      <c r="I108" s="21" t="n"/>
      <c r="L108" s="6" t="n"/>
    </row>
    <row r="109">
      <c r="A109" s="21" t="n"/>
      <c r="D109" s="6" t="n"/>
      <c r="E109" s="6" t="n"/>
      <c r="I109" s="21" t="n"/>
      <c r="L109" s="6" t="n"/>
    </row>
    <row r="110">
      <c r="A110" s="21" t="n"/>
      <c r="D110" s="6" t="n"/>
      <c r="E110" s="6" t="n"/>
      <c r="I110" s="21" t="n"/>
      <c r="L110" s="6" t="n"/>
    </row>
    <row r="111">
      <c r="A111" s="21" t="n"/>
      <c r="D111" s="6" t="n"/>
      <c r="E111" s="6" t="n"/>
      <c r="I111" s="21" t="n"/>
      <c r="L111" s="6" t="n"/>
    </row>
    <row r="112">
      <c r="A112" s="21" t="n"/>
      <c r="D112" s="6" t="n"/>
      <c r="E112" s="6" t="n"/>
      <c r="I112" s="21" t="n"/>
      <c r="L112" s="6" t="n"/>
    </row>
    <row r="113">
      <c r="A113" s="21" t="n"/>
      <c r="D113" s="6" t="n"/>
      <c r="E113" s="6" t="n"/>
      <c r="I113" s="21" t="n"/>
      <c r="L113" s="6" t="n"/>
    </row>
    <row r="114">
      <c r="A114" s="21" t="n"/>
      <c r="D114" s="6" t="n"/>
      <c r="E114" s="6" t="n"/>
      <c r="I114" s="21" t="n"/>
      <c r="L114" s="6" t="n"/>
    </row>
    <row r="115">
      <c r="A115" s="21" t="n"/>
      <c r="D115" s="6" t="n"/>
      <c r="E115" s="6" t="n"/>
      <c r="I115" s="21" t="n"/>
      <c r="L115" s="6" t="n"/>
    </row>
    <row r="116">
      <c r="A116" s="21" t="n"/>
      <c r="D116" s="6" t="n"/>
      <c r="E116" s="6" t="n"/>
      <c r="I116" s="21" t="n"/>
      <c r="L116" s="6" t="n"/>
    </row>
    <row r="117">
      <c r="A117" s="21" t="n"/>
      <c r="D117" s="6" t="n"/>
      <c r="E117" s="6" t="n"/>
      <c r="I117" s="21" t="n"/>
      <c r="L117" s="6" t="n"/>
    </row>
    <row r="118">
      <c r="A118" s="21" t="n"/>
      <c r="D118" s="6" t="n"/>
      <c r="E118" s="6" t="n"/>
      <c r="I118" s="21" t="n"/>
      <c r="L118" s="6" t="n"/>
    </row>
    <row r="119">
      <c r="A119" s="21" t="n"/>
      <c r="D119" s="6" t="n"/>
      <c r="E119" s="6" t="n"/>
      <c r="I119" s="21" t="n"/>
      <c r="L119" s="6" t="n"/>
    </row>
    <row r="120">
      <c r="A120" s="21" t="n"/>
      <c r="D120" s="6" t="n"/>
      <c r="E120" s="6" t="n"/>
      <c r="I120" s="21" t="n"/>
      <c r="L120" s="6" t="n"/>
    </row>
    <row r="121">
      <c r="A121" s="21" t="n"/>
      <c r="D121" s="6" t="n"/>
      <c r="E121" s="6" t="n"/>
      <c r="I121" s="21" t="n"/>
      <c r="L121" s="6" t="n"/>
    </row>
    <row r="122">
      <c r="A122" s="21" t="n"/>
      <c r="D122" s="6" t="n"/>
      <c r="E122" s="6" t="n"/>
      <c r="I122" s="21" t="n"/>
      <c r="L122" s="6" t="n"/>
    </row>
    <row r="123">
      <c r="A123" s="21" t="n"/>
      <c r="D123" s="6" t="n"/>
      <c r="E123" s="6" t="n"/>
      <c r="I123" s="21" t="n"/>
      <c r="L123" s="6" t="n"/>
    </row>
    <row r="124">
      <c r="A124" s="21" t="n"/>
      <c r="D124" s="6" t="n"/>
      <c r="E124" s="6" t="n"/>
      <c r="I124" s="21" t="n"/>
      <c r="L124" s="6" t="n"/>
    </row>
    <row r="125">
      <c r="A125" s="21" t="n"/>
      <c r="D125" s="6" t="n"/>
      <c r="E125" s="6" t="n"/>
      <c r="I125" s="21" t="n"/>
      <c r="L125" s="6" t="n"/>
    </row>
    <row r="126">
      <c r="A126" s="21" t="n"/>
      <c r="D126" s="6" t="n"/>
      <c r="E126" s="6" t="n"/>
      <c r="I126" s="21" t="n"/>
      <c r="L126" s="6" t="n"/>
    </row>
    <row r="127">
      <c r="A127" s="21" t="n"/>
      <c r="D127" s="6" t="n"/>
      <c r="E127" s="6" t="n"/>
      <c r="I127" s="21" t="n"/>
      <c r="L127" s="6" t="n"/>
    </row>
    <row r="128">
      <c r="A128" s="21" t="n"/>
      <c r="D128" s="6" t="n"/>
      <c r="E128" s="6" t="n"/>
      <c r="I128" s="21" t="n"/>
      <c r="L128" s="6" t="n"/>
    </row>
    <row r="129">
      <c r="A129" s="21" t="n"/>
      <c r="D129" s="6" t="n"/>
      <c r="E129" s="6" t="n"/>
      <c r="I129" s="21" t="n"/>
      <c r="L129" s="6" t="n"/>
    </row>
    <row r="130">
      <c r="A130" s="21" t="n"/>
      <c r="D130" s="6" t="n"/>
      <c r="E130" s="6" t="n"/>
      <c r="I130" s="21" t="n"/>
      <c r="L130" s="6" t="n"/>
    </row>
    <row r="131">
      <c r="A131" s="21" t="n"/>
      <c r="D131" s="6" t="n"/>
      <c r="E131" s="6" t="n"/>
      <c r="I131" s="21" t="n"/>
      <c r="L131" s="6" t="n"/>
    </row>
    <row r="132">
      <c r="A132" s="21" t="n"/>
      <c r="D132" s="6" t="n"/>
      <c r="E132" s="6" t="n"/>
      <c r="I132" s="21" t="n"/>
      <c r="L132" s="6" t="n"/>
    </row>
    <row r="133">
      <c r="A133" s="21" t="n"/>
      <c r="D133" s="6" t="n"/>
      <c r="E133" s="6" t="n"/>
      <c r="I133" s="21" t="n"/>
      <c r="L133" s="6" t="n"/>
    </row>
    <row r="134">
      <c r="A134" s="21" t="n"/>
      <c r="D134" s="6" t="n"/>
      <c r="E134" s="6" t="n"/>
      <c r="I134" s="21" t="n"/>
      <c r="L134" s="6" t="n"/>
    </row>
    <row r="135">
      <c r="A135" s="21" t="n"/>
      <c r="D135" s="6" t="n"/>
      <c r="E135" s="6" t="n"/>
      <c r="I135" s="21" t="n"/>
      <c r="L135" s="6" t="n"/>
    </row>
    <row r="136">
      <c r="A136" s="21" t="n"/>
      <c r="D136" s="6" t="n"/>
      <c r="E136" s="6" t="n"/>
      <c r="I136" s="21" t="n"/>
      <c r="L136" s="6" t="n"/>
    </row>
    <row r="137">
      <c r="A137" s="21" t="n"/>
      <c r="D137" s="6" t="n"/>
      <c r="E137" s="6" t="n"/>
      <c r="I137" s="21" t="n"/>
      <c r="L137" s="6" t="n"/>
    </row>
    <row r="138">
      <c r="A138" s="21" t="n"/>
      <c r="D138" s="6" t="n"/>
      <c r="E138" s="6" t="n"/>
      <c r="I138" s="21" t="n"/>
      <c r="L138" s="6" t="n"/>
    </row>
    <row r="139">
      <c r="A139" s="21" t="n"/>
      <c r="D139" s="6" t="n"/>
      <c r="E139" s="6" t="n"/>
      <c r="I139" s="21" t="n"/>
      <c r="L139" s="6" t="n"/>
    </row>
    <row r="140">
      <c r="A140" s="21" t="n"/>
      <c r="D140" s="6" t="n"/>
      <c r="E140" s="6" t="n"/>
      <c r="I140" s="21" t="n"/>
      <c r="L140" s="6" t="n"/>
    </row>
    <row r="141">
      <c r="A141" s="21" t="n"/>
      <c r="D141" s="6" t="n"/>
      <c r="E141" s="6" t="n"/>
      <c r="I141" s="21" t="n"/>
      <c r="L141" s="6" t="n"/>
    </row>
    <row r="142">
      <c r="A142" s="21" t="n"/>
      <c r="D142" s="6" t="n"/>
      <c r="E142" s="6" t="n"/>
      <c r="I142" s="21" t="n"/>
      <c r="L142" s="6" t="n"/>
    </row>
    <row r="143">
      <c r="A143" s="21" t="n"/>
      <c r="D143" s="6" t="n"/>
      <c r="E143" s="6" t="n"/>
      <c r="I143" s="21" t="n"/>
      <c r="L143" s="6" t="n"/>
    </row>
    <row r="144">
      <c r="A144" s="21" t="n"/>
      <c r="D144" s="6" t="n"/>
      <c r="E144" s="6" t="n"/>
      <c r="I144" s="21" t="n"/>
      <c r="L144" s="6" t="n"/>
    </row>
    <row r="145">
      <c r="A145" s="21" t="n"/>
      <c r="D145" s="6" t="n"/>
      <c r="E145" s="6" t="n"/>
      <c r="I145" s="21" t="n"/>
      <c r="L145" s="6" t="n"/>
    </row>
    <row r="146">
      <c r="A146" s="21" t="n"/>
      <c r="D146" s="6" t="n"/>
      <c r="E146" s="6" t="n"/>
      <c r="I146" s="21" t="n"/>
      <c r="L146" s="6" t="n"/>
    </row>
    <row r="147">
      <c r="A147" s="21" t="n"/>
      <c r="D147" s="6" t="n"/>
      <c r="E147" s="6" t="n"/>
      <c r="I147" s="21" t="n"/>
      <c r="L147" s="6" t="n"/>
    </row>
    <row r="148">
      <c r="A148" s="21" t="n"/>
      <c r="D148" s="6" t="n"/>
      <c r="E148" s="6" t="n"/>
      <c r="I148" s="21" t="n"/>
      <c r="L148" s="6" t="n"/>
    </row>
    <row r="149">
      <c r="A149" s="21" t="n"/>
      <c r="D149" s="6" t="n"/>
      <c r="E149" s="6" t="n"/>
      <c r="I149" s="21" t="n"/>
      <c r="L149" s="6" t="n"/>
    </row>
    <row r="150">
      <c r="A150" s="21" t="n"/>
      <c r="D150" s="6" t="n"/>
      <c r="E150" s="6" t="n"/>
      <c r="I150" s="21" t="n"/>
      <c r="L150" s="6" t="n"/>
    </row>
    <row r="151">
      <c r="A151" s="21" t="n"/>
      <c r="D151" s="6" t="n"/>
      <c r="E151" s="6" t="n"/>
      <c r="I151" s="21" t="n"/>
      <c r="L151" s="6" t="n"/>
    </row>
    <row r="152">
      <c r="A152" s="21" t="n"/>
      <c r="D152" s="6" t="n"/>
      <c r="E152" s="6" t="n"/>
      <c r="I152" s="21" t="n"/>
      <c r="L152" s="6" t="n"/>
    </row>
    <row r="153">
      <c r="A153" s="21" t="n"/>
      <c r="D153" s="6" t="n"/>
      <c r="E153" s="6" t="n"/>
      <c r="I153" s="21" t="n"/>
      <c r="L153" s="6" t="n"/>
    </row>
    <row r="154">
      <c r="A154" s="21" t="n"/>
      <c r="D154" s="6" t="n"/>
      <c r="E154" s="6" t="n"/>
      <c r="I154" s="21" t="n"/>
      <c r="L154" s="6" t="n"/>
    </row>
    <row r="155">
      <c r="A155" s="21" t="n"/>
      <c r="D155" s="6" t="n"/>
      <c r="E155" s="6" t="n"/>
      <c r="I155" s="21" t="n"/>
      <c r="L155" s="6" t="n"/>
    </row>
    <row r="156">
      <c r="A156" s="21" t="n"/>
      <c r="D156" s="6" t="n"/>
      <c r="E156" s="6" t="n"/>
      <c r="I156" s="21" t="n"/>
      <c r="L156" s="6" t="n"/>
    </row>
    <row r="157">
      <c r="A157" s="21" t="n"/>
      <c r="D157" s="6" t="n"/>
      <c r="E157" s="6" t="n"/>
      <c r="I157" s="21" t="n"/>
      <c r="L157" s="6" t="n"/>
    </row>
    <row r="158">
      <c r="A158" s="21" t="n"/>
      <c r="D158" s="6" t="n"/>
      <c r="E158" s="6" t="n"/>
      <c r="I158" s="21" t="n"/>
      <c r="L158" s="6" t="n"/>
    </row>
    <row r="159">
      <c r="A159" s="21" t="n"/>
      <c r="D159" s="6" t="n"/>
      <c r="E159" s="6" t="n"/>
      <c r="I159" s="21" t="n"/>
      <c r="L159" s="6" t="n"/>
    </row>
    <row r="160">
      <c r="A160" s="21" t="n"/>
      <c r="D160" s="6" t="n"/>
      <c r="E160" s="6" t="n"/>
      <c r="I160" s="21" t="n"/>
      <c r="L160" s="6" t="n"/>
    </row>
    <row r="161">
      <c r="A161" s="21" t="n"/>
      <c r="D161" s="6" t="n"/>
      <c r="E161" s="6" t="n"/>
      <c r="I161" s="21" t="n"/>
      <c r="L161" s="6" t="n"/>
    </row>
    <row r="162">
      <c r="A162" s="21" t="n"/>
      <c r="D162" s="6" t="n"/>
      <c r="E162" s="6" t="n"/>
      <c r="I162" s="21" t="n"/>
      <c r="L162" s="6" t="n"/>
    </row>
    <row r="163">
      <c r="A163" s="21" t="n"/>
      <c r="D163" s="6" t="n"/>
      <c r="E163" s="6" t="n"/>
      <c r="I163" s="21" t="n"/>
      <c r="L163" s="6" t="n"/>
    </row>
    <row r="164">
      <c r="A164" s="21" t="n"/>
      <c r="D164" s="6" t="n"/>
      <c r="E164" s="6" t="n"/>
      <c r="I164" s="21" t="n"/>
      <c r="L164" s="6" t="n"/>
    </row>
    <row r="165">
      <c r="A165" s="21" t="n"/>
      <c r="D165" s="6" t="n"/>
      <c r="E165" s="6" t="n"/>
      <c r="I165" s="21" t="n"/>
      <c r="L165" s="6" t="n"/>
    </row>
    <row r="166">
      <c r="A166" s="21" t="n"/>
      <c r="D166" s="6" t="n"/>
      <c r="E166" s="6" t="n"/>
      <c r="I166" s="21" t="n"/>
      <c r="L166" s="6" t="n"/>
    </row>
    <row r="167">
      <c r="A167" s="21" t="n"/>
      <c r="D167" s="6" t="n"/>
      <c r="E167" s="6" t="n"/>
      <c r="I167" s="21" t="n"/>
      <c r="L167" s="6" t="n"/>
    </row>
    <row r="168">
      <c r="A168" s="21" t="n"/>
      <c r="D168" s="6" t="n"/>
      <c r="E168" s="6" t="n"/>
      <c r="I168" s="21" t="n"/>
      <c r="L168" s="6" t="n"/>
    </row>
    <row r="169">
      <c r="A169" s="21" t="n"/>
      <c r="D169" s="6" t="n"/>
      <c r="E169" s="6" t="n"/>
      <c r="I169" s="21" t="n"/>
      <c r="L169" s="6" t="n"/>
    </row>
    <row r="170">
      <c r="A170" s="21" t="n"/>
      <c r="D170" s="6" t="n"/>
      <c r="E170" s="6" t="n"/>
      <c r="I170" s="21" t="n"/>
      <c r="L170" s="6" t="n"/>
    </row>
    <row r="171">
      <c r="A171" s="21" t="n"/>
      <c r="D171" s="6" t="n"/>
      <c r="E171" s="6" t="n"/>
      <c r="I171" s="21" t="n"/>
      <c r="L171" s="6" t="n"/>
    </row>
    <row r="172">
      <c r="A172" s="21" t="n"/>
      <c r="D172" s="6" t="n"/>
      <c r="E172" s="6" t="n"/>
      <c r="I172" s="21" t="n"/>
      <c r="L172" s="6" t="n"/>
    </row>
    <row r="173">
      <c r="A173" s="21" t="n"/>
      <c r="D173" s="6" t="n"/>
      <c r="E173" s="6" t="n"/>
      <c r="I173" s="21" t="n"/>
      <c r="L173" s="6" t="n"/>
    </row>
    <row r="174">
      <c r="A174" s="21" t="n"/>
      <c r="D174" s="6" t="n"/>
      <c r="E174" s="6" t="n"/>
      <c r="I174" s="21" t="n"/>
      <c r="L174" s="6" t="n"/>
    </row>
    <row r="175">
      <c r="A175" s="21" t="n"/>
      <c r="D175" s="6" t="n"/>
      <c r="E175" s="6" t="n"/>
      <c r="I175" s="21" t="n"/>
      <c r="L175" s="6" t="n"/>
    </row>
    <row r="176">
      <c r="A176" s="21" t="n"/>
      <c r="D176" s="6" t="n"/>
      <c r="E176" s="6" t="n"/>
      <c r="I176" s="21" t="n"/>
      <c r="L176" s="6" t="n"/>
    </row>
    <row r="177">
      <c r="A177" s="21" t="n"/>
      <c r="D177" s="6" t="n"/>
      <c r="E177" s="6" t="n"/>
      <c r="I177" s="21" t="n"/>
      <c r="L177" s="6" t="n"/>
    </row>
    <row r="178">
      <c r="A178" s="21" t="n"/>
      <c r="D178" s="6" t="n"/>
      <c r="E178" s="6" t="n"/>
      <c r="I178" s="21" t="n"/>
      <c r="L178" s="6" t="n"/>
    </row>
    <row r="179">
      <c r="A179" s="21" t="n"/>
      <c r="D179" s="6" t="n"/>
      <c r="E179" s="6" t="n"/>
      <c r="I179" s="21" t="n"/>
      <c r="L179" s="6" t="n"/>
    </row>
    <row r="180">
      <c r="A180" s="21" t="n"/>
      <c r="D180" s="6" t="n"/>
      <c r="E180" s="6" t="n"/>
      <c r="I180" s="21" t="n"/>
      <c r="L180" s="6" t="n"/>
    </row>
    <row r="181">
      <c r="A181" s="21" t="n"/>
      <c r="D181" s="6" t="n"/>
      <c r="E181" s="6" t="n"/>
      <c r="I181" s="21" t="n"/>
      <c r="L181" s="6" t="n"/>
    </row>
    <row r="182">
      <c r="A182" s="21" t="n"/>
      <c r="D182" s="6" t="n"/>
      <c r="E182" s="6" t="n"/>
      <c r="I182" s="21" t="n"/>
      <c r="L182" s="6" t="n"/>
    </row>
    <row r="183">
      <c r="A183" s="21" t="n"/>
      <c r="D183" s="6" t="n"/>
      <c r="E183" s="6" t="n"/>
      <c r="I183" s="21" t="n"/>
      <c r="L183" s="6" t="n"/>
    </row>
    <row r="184">
      <c r="A184" s="21" t="n"/>
      <c r="D184" s="6" t="n"/>
      <c r="E184" s="6" t="n"/>
      <c r="I184" s="21" t="n"/>
      <c r="L184" s="6" t="n"/>
    </row>
    <row r="185">
      <c r="A185" s="21" t="n"/>
      <c r="D185" s="6" t="n"/>
      <c r="E185" s="6" t="n"/>
      <c r="I185" s="21" t="n"/>
      <c r="L185" s="6" t="n"/>
    </row>
    <row r="186">
      <c r="A186" s="21" t="n"/>
      <c r="D186" s="6" t="n"/>
      <c r="E186" s="6" t="n"/>
      <c r="I186" s="21" t="n"/>
      <c r="L186" s="6" t="n"/>
    </row>
    <row r="187">
      <c r="A187" s="21" t="n"/>
      <c r="D187" s="6" t="n"/>
      <c r="E187" s="6" t="n"/>
      <c r="I187" s="21" t="n"/>
      <c r="L187" s="6" t="n"/>
    </row>
    <row r="188">
      <c r="A188" s="21" t="n"/>
      <c r="D188" s="6" t="n"/>
      <c r="E188" s="6" t="n"/>
      <c r="I188" s="21" t="n"/>
      <c r="L188" s="6" t="n"/>
    </row>
    <row r="189">
      <c r="A189" s="21" t="n"/>
      <c r="D189" s="6" t="n"/>
      <c r="E189" s="6" t="n"/>
      <c r="I189" s="21" t="n"/>
      <c r="L189" s="6" t="n"/>
    </row>
    <row r="190">
      <c r="A190" s="21" t="n"/>
      <c r="D190" s="6" t="n"/>
      <c r="E190" s="6" t="n"/>
      <c r="I190" s="21" t="n"/>
      <c r="L190" s="6" t="n"/>
    </row>
    <row r="191">
      <c r="A191" s="21" t="n"/>
      <c r="D191" s="6" t="n"/>
      <c r="E191" s="6" t="n"/>
      <c r="I191" s="21" t="n"/>
      <c r="L191" s="6" t="n"/>
    </row>
    <row r="192">
      <c r="A192" s="21" t="n"/>
      <c r="D192" s="6" t="n"/>
      <c r="E192" s="6" t="n"/>
      <c r="I192" s="21" t="n"/>
      <c r="L192" s="6" t="n"/>
    </row>
    <row r="193">
      <c r="A193" s="21" t="n"/>
      <c r="D193" s="6" t="n"/>
      <c r="E193" s="6" t="n"/>
      <c r="I193" s="21" t="n"/>
      <c r="L193" s="6" t="n"/>
    </row>
    <row r="194">
      <c r="A194" s="21" t="n"/>
      <c r="D194" s="6" t="n"/>
      <c r="E194" s="6" t="n"/>
      <c r="I194" s="21" t="n"/>
      <c r="L194" s="6" t="n"/>
    </row>
    <row r="195">
      <c r="A195" s="21" t="n"/>
      <c r="D195" s="6" t="n"/>
      <c r="E195" s="6" t="n"/>
      <c r="I195" s="21" t="n"/>
      <c r="L195" s="6" t="n"/>
    </row>
    <row r="196">
      <c r="A196" s="21" t="n"/>
      <c r="D196" s="6" t="n"/>
      <c r="E196" s="6" t="n"/>
      <c r="I196" s="21" t="n"/>
      <c r="L196" s="6" t="n"/>
    </row>
    <row r="197">
      <c r="A197" s="21" t="n"/>
      <c r="D197" s="6" t="n"/>
      <c r="E197" s="6" t="n"/>
      <c r="I197" s="21" t="n"/>
      <c r="L197" s="6" t="n"/>
    </row>
    <row r="198">
      <c r="A198" s="21" t="n"/>
      <c r="D198" s="6" t="n"/>
      <c r="E198" s="6" t="n"/>
      <c r="I198" s="21" t="n"/>
      <c r="L198" s="6" t="n"/>
    </row>
    <row r="199">
      <c r="A199" s="21" t="n"/>
      <c r="D199" s="6" t="n"/>
      <c r="E199" s="6" t="n"/>
      <c r="I199" s="21" t="n"/>
      <c r="L199" s="6" t="n"/>
    </row>
    <row r="200">
      <c r="A200" s="21" t="n"/>
      <c r="D200" s="6" t="n"/>
      <c r="E200" s="6" t="n"/>
      <c r="I200" s="21" t="n"/>
      <c r="L200" s="6" t="n"/>
    </row>
    <row r="201">
      <c r="A201" s="21" t="n"/>
      <c r="D201" s="6" t="n"/>
      <c r="E201" s="6" t="n"/>
      <c r="I201" s="21" t="n"/>
      <c r="L201" s="6" t="n"/>
    </row>
    <row r="202">
      <c r="A202" s="21" t="n"/>
      <c r="D202" s="6" t="n"/>
      <c r="E202" s="6" t="n"/>
      <c r="I202" s="21" t="n"/>
      <c r="L202" s="6" t="n"/>
    </row>
    <row r="203">
      <c r="A203" s="21" t="n"/>
      <c r="D203" s="6" t="n"/>
      <c r="E203" s="6" t="n"/>
      <c r="I203" s="21" t="n"/>
      <c r="L203" s="6" t="n"/>
    </row>
    <row r="204">
      <c r="A204" s="21" t="n"/>
      <c r="D204" s="6" t="n"/>
      <c r="E204" s="6" t="n"/>
      <c r="I204" s="21" t="n"/>
      <c r="L204" s="6" t="n"/>
    </row>
    <row r="205">
      <c r="A205" s="21" t="n"/>
      <c r="D205" s="6" t="n"/>
      <c r="E205" s="6" t="n"/>
      <c r="I205" s="21" t="n"/>
      <c r="L205" s="6" t="n"/>
    </row>
    <row r="206">
      <c r="A206" s="21" t="n"/>
      <c r="D206" s="6" t="n"/>
      <c r="E206" s="6" t="n"/>
      <c r="I206" s="21" t="n"/>
      <c r="L206" s="6" t="n"/>
    </row>
    <row r="207">
      <c r="A207" s="21" t="n"/>
      <c r="D207" s="6" t="n"/>
      <c r="E207" s="6" t="n"/>
      <c r="I207" s="21" t="n"/>
      <c r="L207" s="6" t="n"/>
    </row>
    <row r="208">
      <c r="A208" s="21" t="n"/>
      <c r="D208" s="6" t="n"/>
      <c r="E208" s="6" t="n"/>
      <c r="I208" s="21" t="n"/>
      <c r="L208" s="6" t="n"/>
    </row>
    <row r="209">
      <c r="A209" s="21" t="n"/>
      <c r="D209" s="6" t="n"/>
      <c r="E209" s="6" t="n"/>
      <c r="I209" s="21" t="n"/>
      <c r="L209" s="6" t="n"/>
    </row>
    <row r="210">
      <c r="A210" s="21" t="n"/>
      <c r="D210" s="6" t="n"/>
      <c r="E210" s="6" t="n"/>
      <c r="I210" s="21" t="n"/>
      <c r="L210" s="6" t="n"/>
    </row>
    <row r="211">
      <c r="A211" s="21" t="n"/>
      <c r="D211" s="6" t="n"/>
      <c r="E211" s="6" t="n"/>
      <c r="I211" s="21" t="n"/>
      <c r="L211" s="6" t="n"/>
    </row>
    <row r="212">
      <c r="A212" s="21" t="n"/>
      <c r="D212" s="6" t="n"/>
      <c r="E212" s="6" t="n"/>
      <c r="I212" s="21" t="n"/>
      <c r="L212" s="6" t="n"/>
    </row>
    <row r="213">
      <c r="A213" s="21" t="n"/>
      <c r="D213" s="6" t="n"/>
      <c r="E213" s="6" t="n"/>
      <c r="I213" s="21" t="n"/>
      <c r="L213" s="6" t="n"/>
    </row>
    <row r="214">
      <c r="A214" s="21" t="n"/>
      <c r="D214" s="6" t="n"/>
      <c r="E214" s="6" t="n"/>
      <c r="I214" s="21" t="n"/>
      <c r="L214" s="6" t="n"/>
    </row>
    <row r="215">
      <c r="A215" s="21" t="n"/>
      <c r="D215" s="6" t="n"/>
      <c r="E215" s="6" t="n"/>
      <c r="I215" s="21" t="n"/>
      <c r="L215" s="6" t="n"/>
    </row>
    <row r="216">
      <c r="A216" s="21" t="n"/>
      <c r="D216" s="6" t="n"/>
      <c r="E216" s="6" t="n"/>
      <c r="I216" s="21" t="n"/>
      <c r="L216" s="6" t="n"/>
    </row>
    <row r="217">
      <c r="A217" s="21" t="n"/>
      <c r="D217" s="6" t="n"/>
      <c r="E217" s="6" t="n"/>
      <c r="I217" s="21" t="n"/>
      <c r="L217" s="6" t="n"/>
    </row>
    <row r="218">
      <c r="A218" s="21" t="n"/>
      <c r="D218" s="6" t="n"/>
      <c r="E218" s="6" t="n"/>
      <c r="I218" s="21" t="n"/>
      <c r="L218" s="6" t="n"/>
    </row>
    <row r="219">
      <c r="A219" s="21" t="n"/>
      <c r="D219" s="6" t="n"/>
      <c r="E219" s="6" t="n"/>
      <c r="I219" s="21" t="n"/>
      <c r="L219" s="6" t="n"/>
    </row>
    <row r="220">
      <c r="A220" s="21" t="n"/>
      <c r="D220" s="6" t="n"/>
      <c r="E220" s="6" t="n"/>
      <c r="I220" s="21" t="n"/>
      <c r="L220" s="6" t="n"/>
    </row>
    <row r="221">
      <c r="A221" s="21" t="n"/>
      <c r="D221" s="6" t="n"/>
      <c r="E221" s="6" t="n"/>
      <c r="I221" s="21" t="n"/>
      <c r="L221" s="6" t="n"/>
    </row>
    <row r="222">
      <c r="A222" s="21" t="n"/>
      <c r="D222" s="6" t="n"/>
      <c r="E222" s="6" t="n"/>
      <c r="I222" s="21" t="n"/>
      <c r="L222" s="6" t="n"/>
    </row>
    <row r="223">
      <c r="A223" s="21" t="n"/>
      <c r="D223" s="6" t="n"/>
      <c r="E223" s="6" t="n"/>
      <c r="I223" s="21" t="n"/>
      <c r="L223" s="6" t="n"/>
    </row>
    <row r="224">
      <c r="A224" s="21" t="n"/>
      <c r="D224" s="6" t="n"/>
      <c r="E224" s="6" t="n"/>
      <c r="I224" s="21" t="n"/>
      <c r="L224" s="6" t="n"/>
    </row>
    <row r="225">
      <c r="A225" s="21" t="n"/>
      <c r="D225" s="6" t="n"/>
      <c r="E225" s="6" t="n"/>
      <c r="I225" s="21" t="n"/>
      <c r="L225" s="6" t="n"/>
    </row>
    <row r="226">
      <c r="A226" s="21" t="n"/>
      <c r="D226" s="6" t="n"/>
      <c r="E226" s="6" t="n"/>
      <c r="I226" s="21" t="n"/>
      <c r="L226" s="6" t="n"/>
    </row>
    <row r="227">
      <c r="A227" s="21" t="n"/>
      <c r="D227" s="6" t="n"/>
      <c r="E227" s="6" t="n"/>
      <c r="I227" s="21" t="n"/>
      <c r="L227" s="6" t="n"/>
    </row>
    <row r="228">
      <c r="A228" s="21" t="n"/>
      <c r="D228" s="6" t="n"/>
      <c r="E228" s="6" t="n"/>
      <c r="I228" s="21" t="n"/>
      <c r="L228" s="6" t="n"/>
    </row>
    <row r="229">
      <c r="A229" s="21" t="n"/>
      <c r="D229" s="6" t="n"/>
      <c r="E229" s="6" t="n"/>
      <c r="I229" s="21" t="n"/>
      <c r="L229" s="6" t="n"/>
    </row>
    <row r="230">
      <c r="A230" s="21" t="n"/>
      <c r="D230" s="6" t="n"/>
      <c r="E230" s="6" t="n"/>
      <c r="I230" s="21" t="n"/>
      <c r="L230" s="6" t="n"/>
    </row>
    <row r="231">
      <c r="A231" s="21" t="n"/>
      <c r="D231" s="6" t="n"/>
      <c r="E231" s="6" t="n"/>
      <c r="I231" s="21" t="n"/>
      <c r="L231" s="6" t="n"/>
    </row>
    <row r="232">
      <c r="A232" s="21" t="n"/>
      <c r="D232" s="6" t="n"/>
      <c r="E232" s="6" t="n"/>
      <c r="I232" s="21" t="n"/>
      <c r="L232" s="6" t="n"/>
    </row>
    <row r="233">
      <c r="A233" s="21" t="n"/>
      <c r="D233" s="6" t="n"/>
      <c r="E233" s="6" t="n"/>
      <c r="I233" s="21" t="n"/>
      <c r="L233" s="6" t="n"/>
    </row>
    <row r="234">
      <c r="A234" s="21" t="n"/>
      <c r="D234" s="6" t="n"/>
      <c r="E234" s="6" t="n"/>
      <c r="I234" s="21" t="n"/>
      <c r="L234" s="6" t="n"/>
    </row>
    <row r="235">
      <c r="A235" s="21" t="n"/>
      <c r="D235" s="6" t="n"/>
      <c r="E235" s="6" t="n"/>
      <c r="I235" s="21" t="n"/>
      <c r="L235" s="6" t="n"/>
    </row>
    <row r="236">
      <c r="A236" s="21" t="n"/>
      <c r="D236" s="6" t="n"/>
      <c r="E236" s="6" t="n"/>
      <c r="I236" s="21" t="n"/>
      <c r="L236" s="6" t="n"/>
    </row>
    <row r="237">
      <c r="A237" s="21" t="n"/>
      <c r="D237" s="6" t="n"/>
      <c r="E237" s="6" t="n"/>
      <c r="I237" s="21" t="n"/>
      <c r="L237" s="6" t="n"/>
    </row>
    <row r="238">
      <c r="A238" s="21" t="n"/>
      <c r="D238" s="6" t="n"/>
      <c r="E238" s="6" t="n"/>
      <c r="I238" s="21" t="n"/>
      <c r="L238" s="6" t="n"/>
    </row>
    <row r="239">
      <c r="A239" s="21" t="n"/>
      <c r="D239" s="6" t="n"/>
      <c r="E239" s="6" t="n"/>
      <c r="I239" s="21" t="n"/>
      <c r="L239" s="6" t="n"/>
    </row>
    <row r="240">
      <c r="A240" s="21" t="n"/>
      <c r="D240" s="6" t="n"/>
      <c r="E240" s="6" t="n"/>
      <c r="I240" s="21" t="n"/>
      <c r="L240" s="6" t="n"/>
    </row>
    <row r="241">
      <c r="A241" s="21" t="n"/>
      <c r="D241" s="6" t="n"/>
      <c r="E241" s="6" t="n"/>
      <c r="I241" s="21" t="n"/>
      <c r="L241" s="6" t="n"/>
    </row>
    <row r="242">
      <c r="A242" s="21" t="n"/>
      <c r="D242" s="6" t="n"/>
      <c r="E242" s="6" t="n"/>
      <c r="I242" s="21" t="n"/>
      <c r="L242" s="6" t="n"/>
    </row>
    <row r="243">
      <c r="A243" s="21" t="n"/>
      <c r="D243" s="6" t="n"/>
      <c r="E243" s="6" t="n"/>
      <c r="I243" s="21" t="n"/>
      <c r="L243" s="6" t="n"/>
    </row>
    <row r="244">
      <c r="A244" s="21" t="n"/>
      <c r="D244" s="6" t="n"/>
      <c r="E244" s="6" t="n"/>
      <c r="I244" s="21" t="n"/>
      <c r="L244" s="6" t="n"/>
    </row>
    <row r="245">
      <c r="A245" s="21" t="n"/>
      <c r="D245" s="6" t="n"/>
      <c r="E245" s="6" t="n"/>
      <c r="I245" s="21" t="n"/>
      <c r="L245" s="6" t="n"/>
    </row>
    <row r="246">
      <c r="A246" s="21" t="n"/>
      <c r="D246" s="6" t="n"/>
      <c r="E246" s="6" t="n"/>
      <c r="I246" s="21" t="n"/>
      <c r="L246" s="6" t="n"/>
    </row>
    <row r="247">
      <c r="A247" s="21" t="n"/>
      <c r="D247" s="6" t="n"/>
      <c r="E247" s="6" t="n"/>
      <c r="I247" s="21" t="n"/>
      <c r="L247" s="6" t="n"/>
    </row>
    <row r="248">
      <c r="A248" s="21" t="n"/>
      <c r="D248" s="6" t="n"/>
      <c r="E248" s="6" t="n"/>
      <c r="I248" s="21" t="n"/>
      <c r="L248" s="6" t="n"/>
    </row>
    <row r="249">
      <c r="A249" s="21" t="n"/>
      <c r="D249" s="6" t="n"/>
      <c r="E249" s="6" t="n"/>
      <c r="I249" s="21" t="n"/>
      <c r="L249" s="6" t="n"/>
    </row>
    <row r="250">
      <c r="A250" s="21" t="n"/>
      <c r="D250" s="6" t="n"/>
      <c r="E250" s="6" t="n"/>
      <c r="I250" s="21" t="n"/>
      <c r="L250" s="6" t="n"/>
    </row>
    <row r="251">
      <c r="A251" s="21" t="n"/>
      <c r="D251" s="6" t="n"/>
      <c r="E251" s="6" t="n"/>
      <c r="I251" s="21" t="n"/>
      <c r="L251" s="6" t="n"/>
    </row>
    <row r="252">
      <c r="A252" s="21" t="n"/>
      <c r="D252" s="6" t="n"/>
      <c r="E252" s="6" t="n"/>
      <c r="I252" s="21" t="n"/>
      <c r="L252" s="6" t="n"/>
    </row>
    <row r="253">
      <c r="A253" s="21" t="n"/>
      <c r="D253" s="6" t="n"/>
      <c r="E253" s="6" t="n"/>
      <c r="I253" s="21" t="n"/>
      <c r="L253" s="6" t="n"/>
    </row>
    <row r="254">
      <c r="A254" s="21" t="n"/>
      <c r="D254" s="6" t="n"/>
      <c r="E254" s="6" t="n"/>
      <c r="I254" s="21" t="n"/>
      <c r="L254" s="6" t="n"/>
    </row>
    <row r="255">
      <c r="A255" s="21" t="n"/>
      <c r="D255" s="6" t="n"/>
      <c r="E255" s="6" t="n"/>
      <c r="I255" s="21" t="n"/>
      <c r="L255" s="6" t="n"/>
    </row>
    <row r="256">
      <c r="A256" s="21" t="n"/>
      <c r="D256" s="6" t="n"/>
      <c r="E256" s="6" t="n"/>
      <c r="I256" s="21" t="n"/>
      <c r="L256" s="6" t="n"/>
    </row>
    <row r="257">
      <c r="A257" s="21" t="n"/>
      <c r="D257" s="6" t="n"/>
      <c r="E257" s="6" t="n"/>
      <c r="I257" s="21" t="n"/>
      <c r="L257" s="6" t="n"/>
    </row>
    <row r="258">
      <c r="A258" s="21" t="n"/>
      <c r="D258" s="6" t="n"/>
      <c r="E258" s="6" t="n"/>
      <c r="I258" s="21" t="n"/>
      <c r="L258" s="6" t="n"/>
    </row>
    <row r="259">
      <c r="A259" s="21" t="n"/>
      <c r="D259" s="6" t="n"/>
      <c r="E259" s="6" t="n"/>
      <c r="I259" s="21" t="n"/>
      <c r="L259" s="6" t="n"/>
    </row>
    <row r="260">
      <c r="A260" s="21" t="n"/>
      <c r="D260" s="6" t="n"/>
      <c r="E260" s="6" t="n"/>
      <c r="I260" s="21" t="n"/>
      <c r="L260" s="6" t="n"/>
    </row>
    <row r="261">
      <c r="A261" s="21" t="n"/>
      <c r="D261" s="6" t="n"/>
      <c r="E261" s="6" t="n"/>
      <c r="I261" s="21" t="n"/>
      <c r="L261" s="6" t="n"/>
    </row>
    <row r="262">
      <c r="A262" s="21" t="n"/>
      <c r="D262" s="6" t="n"/>
      <c r="E262" s="6" t="n"/>
      <c r="I262" s="21" t="n"/>
      <c r="L262" s="6" t="n"/>
    </row>
    <row r="263">
      <c r="A263" s="21" t="n"/>
      <c r="D263" s="6" t="n"/>
      <c r="E263" s="6" t="n"/>
      <c r="I263" s="21" t="n"/>
      <c r="L263" s="6" t="n"/>
    </row>
    <row r="264">
      <c r="A264" s="21" t="n"/>
      <c r="D264" s="6" t="n"/>
      <c r="E264" s="6" t="n"/>
      <c r="I264" s="21" t="n"/>
      <c r="L264" s="6" t="n"/>
    </row>
    <row r="265">
      <c r="A265" s="21" t="n"/>
      <c r="D265" s="6" t="n"/>
      <c r="E265" s="6" t="n"/>
      <c r="I265" s="21" t="n"/>
      <c r="L265" s="6" t="n"/>
    </row>
    <row r="266">
      <c r="A266" s="21" t="n"/>
      <c r="D266" s="6" t="n"/>
      <c r="E266" s="6" t="n"/>
      <c r="I266" s="21" t="n"/>
      <c r="L266" s="6" t="n"/>
    </row>
    <row r="267">
      <c r="A267" s="21" t="n"/>
      <c r="D267" s="6" t="n"/>
      <c r="E267" s="6" t="n"/>
      <c r="I267" s="21" t="n"/>
      <c r="L267" s="6" t="n"/>
    </row>
    <row r="268">
      <c r="A268" s="21" t="n"/>
      <c r="D268" s="6" t="n"/>
      <c r="E268" s="6" t="n"/>
      <c r="I268" s="21" t="n"/>
      <c r="L268" s="6" t="n"/>
    </row>
    <row r="269">
      <c r="A269" s="21" t="n"/>
      <c r="D269" s="6" t="n"/>
      <c r="E269" s="6" t="n"/>
      <c r="I269" s="21" t="n"/>
      <c r="L269" s="6" t="n"/>
    </row>
    <row r="270">
      <c r="A270" s="21" t="n"/>
      <c r="D270" s="6" t="n"/>
      <c r="E270" s="6" t="n"/>
      <c r="I270" s="21" t="n"/>
      <c r="L270" s="6" t="n"/>
    </row>
    <row r="271">
      <c r="A271" s="21" t="n"/>
      <c r="D271" s="6" t="n"/>
      <c r="E271" s="6" t="n"/>
      <c r="I271" s="21" t="n"/>
      <c r="L271" s="6" t="n"/>
    </row>
    <row r="272">
      <c r="A272" s="21" t="n"/>
      <c r="D272" s="6" t="n"/>
      <c r="E272" s="6" t="n"/>
      <c r="I272" s="21" t="n"/>
      <c r="L272" s="6" t="n"/>
    </row>
    <row r="273">
      <c r="A273" s="21" t="n"/>
      <c r="D273" s="6" t="n"/>
      <c r="E273" s="6" t="n"/>
      <c r="I273" s="21" t="n"/>
      <c r="L273" s="6" t="n"/>
    </row>
    <row r="274">
      <c r="A274" s="21" t="n"/>
      <c r="D274" s="6" t="n"/>
      <c r="E274" s="6" t="n"/>
      <c r="I274" s="21" t="n"/>
      <c r="L274" s="6" t="n"/>
    </row>
    <row r="275">
      <c r="A275" s="21" t="n"/>
      <c r="D275" s="6" t="n"/>
      <c r="E275" s="6" t="n"/>
      <c r="I275" s="21" t="n"/>
      <c r="L275" s="6" t="n"/>
    </row>
    <row r="276">
      <c r="A276" s="21" t="n"/>
      <c r="D276" s="6" t="n"/>
      <c r="E276" s="6" t="n"/>
      <c r="I276" s="21" t="n"/>
      <c r="L276" s="6" t="n"/>
    </row>
    <row r="277">
      <c r="A277" s="21" t="n"/>
      <c r="D277" s="6" t="n"/>
      <c r="E277" s="6" t="n"/>
      <c r="I277" s="21" t="n"/>
      <c r="L277" s="6" t="n"/>
    </row>
    <row r="278">
      <c r="A278" s="21" t="n"/>
      <c r="D278" s="6" t="n"/>
      <c r="E278" s="6" t="n"/>
      <c r="I278" s="21" t="n"/>
      <c r="L278" s="6" t="n"/>
    </row>
    <row r="279">
      <c r="A279" s="21" t="n"/>
      <c r="D279" s="6" t="n"/>
      <c r="E279" s="6" t="n"/>
      <c r="I279" s="21" t="n"/>
      <c r="L279" s="6" t="n"/>
    </row>
    <row r="280">
      <c r="A280" s="21" t="n"/>
      <c r="D280" s="6" t="n"/>
      <c r="E280" s="6" t="n"/>
      <c r="I280" s="21" t="n"/>
      <c r="L280" s="6" t="n"/>
    </row>
    <row r="281">
      <c r="A281" s="21" t="n"/>
      <c r="D281" s="6" t="n"/>
      <c r="E281" s="6" t="n"/>
      <c r="I281" s="21" t="n"/>
      <c r="L281" s="6" t="n"/>
    </row>
    <row r="282">
      <c r="A282" s="21" t="n"/>
      <c r="D282" s="6" t="n"/>
      <c r="E282" s="6" t="n"/>
      <c r="I282" s="21" t="n"/>
      <c r="L282" s="6" t="n"/>
    </row>
    <row r="283">
      <c r="A283" s="21" t="n"/>
      <c r="D283" s="6" t="n"/>
      <c r="E283" s="6" t="n"/>
      <c r="I283" s="21" t="n"/>
      <c r="L283" s="6" t="n"/>
    </row>
    <row r="284">
      <c r="A284" s="21" t="n"/>
      <c r="D284" s="6" t="n"/>
      <c r="E284" s="6" t="n"/>
      <c r="I284" s="21" t="n"/>
      <c r="L284" s="6" t="n"/>
    </row>
    <row r="285">
      <c r="A285" s="21" t="n"/>
      <c r="D285" s="6" t="n"/>
      <c r="E285" s="6" t="n"/>
      <c r="I285" s="21" t="n"/>
      <c r="L285" s="6" t="n"/>
    </row>
    <row r="286">
      <c r="A286" s="21" t="n"/>
      <c r="D286" s="6" t="n"/>
      <c r="E286" s="6" t="n"/>
      <c r="I286" s="21" t="n"/>
      <c r="L286" s="6" t="n"/>
    </row>
    <row r="287">
      <c r="A287" s="21" t="n"/>
      <c r="D287" s="6" t="n"/>
      <c r="E287" s="6" t="n"/>
      <c r="I287" s="21" t="n"/>
      <c r="L287" s="6" t="n"/>
    </row>
    <row r="288">
      <c r="A288" s="21" t="n"/>
      <c r="D288" s="6" t="n"/>
      <c r="E288" s="6" t="n"/>
      <c r="I288" s="21" t="n"/>
      <c r="L288" s="6" t="n"/>
    </row>
    <row r="289">
      <c r="A289" s="21" t="n"/>
      <c r="D289" s="6" t="n"/>
      <c r="E289" s="6" t="n"/>
      <c r="I289" s="21" t="n"/>
      <c r="L289" s="6" t="n"/>
    </row>
    <row r="290">
      <c r="A290" s="21" t="n"/>
      <c r="D290" s="6" t="n"/>
      <c r="E290" s="6" t="n"/>
      <c r="I290" s="21" t="n"/>
      <c r="L290" s="6" t="n"/>
    </row>
    <row r="291">
      <c r="A291" s="21" t="n"/>
      <c r="D291" s="6" t="n"/>
      <c r="E291" s="6" t="n"/>
      <c r="I291" s="21" t="n"/>
      <c r="L291" s="6" t="n"/>
    </row>
    <row r="292">
      <c r="A292" s="21" t="n"/>
      <c r="D292" s="6" t="n"/>
      <c r="E292" s="6" t="n"/>
      <c r="I292" s="21" t="n"/>
      <c r="L292" s="6" t="n"/>
    </row>
    <row r="293">
      <c r="A293" s="21" t="n"/>
      <c r="D293" s="6" t="n"/>
      <c r="E293" s="6" t="n"/>
      <c r="I293" s="21" t="n"/>
      <c r="L293" s="6" t="n"/>
    </row>
    <row r="294">
      <c r="A294" s="21" t="n"/>
      <c r="D294" s="6" t="n"/>
      <c r="E294" s="6" t="n"/>
      <c r="I294" s="21" t="n"/>
      <c r="L294" s="6" t="n"/>
    </row>
    <row r="295">
      <c r="A295" s="21" t="n"/>
      <c r="D295" s="6" t="n"/>
      <c r="E295" s="6" t="n"/>
      <c r="I295" s="21" t="n"/>
      <c r="L295" s="6" t="n"/>
    </row>
    <row r="296">
      <c r="A296" s="21" t="n"/>
      <c r="D296" s="6" t="n"/>
      <c r="E296" s="6" t="n"/>
      <c r="I296" s="21" t="n"/>
      <c r="L296" s="6" t="n"/>
    </row>
    <row r="297">
      <c r="A297" s="21" t="n"/>
      <c r="D297" s="6" t="n"/>
      <c r="E297" s="6" t="n"/>
      <c r="I297" s="21" t="n"/>
      <c r="L297" s="6" t="n"/>
    </row>
    <row r="298">
      <c r="A298" s="21" t="n"/>
      <c r="D298" s="6" t="n"/>
      <c r="E298" s="6" t="n"/>
      <c r="I298" s="21" t="n"/>
      <c r="L298" s="6" t="n"/>
    </row>
    <row r="299">
      <c r="A299" s="21" t="n"/>
      <c r="D299" s="6" t="n"/>
      <c r="E299" s="6" t="n"/>
      <c r="I299" s="21" t="n"/>
      <c r="L299" s="6" t="n"/>
    </row>
    <row r="300">
      <c r="A300" s="21" t="n"/>
      <c r="D300" s="6" t="n"/>
      <c r="E300" s="6" t="n"/>
      <c r="I300" s="21" t="n"/>
      <c r="L300" s="6" t="n"/>
    </row>
    <row r="301">
      <c r="A301" s="21" t="n"/>
      <c r="D301" s="6" t="n"/>
      <c r="E301" s="6" t="n"/>
      <c r="I301" s="21" t="n"/>
      <c r="L301" s="6" t="n"/>
    </row>
    <row r="302">
      <c r="A302" s="21" t="n"/>
      <c r="D302" s="6" t="n"/>
      <c r="E302" s="6" t="n"/>
      <c r="I302" s="21" t="n"/>
      <c r="L302" s="6" t="n"/>
    </row>
    <row r="303">
      <c r="A303" s="21" t="n"/>
      <c r="D303" s="6" t="n"/>
      <c r="E303" s="6" t="n"/>
      <c r="I303" s="21" t="n"/>
      <c r="L303" s="6" t="n"/>
    </row>
  </sheetData>
  <autoFilter ref="A3:L303"/>
  <conditionalFormatting sqref="J4:J303">
    <cfRule type="cellIs" priority="1" operator="equal" dxfId="1">
      <formula>"No"</formula>
    </cfRule>
  </conditionalFormatting>
  <dataValidations count="3">
    <dataValidation sqref="B4:B303" showDropDown="0" showInputMessage="0" showErrorMessage="0" allowBlank="1" error="Pick a value from the list." type="list" errorStyle="warning">
      <formula1>=Lists!$J$2:$J$7</formula1>
    </dataValidation>
    <dataValidation sqref="G4:G303" showDropDown="0" showInputMessage="0" showErrorMessage="0" allowBlank="1" error="Pick a value from the list." type="list" errorStyle="warning">
      <formula1>='Packages'!$B$4:$B$33</formula1>
    </dataValidation>
    <dataValidation sqref="J4:J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26" customWidth="1" min="3" max="3"/>
    <col width="14" customWidth="1" min="4" max="4"/>
    <col width="11" customWidth="1" min="5" max="5"/>
    <col width="40" customWidth="1" min="6" max="6"/>
    <col width="26" customWidth="1" min="7" max="7"/>
    <col width="30" customWidth="1" min="8" max="8"/>
    <col width="28" customWidth="1" min="9" max="9"/>
  </cols>
  <sheetData>
    <row r="1" ht="24" customHeight="1">
      <c r="A1" s="1" t="inlineStr">
        <is>
          <t>Site photo log</t>
        </is>
      </c>
    </row>
    <row r="2">
      <c r="A2" s="2" t="inlineStr">
        <is>
          <t>Photograph everything before it's covered: slab mesh, frame, plumbing, insulation, waterproofing. Save the files in 06 Site Diary &amp; Photos and log them here.</t>
        </is>
      </c>
    </row>
    <row r="3" ht="32" customHeight="1">
      <c r="A3" s="19" t="inlineStr">
        <is>
          <t>Date</t>
        </is>
      </c>
      <c r="B3" s="19" t="inlineStr">
        <is>
          <t>Stage</t>
        </is>
      </c>
      <c r="C3" s="19" t="inlineStr">
        <is>
          <t>Location / element</t>
        </is>
      </c>
      <c r="D3" s="19" t="inlineStr">
        <is>
          <t>Hold point</t>
        </is>
      </c>
      <c r="E3" s="19" t="inlineStr">
        <is>
          <t>Before covering?</t>
        </is>
      </c>
      <c r="F3" s="19" t="inlineStr">
        <is>
          <t>Description</t>
        </is>
      </c>
      <c r="G3" s="19" t="inlineStr">
        <is>
          <t>Doc ID / file name</t>
        </is>
      </c>
      <c r="H3" s="19" t="inlineStr">
        <is>
          <t>Drive link</t>
        </is>
      </c>
      <c r="I3" s="19" t="inlineStr">
        <is>
          <t>Notes</t>
        </is>
      </c>
    </row>
    <row r="4">
      <c r="A4" s="28" t="n"/>
      <c r="B4" s="22" t="inlineStr">
        <is>
          <t>G4</t>
        </is>
      </c>
      <c r="C4" s="22" t="inlineStr">
        <is>
          <t>Slab, north side</t>
        </is>
      </c>
      <c r="D4" s="22" t="inlineStr">
        <is>
          <t>Pre-slab</t>
        </is>
      </c>
      <c r="E4" s="22" t="inlineStr">
        <is>
          <t>Yes</t>
        </is>
      </c>
      <c r="F4" s="25" t="inlineStr">
        <is>
          <t>Mesh, bar chairs and edge beam before pour</t>
        </is>
      </c>
      <c r="G4" s="22" t="inlineStr">
        <is>
          <t>06-PHO-001_Slab-mesh-north</t>
        </is>
      </c>
      <c r="H4" s="22" t="n"/>
      <c r="I4" s="25" t="inlineStr">
        <is>
          <t>EXAMPLE: delete this row</t>
        </is>
      </c>
    </row>
    <row r="5">
      <c r="A5" s="21" t="n"/>
      <c r="F5" s="6" t="n"/>
      <c r="I5" s="6" t="n"/>
    </row>
    <row r="6">
      <c r="A6" s="21" t="n"/>
      <c r="F6" s="6" t="n"/>
      <c r="I6" s="6" t="n"/>
    </row>
    <row r="7">
      <c r="A7" s="21" t="n"/>
      <c r="F7" s="6" t="n"/>
      <c r="I7" s="6" t="n"/>
    </row>
    <row r="8">
      <c r="A8" s="21" t="n"/>
      <c r="F8" s="6" t="n"/>
      <c r="I8" s="6" t="n"/>
    </row>
    <row r="9">
      <c r="A9" s="21" t="n"/>
      <c r="F9" s="6" t="n"/>
      <c r="I9" s="6" t="n"/>
    </row>
    <row r="10">
      <c r="A10" s="21" t="n"/>
      <c r="F10" s="6" t="n"/>
      <c r="I10" s="6" t="n"/>
    </row>
    <row r="11">
      <c r="A11" s="21" t="n"/>
      <c r="F11" s="6" t="n"/>
      <c r="I11" s="6" t="n"/>
    </row>
    <row r="12">
      <c r="A12" s="21" t="n"/>
      <c r="F12" s="6" t="n"/>
      <c r="I12" s="6" t="n"/>
    </row>
    <row r="13">
      <c r="A13" s="21" t="n"/>
      <c r="F13" s="6" t="n"/>
      <c r="I13" s="6" t="n"/>
    </row>
    <row r="14">
      <c r="A14" s="21" t="n"/>
      <c r="F14" s="6" t="n"/>
      <c r="I14" s="6" t="n"/>
    </row>
    <row r="15">
      <c r="A15" s="21" t="n"/>
      <c r="F15" s="6" t="n"/>
      <c r="I15" s="6" t="n"/>
    </row>
    <row r="16">
      <c r="A16" s="21" t="n"/>
      <c r="F16" s="6" t="n"/>
      <c r="I16" s="6" t="n"/>
    </row>
    <row r="17">
      <c r="A17" s="21" t="n"/>
      <c r="F17" s="6" t="n"/>
      <c r="I17" s="6" t="n"/>
    </row>
    <row r="18">
      <c r="A18" s="21" t="n"/>
      <c r="F18" s="6" t="n"/>
      <c r="I18" s="6" t="n"/>
    </row>
    <row r="19">
      <c r="A19" s="21" t="n"/>
      <c r="F19" s="6" t="n"/>
      <c r="I19" s="6" t="n"/>
    </row>
    <row r="20">
      <c r="A20" s="21" t="n"/>
      <c r="F20" s="6" t="n"/>
      <c r="I20" s="6" t="n"/>
    </row>
    <row r="21">
      <c r="A21" s="21" t="n"/>
      <c r="F21" s="6" t="n"/>
      <c r="I21" s="6" t="n"/>
    </row>
    <row r="22">
      <c r="A22" s="21" t="n"/>
      <c r="F22" s="6" t="n"/>
      <c r="I22" s="6" t="n"/>
    </row>
    <row r="23">
      <c r="A23" s="21" t="n"/>
      <c r="F23" s="6" t="n"/>
      <c r="I23" s="6" t="n"/>
    </row>
    <row r="24">
      <c r="A24" s="21" t="n"/>
      <c r="F24" s="6" t="n"/>
      <c r="I24" s="6" t="n"/>
    </row>
    <row r="25">
      <c r="A25" s="21" t="n"/>
      <c r="F25" s="6" t="n"/>
      <c r="I25" s="6" t="n"/>
    </row>
    <row r="26">
      <c r="A26" s="21" t="n"/>
      <c r="F26" s="6" t="n"/>
      <c r="I26" s="6" t="n"/>
    </row>
    <row r="27">
      <c r="A27" s="21" t="n"/>
      <c r="F27" s="6" t="n"/>
      <c r="I27" s="6" t="n"/>
    </row>
    <row r="28">
      <c r="A28" s="21" t="n"/>
      <c r="F28" s="6" t="n"/>
      <c r="I28" s="6" t="n"/>
    </row>
    <row r="29">
      <c r="A29" s="21" t="n"/>
      <c r="F29" s="6" t="n"/>
      <c r="I29" s="6" t="n"/>
    </row>
    <row r="30">
      <c r="A30" s="21" t="n"/>
      <c r="F30" s="6" t="n"/>
      <c r="I30" s="6" t="n"/>
    </row>
    <row r="31">
      <c r="A31" s="21" t="n"/>
      <c r="F31" s="6" t="n"/>
      <c r="I31" s="6" t="n"/>
    </row>
    <row r="32">
      <c r="A32" s="21" t="n"/>
      <c r="F32" s="6" t="n"/>
      <c r="I32" s="6" t="n"/>
    </row>
    <row r="33">
      <c r="A33" s="21" t="n"/>
      <c r="F33" s="6" t="n"/>
      <c r="I33" s="6" t="n"/>
    </row>
    <row r="34">
      <c r="A34" s="21" t="n"/>
      <c r="F34" s="6" t="n"/>
      <c r="I34" s="6" t="n"/>
    </row>
    <row r="35">
      <c r="A35" s="21" t="n"/>
      <c r="F35" s="6" t="n"/>
      <c r="I35" s="6" t="n"/>
    </row>
    <row r="36">
      <c r="A36" s="21" t="n"/>
      <c r="F36" s="6" t="n"/>
      <c r="I36" s="6" t="n"/>
    </row>
    <row r="37">
      <c r="A37" s="21" t="n"/>
      <c r="F37" s="6" t="n"/>
      <c r="I37" s="6" t="n"/>
    </row>
    <row r="38">
      <c r="A38" s="21" t="n"/>
      <c r="F38" s="6" t="n"/>
      <c r="I38" s="6" t="n"/>
    </row>
    <row r="39">
      <c r="A39" s="21" t="n"/>
      <c r="F39" s="6" t="n"/>
      <c r="I39" s="6" t="n"/>
    </row>
    <row r="40">
      <c r="A40" s="21" t="n"/>
      <c r="F40" s="6" t="n"/>
      <c r="I40" s="6" t="n"/>
    </row>
    <row r="41">
      <c r="A41" s="21" t="n"/>
      <c r="F41" s="6" t="n"/>
      <c r="I41" s="6" t="n"/>
    </row>
    <row r="42">
      <c r="A42" s="21" t="n"/>
      <c r="F42" s="6" t="n"/>
      <c r="I42" s="6" t="n"/>
    </row>
    <row r="43">
      <c r="A43" s="21" t="n"/>
      <c r="F43" s="6" t="n"/>
      <c r="I43" s="6" t="n"/>
    </row>
    <row r="44">
      <c r="A44" s="21" t="n"/>
      <c r="F44" s="6" t="n"/>
      <c r="I44" s="6" t="n"/>
    </row>
    <row r="45">
      <c r="A45" s="21" t="n"/>
      <c r="F45" s="6" t="n"/>
      <c r="I45" s="6" t="n"/>
    </row>
    <row r="46">
      <c r="A46" s="21" t="n"/>
      <c r="F46" s="6" t="n"/>
      <c r="I46" s="6" t="n"/>
    </row>
    <row r="47">
      <c r="A47" s="21" t="n"/>
      <c r="F47" s="6" t="n"/>
      <c r="I47" s="6" t="n"/>
    </row>
    <row r="48">
      <c r="A48" s="21" t="n"/>
      <c r="F48" s="6" t="n"/>
      <c r="I48" s="6" t="n"/>
    </row>
    <row r="49">
      <c r="A49" s="21" t="n"/>
      <c r="F49" s="6" t="n"/>
      <c r="I49" s="6" t="n"/>
    </row>
    <row r="50">
      <c r="A50" s="21" t="n"/>
      <c r="F50" s="6" t="n"/>
      <c r="I50" s="6" t="n"/>
    </row>
    <row r="51">
      <c r="A51" s="21" t="n"/>
      <c r="F51" s="6" t="n"/>
      <c r="I51" s="6" t="n"/>
    </row>
    <row r="52">
      <c r="A52" s="21" t="n"/>
      <c r="F52" s="6" t="n"/>
      <c r="I52" s="6" t="n"/>
    </row>
    <row r="53">
      <c r="A53" s="21" t="n"/>
      <c r="F53" s="6" t="n"/>
      <c r="I53" s="6" t="n"/>
    </row>
    <row r="54">
      <c r="A54" s="21" t="n"/>
      <c r="F54" s="6" t="n"/>
      <c r="I54" s="6" t="n"/>
    </row>
    <row r="55">
      <c r="A55" s="21" t="n"/>
      <c r="F55" s="6" t="n"/>
      <c r="I55" s="6" t="n"/>
    </row>
    <row r="56">
      <c r="A56" s="21" t="n"/>
      <c r="F56" s="6" t="n"/>
      <c r="I56" s="6" t="n"/>
    </row>
    <row r="57">
      <c r="A57" s="21" t="n"/>
      <c r="F57" s="6" t="n"/>
      <c r="I57" s="6" t="n"/>
    </row>
    <row r="58">
      <c r="A58" s="21" t="n"/>
      <c r="F58" s="6" t="n"/>
      <c r="I58" s="6" t="n"/>
    </row>
    <row r="59">
      <c r="A59" s="21" t="n"/>
      <c r="F59" s="6" t="n"/>
      <c r="I59" s="6" t="n"/>
    </row>
    <row r="60">
      <c r="A60" s="21" t="n"/>
      <c r="F60" s="6" t="n"/>
      <c r="I60" s="6" t="n"/>
    </row>
    <row r="61">
      <c r="A61" s="21" t="n"/>
      <c r="F61" s="6" t="n"/>
      <c r="I61" s="6" t="n"/>
    </row>
    <row r="62">
      <c r="A62" s="21" t="n"/>
      <c r="F62" s="6" t="n"/>
      <c r="I62" s="6" t="n"/>
    </row>
    <row r="63">
      <c r="A63" s="21" t="n"/>
      <c r="F63" s="6" t="n"/>
      <c r="I63" s="6" t="n"/>
    </row>
    <row r="64">
      <c r="A64" s="21" t="n"/>
      <c r="F64" s="6" t="n"/>
      <c r="I64" s="6" t="n"/>
    </row>
    <row r="65">
      <c r="A65" s="21" t="n"/>
      <c r="F65" s="6" t="n"/>
      <c r="I65" s="6" t="n"/>
    </row>
    <row r="66">
      <c r="A66" s="21" t="n"/>
      <c r="F66" s="6" t="n"/>
      <c r="I66" s="6" t="n"/>
    </row>
    <row r="67">
      <c r="A67" s="21" t="n"/>
      <c r="F67" s="6" t="n"/>
      <c r="I67" s="6" t="n"/>
    </row>
    <row r="68">
      <c r="A68" s="21" t="n"/>
      <c r="F68" s="6" t="n"/>
      <c r="I68" s="6" t="n"/>
    </row>
    <row r="69">
      <c r="A69" s="21" t="n"/>
      <c r="F69" s="6" t="n"/>
      <c r="I69" s="6" t="n"/>
    </row>
    <row r="70">
      <c r="A70" s="21" t="n"/>
      <c r="F70" s="6" t="n"/>
      <c r="I70" s="6" t="n"/>
    </row>
    <row r="71">
      <c r="A71" s="21" t="n"/>
      <c r="F71" s="6" t="n"/>
      <c r="I71" s="6" t="n"/>
    </row>
    <row r="72">
      <c r="A72" s="21" t="n"/>
      <c r="F72" s="6" t="n"/>
      <c r="I72" s="6" t="n"/>
    </row>
    <row r="73">
      <c r="A73" s="21" t="n"/>
      <c r="F73" s="6" t="n"/>
      <c r="I73" s="6" t="n"/>
    </row>
    <row r="74">
      <c r="A74" s="21" t="n"/>
      <c r="F74" s="6" t="n"/>
      <c r="I74" s="6" t="n"/>
    </row>
    <row r="75">
      <c r="A75" s="21" t="n"/>
      <c r="F75" s="6" t="n"/>
      <c r="I75" s="6" t="n"/>
    </row>
    <row r="76">
      <c r="A76" s="21" t="n"/>
      <c r="F76" s="6" t="n"/>
      <c r="I76" s="6" t="n"/>
    </row>
    <row r="77">
      <c r="A77" s="21" t="n"/>
      <c r="F77" s="6" t="n"/>
      <c r="I77" s="6" t="n"/>
    </row>
    <row r="78">
      <c r="A78" s="21" t="n"/>
      <c r="F78" s="6" t="n"/>
      <c r="I78" s="6" t="n"/>
    </row>
    <row r="79">
      <c r="A79" s="21" t="n"/>
      <c r="F79" s="6" t="n"/>
      <c r="I79" s="6" t="n"/>
    </row>
    <row r="80">
      <c r="A80" s="21" t="n"/>
      <c r="F80" s="6" t="n"/>
      <c r="I80" s="6" t="n"/>
    </row>
    <row r="81">
      <c r="A81" s="21" t="n"/>
      <c r="F81" s="6" t="n"/>
      <c r="I81" s="6" t="n"/>
    </row>
    <row r="82">
      <c r="A82" s="21" t="n"/>
      <c r="F82" s="6" t="n"/>
      <c r="I82" s="6" t="n"/>
    </row>
    <row r="83">
      <c r="A83" s="21" t="n"/>
      <c r="F83" s="6" t="n"/>
      <c r="I83" s="6" t="n"/>
    </row>
    <row r="84">
      <c r="A84" s="21" t="n"/>
      <c r="F84" s="6" t="n"/>
      <c r="I84" s="6" t="n"/>
    </row>
    <row r="85">
      <c r="A85" s="21" t="n"/>
      <c r="F85" s="6" t="n"/>
      <c r="I85" s="6" t="n"/>
    </row>
    <row r="86">
      <c r="A86" s="21" t="n"/>
      <c r="F86" s="6" t="n"/>
      <c r="I86" s="6" t="n"/>
    </row>
    <row r="87">
      <c r="A87" s="21" t="n"/>
      <c r="F87" s="6" t="n"/>
      <c r="I87" s="6" t="n"/>
    </row>
    <row r="88">
      <c r="A88" s="21" t="n"/>
      <c r="F88" s="6" t="n"/>
      <c r="I88" s="6" t="n"/>
    </row>
    <row r="89">
      <c r="A89" s="21" t="n"/>
      <c r="F89" s="6" t="n"/>
      <c r="I89" s="6" t="n"/>
    </row>
    <row r="90">
      <c r="A90" s="21" t="n"/>
      <c r="F90" s="6" t="n"/>
      <c r="I90" s="6" t="n"/>
    </row>
    <row r="91">
      <c r="A91" s="21" t="n"/>
      <c r="F91" s="6" t="n"/>
      <c r="I91" s="6" t="n"/>
    </row>
    <row r="92">
      <c r="A92" s="21" t="n"/>
      <c r="F92" s="6" t="n"/>
      <c r="I92" s="6" t="n"/>
    </row>
    <row r="93">
      <c r="A93" s="21" t="n"/>
      <c r="F93" s="6" t="n"/>
      <c r="I93" s="6" t="n"/>
    </row>
    <row r="94">
      <c r="A94" s="21" t="n"/>
      <c r="F94" s="6" t="n"/>
      <c r="I94" s="6" t="n"/>
    </row>
    <row r="95">
      <c r="A95" s="21" t="n"/>
      <c r="F95" s="6" t="n"/>
      <c r="I95" s="6" t="n"/>
    </row>
    <row r="96">
      <c r="A96" s="21" t="n"/>
      <c r="F96" s="6" t="n"/>
      <c r="I96" s="6" t="n"/>
    </row>
    <row r="97">
      <c r="A97" s="21" t="n"/>
      <c r="F97" s="6" t="n"/>
      <c r="I97" s="6" t="n"/>
    </row>
    <row r="98">
      <c r="A98" s="21" t="n"/>
      <c r="F98" s="6" t="n"/>
      <c r="I98" s="6" t="n"/>
    </row>
    <row r="99">
      <c r="A99" s="21" t="n"/>
      <c r="F99" s="6" t="n"/>
      <c r="I99" s="6" t="n"/>
    </row>
    <row r="100">
      <c r="A100" s="21" t="n"/>
      <c r="F100" s="6" t="n"/>
      <c r="I100" s="6" t="n"/>
    </row>
    <row r="101">
      <c r="A101" s="21" t="n"/>
      <c r="F101" s="6" t="n"/>
      <c r="I101" s="6" t="n"/>
    </row>
    <row r="102">
      <c r="A102" s="21" t="n"/>
      <c r="F102" s="6" t="n"/>
      <c r="I102" s="6" t="n"/>
    </row>
    <row r="103">
      <c r="A103" s="21" t="n"/>
      <c r="F103" s="6" t="n"/>
      <c r="I103" s="6" t="n"/>
    </row>
    <row r="104">
      <c r="A104" s="21" t="n"/>
      <c r="F104" s="6" t="n"/>
      <c r="I104" s="6" t="n"/>
    </row>
    <row r="105">
      <c r="A105" s="21" t="n"/>
      <c r="F105" s="6" t="n"/>
      <c r="I105" s="6" t="n"/>
    </row>
    <row r="106">
      <c r="A106" s="21" t="n"/>
      <c r="F106" s="6" t="n"/>
      <c r="I106" s="6" t="n"/>
    </row>
    <row r="107">
      <c r="A107" s="21" t="n"/>
      <c r="F107" s="6" t="n"/>
      <c r="I107" s="6" t="n"/>
    </row>
    <row r="108">
      <c r="A108" s="21" t="n"/>
      <c r="F108" s="6" t="n"/>
      <c r="I108" s="6" t="n"/>
    </row>
    <row r="109">
      <c r="A109" s="21" t="n"/>
      <c r="F109" s="6" t="n"/>
      <c r="I109" s="6" t="n"/>
    </row>
    <row r="110">
      <c r="A110" s="21" t="n"/>
      <c r="F110" s="6" t="n"/>
      <c r="I110" s="6" t="n"/>
    </row>
    <row r="111">
      <c r="A111" s="21" t="n"/>
      <c r="F111" s="6" t="n"/>
      <c r="I111" s="6" t="n"/>
    </row>
    <row r="112">
      <c r="A112" s="21" t="n"/>
      <c r="F112" s="6" t="n"/>
      <c r="I112" s="6" t="n"/>
    </row>
    <row r="113">
      <c r="A113" s="21" t="n"/>
      <c r="F113" s="6" t="n"/>
      <c r="I113" s="6" t="n"/>
    </row>
    <row r="114">
      <c r="A114" s="21" t="n"/>
      <c r="F114" s="6" t="n"/>
      <c r="I114" s="6" t="n"/>
    </row>
    <row r="115">
      <c r="A115" s="21" t="n"/>
      <c r="F115" s="6" t="n"/>
      <c r="I115" s="6" t="n"/>
    </row>
    <row r="116">
      <c r="A116" s="21" t="n"/>
      <c r="F116" s="6" t="n"/>
      <c r="I116" s="6" t="n"/>
    </row>
    <row r="117">
      <c r="A117" s="21" t="n"/>
      <c r="F117" s="6" t="n"/>
      <c r="I117" s="6" t="n"/>
    </row>
    <row r="118">
      <c r="A118" s="21" t="n"/>
      <c r="F118" s="6" t="n"/>
      <c r="I118" s="6" t="n"/>
    </row>
    <row r="119">
      <c r="A119" s="21" t="n"/>
      <c r="F119" s="6" t="n"/>
      <c r="I119" s="6" t="n"/>
    </row>
    <row r="120">
      <c r="A120" s="21" t="n"/>
      <c r="F120" s="6" t="n"/>
      <c r="I120" s="6" t="n"/>
    </row>
    <row r="121">
      <c r="A121" s="21" t="n"/>
      <c r="F121" s="6" t="n"/>
      <c r="I121" s="6" t="n"/>
    </row>
    <row r="122">
      <c r="A122" s="21" t="n"/>
      <c r="F122" s="6" t="n"/>
      <c r="I122" s="6" t="n"/>
    </row>
    <row r="123">
      <c r="A123" s="21" t="n"/>
      <c r="F123" s="6" t="n"/>
      <c r="I123" s="6" t="n"/>
    </row>
    <row r="124">
      <c r="A124" s="21" t="n"/>
      <c r="F124" s="6" t="n"/>
      <c r="I124" s="6" t="n"/>
    </row>
    <row r="125">
      <c r="A125" s="21" t="n"/>
      <c r="F125" s="6" t="n"/>
      <c r="I125" s="6" t="n"/>
    </row>
    <row r="126">
      <c r="A126" s="21" t="n"/>
      <c r="F126" s="6" t="n"/>
      <c r="I126" s="6" t="n"/>
    </row>
    <row r="127">
      <c r="A127" s="21" t="n"/>
      <c r="F127" s="6" t="n"/>
      <c r="I127" s="6" t="n"/>
    </row>
    <row r="128">
      <c r="A128" s="21" t="n"/>
      <c r="F128" s="6" t="n"/>
      <c r="I128" s="6" t="n"/>
    </row>
    <row r="129">
      <c r="A129" s="21" t="n"/>
      <c r="F129" s="6" t="n"/>
      <c r="I129" s="6" t="n"/>
    </row>
    <row r="130">
      <c r="A130" s="21" t="n"/>
      <c r="F130" s="6" t="n"/>
      <c r="I130" s="6" t="n"/>
    </row>
    <row r="131">
      <c r="A131" s="21" t="n"/>
      <c r="F131" s="6" t="n"/>
      <c r="I131" s="6" t="n"/>
    </row>
    <row r="132">
      <c r="A132" s="21" t="n"/>
      <c r="F132" s="6" t="n"/>
      <c r="I132" s="6" t="n"/>
    </row>
    <row r="133">
      <c r="A133" s="21" t="n"/>
      <c r="F133" s="6" t="n"/>
      <c r="I133" s="6" t="n"/>
    </row>
    <row r="134">
      <c r="A134" s="21" t="n"/>
      <c r="F134" s="6" t="n"/>
      <c r="I134" s="6" t="n"/>
    </row>
    <row r="135">
      <c r="A135" s="21" t="n"/>
      <c r="F135" s="6" t="n"/>
      <c r="I135" s="6" t="n"/>
    </row>
    <row r="136">
      <c r="A136" s="21" t="n"/>
      <c r="F136" s="6" t="n"/>
      <c r="I136" s="6" t="n"/>
    </row>
    <row r="137">
      <c r="A137" s="21" t="n"/>
      <c r="F137" s="6" t="n"/>
      <c r="I137" s="6" t="n"/>
    </row>
    <row r="138">
      <c r="A138" s="21" t="n"/>
      <c r="F138" s="6" t="n"/>
      <c r="I138" s="6" t="n"/>
    </row>
    <row r="139">
      <c r="A139" s="21" t="n"/>
      <c r="F139" s="6" t="n"/>
      <c r="I139" s="6" t="n"/>
    </row>
    <row r="140">
      <c r="A140" s="21" t="n"/>
      <c r="F140" s="6" t="n"/>
      <c r="I140" s="6" t="n"/>
    </row>
    <row r="141">
      <c r="A141" s="21" t="n"/>
      <c r="F141" s="6" t="n"/>
      <c r="I141" s="6" t="n"/>
    </row>
    <row r="142">
      <c r="A142" s="21" t="n"/>
      <c r="F142" s="6" t="n"/>
      <c r="I142" s="6" t="n"/>
    </row>
    <row r="143">
      <c r="A143" s="21" t="n"/>
      <c r="F143" s="6" t="n"/>
      <c r="I143" s="6" t="n"/>
    </row>
    <row r="144">
      <c r="A144" s="21" t="n"/>
      <c r="F144" s="6" t="n"/>
      <c r="I144" s="6" t="n"/>
    </row>
    <row r="145">
      <c r="A145" s="21" t="n"/>
      <c r="F145" s="6" t="n"/>
      <c r="I145" s="6" t="n"/>
    </row>
    <row r="146">
      <c r="A146" s="21" t="n"/>
      <c r="F146" s="6" t="n"/>
      <c r="I146" s="6" t="n"/>
    </row>
    <row r="147">
      <c r="A147" s="21" t="n"/>
      <c r="F147" s="6" t="n"/>
      <c r="I147" s="6" t="n"/>
    </row>
    <row r="148">
      <c r="A148" s="21" t="n"/>
      <c r="F148" s="6" t="n"/>
      <c r="I148" s="6" t="n"/>
    </row>
    <row r="149">
      <c r="A149" s="21" t="n"/>
      <c r="F149" s="6" t="n"/>
      <c r="I149" s="6" t="n"/>
    </row>
    <row r="150">
      <c r="A150" s="21" t="n"/>
      <c r="F150" s="6" t="n"/>
      <c r="I150" s="6" t="n"/>
    </row>
    <row r="151">
      <c r="A151" s="21" t="n"/>
      <c r="F151" s="6" t="n"/>
      <c r="I151" s="6" t="n"/>
    </row>
    <row r="152">
      <c r="A152" s="21" t="n"/>
      <c r="F152" s="6" t="n"/>
      <c r="I152" s="6" t="n"/>
    </row>
    <row r="153">
      <c r="A153" s="21" t="n"/>
      <c r="F153" s="6" t="n"/>
      <c r="I153" s="6" t="n"/>
    </row>
    <row r="154">
      <c r="A154" s="21" t="n"/>
      <c r="F154" s="6" t="n"/>
      <c r="I154" s="6" t="n"/>
    </row>
    <row r="155">
      <c r="A155" s="21" t="n"/>
      <c r="F155" s="6" t="n"/>
      <c r="I155" s="6" t="n"/>
    </row>
    <row r="156">
      <c r="A156" s="21" t="n"/>
      <c r="F156" s="6" t="n"/>
      <c r="I156" s="6" t="n"/>
    </row>
    <row r="157">
      <c r="A157" s="21" t="n"/>
      <c r="F157" s="6" t="n"/>
      <c r="I157" s="6" t="n"/>
    </row>
    <row r="158">
      <c r="A158" s="21" t="n"/>
      <c r="F158" s="6" t="n"/>
      <c r="I158" s="6" t="n"/>
    </row>
    <row r="159">
      <c r="A159" s="21" t="n"/>
      <c r="F159" s="6" t="n"/>
      <c r="I159" s="6" t="n"/>
    </row>
    <row r="160">
      <c r="A160" s="21" t="n"/>
      <c r="F160" s="6" t="n"/>
      <c r="I160" s="6" t="n"/>
    </row>
    <row r="161">
      <c r="A161" s="21" t="n"/>
      <c r="F161" s="6" t="n"/>
      <c r="I161" s="6" t="n"/>
    </row>
    <row r="162">
      <c r="A162" s="21" t="n"/>
      <c r="F162" s="6" t="n"/>
      <c r="I162" s="6" t="n"/>
    </row>
    <row r="163">
      <c r="A163" s="21" t="n"/>
      <c r="F163" s="6" t="n"/>
      <c r="I163" s="6" t="n"/>
    </row>
    <row r="164">
      <c r="A164" s="21" t="n"/>
      <c r="F164" s="6" t="n"/>
      <c r="I164" s="6" t="n"/>
    </row>
    <row r="165">
      <c r="A165" s="21" t="n"/>
      <c r="F165" s="6" t="n"/>
      <c r="I165" s="6" t="n"/>
    </row>
    <row r="166">
      <c r="A166" s="21" t="n"/>
      <c r="F166" s="6" t="n"/>
      <c r="I166" s="6" t="n"/>
    </row>
    <row r="167">
      <c r="A167" s="21" t="n"/>
      <c r="F167" s="6" t="n"/>
      <c r="I167" s="6" t="n"/>
    </row>
    <row r="168">
      <c r="A168" s="21" t="n"/>
      <c r="F168" s="6" t="n"/>
      <c r="I168" s="6" t="n"/>
    </row>
    <row r="169">
      <c r="A169" s="21" t="n"/>
      <c r="F169" s="6" t="n"/>
      <c r="I169" s="6" t="n"/>
    </row>
    <row r="170">
      <c r="A170" s="21" t="n"/>
      <c r="F170" s="6" t="n"/>
      <c r="I170" s="6" t="n"/>
    </row>
    <row r="171">
      <c r="A171" s="21" t="n"/>
      <c r="F171" s="6" t="n"/>
      <c r="I171" s="6" t="n"/>
    </row>
    <row r="172">
      <c r="A172" s="21" t="n"/>
      <c r="F172" s="6" t="n"/>
      <c r="I172" s="6" t="n"/>
    </row>
    <row r="173">
      <c r="A173" s="21" t="n"/>
      <c r="F173" s="6" t="n"/>
      <c r="I173" s="6" t="n"/>
    </row>
    <row r="174">
      <c r="A174" s="21" t="n"/>
      <c r="F174" s="6" t="n"/>
      <c r="I174" s="6" t="n"/>
    </row>
    <row r="175">
      <c r="A175" s="21" t="n"/>
      <c r="F175" s="6" t="n"/>
      <c r="I175" s="6" t="n"/>
    </row>
    <row r="176">
      <c r="A176" s="21" t="n"/>
      <c r="F176" s="6" t="n"/>
      <c r="I176" s="6" t="n"/>
    </row>
    <row r="177">
      <c r="A177" s="21" t="n"/>
      <c r="F177" s="6" t="n"/>
      <c r="I177" s="6" t="n"/>
    </row>
    <row r="178">
      <c r="A178" s="21" t="n"/>
      <c r="F178" s="6" t="n"/>
      <c r="I178" s="6" t="n"/>
    </row>
    <row r="179">
      <c r="A179" s="21" t="n"/>
      <c r="F179" s="6" t="n"/>
      <c r="I179" s="6" t="n"/>
    </row>
    <row r="180">
      <c r="A180" s="21" t="n"/>
      <c r="F180" s="6" t="n"/>
      <c r="I180" s="6" t="n"/>
    </row>
    <row r="181">
      <c r="A181" s="21" t="n"/>
      <c r="F181" s="6" t="n"/>
      <c r="I181" s="6" t="n"/>
    </row>
    <row r="182">
      <c r="A182" s="21" t="n"/>
      <c r="F182" s="6" t="n"/>
      <c r="I182" s="6" t="n"/>
    </row>
    <row r="183">
      <c r="A183" s="21" t="n"/>
      <c r="F183" s="6" t="n"/>
      <c r="I183" s="6" t="n"/>
    </row>
    <row r="184">
      <c r="A184" s="21" t="n"/>
      <c r="F184" s="6" t="n"/>
      <c r="I184" s="6" t="n"/>
    </row>
    <row r="185">
      <c r="A185" s="21" t="n"/>
      <c r="F185" s="6" t="n"/>
      <c r="I185" s="6" t="n"/>
    </row>
    <row r="186">
      <c r="A186" s="21" t="n"/>
      <c r="F186" s="6" t="n"/>
      <c r="I186" s="6" t="n"/>
    </row>
    <row r="187">
      <c r="A187" s="21" t="n"/>
      <c r="F187" s="6" t="n"/>
      <c r="I187" s="6" t="n"/>
    </row>
    <row r="188">
      <c r="A188" s="21" t="n"/>
      <c r="F188" s="6" t="n"/>
      <c r="I188" s="6" t="n"/>
    </row>
    <row r="189">
      <c r="A189" s="21" t="n"/>
      <c r="F189" s="6" t="n"/>
      <c r="I189" s="6" t="n"/>
    </row>
    <row r="190">
      <c r="A190" s="21" t="n"/>
      <c r="F190" s="6" t="n"/>
      <c r="I190" s="6" t="n"/>
    </row>
    <row r="191">
      <c r="A191" s="21" t="n"/>
      <c r="F191" s="6" t="n"/>
      <c r="I191" s="6" t="n"/>
    </row>
    <row r="192">
      <c r="A192" s="21" t="n"/>
      <c r="F192" s="6" t="n"/>
      <c r="I192" s="6" t="n"/>
    </row>
    <row r="193">
      <c r="A193" s="21" t="n"/>
      <c r="F193" s="6" t="n"/>
      <c r="I193" s="6" t="n"/>
    </row>
    <row r="194">
      <c r="A194" s="21" t="n"/>
      <c r="F194" s="6" t="n"/>
      <c r="I194" s="6" t="n"/>
    </row>
    <row r="195">
      <c r="A195" s="21" t="n"/>
      <c r="F195" s="6" t="n"/>
      <c r="I195" s="6" t="n"/>
    </row>
    <row r="196">
      <c r="A196" s="21" t="n"/>
      <c r="F196" s="6" t="n"/>
      <c r="I196" s="6" t="n"/>
    </row>
    <row r="197">
      <c r="A197" s="21" t="n"/>
      <c r="F197" s="6" t="n"/>
      <c r="I197" s="6" t="n"/>
    </row>
    <row r="198">
      <c r="A198" s="21" t="n"/>
      <c r="F198" s="6" t="n"/>
      <c r="I198" s="6" t="n"/>
    </row>
    <row r="199">
      <c r="A199" s="21" t="n"/>
      <c r="F199" s="6" t="n"/>
      <c r="I199" s="6" t="n"/>
    </row>
    <row r="200">
      <c r="A200" s="21" t="n"/>
      <c r="F200" s="6" t="n"/>
      <c r="I200" s="6" t="n"/>
    </row>
    <row r="201">
      <c r="A201" s="21" t="n"/>
      <c r="F201" s="6" t="n"/>
      <c r="I201" s="6" t="n"/>
    </row>
    <row r="202">
      <c r="A202" s="21" t="n"/>
      <c r="F202" s="6" t="n"/>
      <c r="I202" s="6" t="n"/>
    </row>
    <row r="203">
      <c r="A203" s="21" t="n"/>
      <c r="F203" s="6" t="n"/>
      <c r="I203" s="6" t="n"/>
    </row>
    <row r="204">
      <c r="A204" s="21" t="n"/>
      <c r="F204" s="6" t="n"/>
      <c r="I204" s="6" t="n"/>
    </row>
    <row r="205">
      <c r="A205" s="21" t="n"/>
      <c r="F205" s="6" t="n"/>
      <c r="I205" s="6" t="n"/>
    </row>
    <row r="206">
      <c r="A206" s="21" t="n"/>
      <c r="F206" s="6" t="n"/>
      <c r="I206" s="6" t="n"/>
    </row>
    <row r="207">
      <c r="A207" s="21" t="n"/>
      <c r="F207" s="6" t="n"/>
      <c r="I207" s="6" t="n"/>
    </row>
    <row r="208">
      <c r="A208" s="21" t="n"/>
      <c r="F208" s="6" t="n"/>
      <c r="I208" s="6" t="n"/>
    </row>
    <row r="209">
      <c r="A209" s="21" t="n"/>
      <c r="F209" s="6" t="n"/>
      <c r="I209" s="6" t="n"/>
    </row>
    <row r="210">
      <c r="A210" s="21" t="n"/>
      <c r="F210" s="6" t="n"/>
      <c r="I210" s="6" t="n"/>
    </row>
    <row r="211">
      <c r="A211" s="21" t="n"/>
      <c r="F211" s="6" t="n"/>
      <c r="I211" s="6" t="n"/>
    </row>
    <row r="212">
      <c r="A212" s="21" t="n"/>
      <c r="F212" s="6" t="n"/>
      <c r="I212" s="6" t="n"/>
    </row>
    <row r="213">
      <c r="A213" s="21" t="n"/>
      <c r="F213" s="6" t="n"/>
      <c r="I213" s="6" t="n"/>
    </row>
    <row r="214">
      <c r="A214" s="21" t="n"/>
      <c r="F214" s="6" t="n"/>
      <c r="I214" s="6" t="n"/>
    </row>
    <row r="215">
      <c r="A215" s="21" t="n"/>
      <c r="F215" s="6" t="n"/>
      <c r="I215" s="6" t="n"/>
    </row>
    <row r="216">
      <c r="A216" s="21" t="n"/>
      <c r="F216" s="6" t="n"/>
      <c r="I216" s="6" t="n"/>
    </row>
    <row r="217">
      <c r="A217" s="21" t="n"/>
      <c r="F217" s="6" t="n"/>
      <c r="I217" s="6" t="n"/>
    </row>
    <row r="218">
      <c r="A218" s="21" t="n"/>
      <c r="F218" s="6" t="n"/>
      <c r="I218" s="6" t="n"/>
    </row>
    <row r="219">
      <c r="A219" s="21" t="n"/>
      <c r="F219" s="6" t="n"/>
      <c r="I219" s="6" t="n"/>
    </row>
    <row r="220">
      <c r="A220" s="21" t="n"/>
      <c r="F220" s="6" t="n"/>
      <c r="I220" s="6" t="n"/>
    </row>
    <row r="221">
      <c r="A221" s="21" t="n"/>
      <c r="F221" s="6" t="n"/>
      <c r="I221" s="6" t="n"/>
    </row>
    <row r="222">
      <c r="A222" s="21" t="n"/>
      <c r="F222" s="6" t="n"/>
      <c r="I222" s="6" t="n"/>
    </row>
    <row r="223">
      <c r="A223" s="21" t="n"/>
      <c r="F223" s="6" t="n"/>
      <c r="I223" s="6" t="n"/>
    </row>
    <row r="224">
      <c r="A224" s="21" t="n"/>
      <c r="F224" s="6" t="n"/>
      <c r="I224" s="6" t="n"/>
    </row>
    <row r="225">
      <c r="A225" s="21" t="n"/>
      <c r="F225" s="6" t="n"/>
      <c r="I225" s="6" t="n"/>
    </row>
    <row r="226">
      <c r="A226" s="21" t="n"/>
      <c r="F226" s="6" t="n"/>
      <c r="I226" s="6" t="n"/>
    </row>
    <row r="227">
      <c r="A227" s="21" t="n"/>
      <c r="F227" s="6" t="n"/>
      <c r="I227" s="6" t="n"/>
    </row>
    <row r="228">
      <c r="A228" s="21" t="n"/>
      <c r="F228" s="6" t="n"/>
      <c r="I228" s="6" t="n"/>
    </row>
    <row r="229">
      <c r="A229" s="21" t="n"/>
      <c r="F229" s="6" t="n"/>
      <c r="I229" s="6" t="n"/>
    </row>
    <row r="230">
      <c r="A230" s="21" t="n"/>
      <c r="F230" s="6" t="n"/>
      <c r="I230" s="6" t="n"/>
    </row>
    <row r="231">
      <c r="A231" s="21" t="n"/>
      <c r="F231" s="6" t="n"/>
      <c r="I231" s="6" t="n"/>
    </row>
    <row r="232">
      <c r="A232" s="21" t="n"/>
      <c r="F232" s="6" t="n"/>
      <c r="I232" s="6" t="n"/>
    </row>
    <row r="233">
      <c r="A233" s="21" t="n"/>
      <c r="F233" s="6" t="n"/>
      <c r="I233" s="6" t="n"/>
    </row>
    <row r="234">
      <c r="A234" s="21" t="n"/>
      <c r="F234" s="6" t="n"/>
      <c r="I234" s="6" t="n"/>
    </row>
    <row r="235">
      <c r="A235" s="21" t="n"/>
      <c r="F235" s="6" t="n"/>
      <c r="I235" s="6" t="n"/>
    </row>
    <row r="236">
      <c r="A236" s="21" t="n"/>
      <c r="F236" s="6" t="n"/>
      <c r="I236" s="6" t="n"/>
    </row>
    <row r="237">
      <c r="A237" s="21" t="n"/>
      <c r="F237" s="6" t="n"/>
      <c r="I237" s="6" t="n"/>
    </row>
    <row r="238">
      <c r="A238" s="21" t="n"/>
      <c r="F238" s="6" t="n"/>
      <c r="I238" s="6" t="n"/>
    </row>
    <row r="239">
      <c r="A239" s="21" t="n"/>
      <c r="F239" s="6" t="n"/>
      <c r="I239" s="6" t="n"/>
    </row>
    <row r="240">
      <c r="A240" s="21" t="n"/>
      <c r="F240" s="6" t="n"/>
      <c r="I240" s="6" t="n"/>
    </row>
    <row r="241">
      <c r="A241" s="21" t="n"/>
      <c r="F241" s="6" t="n"/>
      <c r="I241" s="6" t="n"/>
    </row>
    <row r="242">
      <c r="A242" s="21" t="n"/>
      <c r="F242" s="6" t="n"/>
      <c r="I242" s="6" t="n"/>
    </row>
    <row r="243">
      <c r="A243" s="21" t="n"/>
      <c r="F243" s="6" t="n"/>
      <c r="I243" s="6" t="n"/>
    </row>
    <row r="244">
      <c r="A244" s="21" t="n"/>
      <c r="F244" s="6" t="n"/>
      <c r="I244" s="6" t="n"/>
    </row>
    <row r="245">
      <c r="A245" s="21" t="n"/>
      <c r="F245" s="6" t="n"/>
      <c r="I245" s="6" t="n"/>
    </row>
    <row r="246">
      <c r="A246" s="21" t="n"/>
      <c r="F246" s="6" t="n"/>
      <c r="I246" s="6" t="n"/>
    </row>
    <row r="247">
      <c r="A247" s="21" t="n"/>
      <c r="F247" s="6" t="n"/>
      <c r="I247" s="6" t="n"/>
    </row>
    <row r="248">
      <c r="A248" s="21" t="n"/>
      <c r="F248" s="6" t="n"/>
      <c r="I248" s="6" t="n"/>
    </row>
    <row r="249">
      <c r="A249" s="21" t="n"/>
      <c r="F249" s="6" t="n"/>
      <c r="I249" s="6" t="n"/>
    </row>
    <row r="250">
      <c r="A250" s="21" t="n"/>
      <c r="F250" s="6" t="n"/>
      <c r="I250" s="6" t="n"/>
    </row>
    <row r="251">
      <c r="A251" s="21" t="n"/>
      <c r="F251" s="6" t="n"/>
      <c r="I251" s="6" t="n"/>
    </row>
    <row r="252">
      <c r="A252" s="21" t="n"/>
      <c r="F252" s="6" t="n"/>
      <c r="I252" s="6" t="n"/>
    </row>
    <row r="253">
      <c r="A253" s="21" t="n"/>
      <c r="F253" s="6" t="n"/>
      <c r="I253" s="6" t="n"/>
    </row>
    <row r="254">
      <c r="A254" s="21" t="n"/>
      <c r="F254" s="6" t="n"/>
      <c r="I254" s="6" t="n"/>
    </row>
    <row r="255">
      <c r="A255" s="21" t="n"/>
      <c r="F255" s="6" t="n"/>
      <c r="I255" s="6" t="n"/>
    </row>
    <row r="256">
      <c r="A256" s="21" t="n"/>
      <c r="F256" s="6" t="n"/>
      <c r="I256" s="6" t="n"/>
    </row>
    <row r="257">
      <c r="A257" s="21" t="n"/>
      <c r="F257" s="6" t="n"/>
      <c r="I257" s="6" t="n"/>
    </row>
    <row r="258">
      <c r="A258" s="21" t="n"/>
      <c r="F258" s="6" t="n"/>
      <c r="I258" s="6" t="n"/>
    </row>
    <row r="259">
      <c r="A259" s="21" t="n"/>
      <c r="F259" s="6" t="n"/>
      <c r="I259" s="6" t="n"/>
    </row>
    <row r="260">
      <c r="A260" s="21" t="n"/>
      <c r="F260" s="6" t="n"/>
      <c r="I260" s="6" t="n"/>
    </row>
    <row r="261">
      <c r="A261" s="21" t="n"/>
      <c r="F261" s="6" t="n"/>
      <c r="I261" s="6" t="n"/>
    </row>
    <row r="262">
      <c r="A262" s="21" t="n"/>
      <c r="F262" s="6" t="n"/>
      <c r="I262" s="6" t="n"/>
    </row>
    <row r="263">
      <c r="A263" s="21" t="n"/>
      <c r="F263" s="6" t="n"/>
      <c r="I263" s="6" t="n"/>
    </row>
    <row r="264">
      <c r="A264" s="21" t="n"/>
      <c r="F264" s="6" t="n"/>
      <c r="I264" s="6" t="n"/>
    </row>
    <row r="265">
      <c r="A265" s="21" t="n"/>
      <c r="F265" s="6" t="n"/>
      <c r="I265" s="6" t="n"/>
    </row>
    <row r="266">
      <c r="A266" s="21" t="n"/>
      <c r="F266" s="6" t="n"/>
      <c r="I266" s="6" t="n"/>
    </row>
    <row r="267">
      <c r="A267" s="21" t="n"/>
      <c r="F267" s="6" t="n"/>
      <c r="I267" s="6" t="n"/>
    </row>
    <row r="268">
      <c r="A268" s="21" t="n"/>
      <c r="F268" s="6" t="n"/>
      <c r="I268" s="6" t="n"/>
    </row>
    <row r="269">
      <c r="A269" s="21" t="n"/>
      <c r="F269" s="6" t="n"/>
      <c r="I269" s="6" t="n"/>
    </row>
    <row r="270">
      <c r="A270" s="21" t="n"/>
      <c r="F270" s="6" t="n"/>
      <c r="I270" s="6" t="n"/>
    </row>
    <row r="271">
      <c r="A271" s="21" t="n"/>
      <c r="F271" s="6" t="n"/>
      <c r="I271" s="6" t="n"/>
    </row>
    <row r="272">
      <c r="A272" s="21" t="n"/>
      <c r="F272" s="6" t="n"/>
      <c r="I272" s="6" t="n"/>
    </row>
    <row r="273">
      <c r="A273" s="21" t="n"/>
      <c r="F273" s="6" t="n"/>
      <c r="I273" s="6" t="n"/>
    </row>
    <row r="274">
      <c r="A274" s="21" t="n"/>
      <c r="F274" s="6" t="n"/>
      <c r="I274" s="6" t="n"/>
    </row>
    <row r="275">
      <c r="A275" s="21" t="n"/>
      <c r="F275" s="6" t="n"/>
      <c r="I275" s="6" t="n"/>
    </row>
    <row r="276">
      <c r="A276" s="21" t="n"/>
      <c r="F276" s="6" t="n"/>
      <c r="I276" s="6" t="n"/>
    </row>
    <row r="277">
      <c r="A277" s="21" t="n"/>
      <c r="F277" s="6" t="n"/>
      <c r="I277" s="6" t="n"/>
    </row>
    <row r="278">
      <c r="A278" s="21" t="n"/>
      <c r="F278" s="6" t="n"/>
      <c r="I278" s="6" t="n"/>
    </row>
    <row r="279">
      <c r="A279" s="21" t="n"/>
      <c r="F279" s="6" t="n"/>
      <c r="I279" s="6" t="n"/>
    </row>
    <row r="280">
      <c r="A280" s="21" t="n"/>
      <c r="F280" s="6" t="n"/>
      <c r="I280" s="6" t="n"/>
    </row>
    <row r="281">
      <c r="A281" s="21" t="n"/>
      <c r="F281" s="6" t="n"/>
      <c r="I281" s="6" t="n"/>
    </row>
    <row r="282">
      <c r="A282" s="21" t="n"/>
      <c r="F282" s="6" t="n"/>
      <c r="I282" s="6" t="n"/>
    </row>
    <row r="283">
      <c r="A283" s="21" t="n"/>
      <c r="F283" s="6" t="n"/>
      <c r="I283" s="6" t="n"/>
    </row>
    <row r="284">
      <c r="A284" s="21" t="n"/>
      <c r="F284" s="6" t="n"/>
      <c r="I284" s="6" t="n"/>
    </row>
    <row r="285">
      <c r="A285" s="21" t="n"/>
      <c r="F285" s="6" t="n"/>
      <c r="I285" s="6" t="n"/>
    </row>
    <row r="286">
      <c r="A286" s="21" t="n"/>
      <c r="F286" s="6" t="n"/>
      <c r="I286" s="6" t="n"/>
    </row>
    <row r="287">
      <c r="A287" s="21" t="n"/>
      <c r="F287" s="6" t="n"/>
      <c r="I287" s="6" t="n"/>
    </row>
    <row r="288">
      <c r="A288" s="21" t="n"/>
      <c r="F288" s="6" t="n"/>
      <c r="I288" s="6" t="n"/>
    </row>
    <row r="289">
      <c r="A289" s="21" t="n"/>
      <c r="F289" s="6" t="n"/>
      <c r="I289" s="6" t="n"/>
    </row>
    <row r="290">
      <c r="A290" s="21" t="n"/>
      <c r="F290" s="6" t="n"/>
      <c r="I290" s="6" t="n"/>
    </row>
    <row r="291">
      <c r="A291" s="21" t="n"/>
      <c r="F291" s="6" t="n"/>
      <c r="I291" s="6" t="n"/>
    </row>
    <row r="292">
      <c r="A292" s="21" t="n"/>
      <c r="F292" s="6" t="n"/>
      <c r="I292" s="6" t="n"/>
    </row>
    <row r="293">
      <c r="A293" s="21" t="n"/>
      <c r="F293" s="6" t="n"/>
      <c r="I293" s="6" t="n"/>
    </row>
    <row r="294">
      <c r="A294" s="21" t="n"/>
      <c r="F294" s="6" t="n"/>
      <c r="I294" s="6" t="n"/>
    </row>
    <row r="295">
      <c r="A295" s="21" t="n"/>
      <c r="F295" s="6" t="n"/>
      <c r="I295" s="6" t="n"/>
    </row>
    <row r="296">
      <c r="A296" s="21" t="n"/>
      <c r="F296" s="6" t="n"/>
      <c r="I296" s="6" t="n"/>
    </row>
    <row r="297">
      <c r="A297" s="21" t="n"/>
      <c r="F297" s="6" t="n"/>
      <c r="I297" s="6" t="n"/>
    </row>
    <row r="298">
      <c r="A298" s="21" t="n"/>
      <c r="F298" s="6" t="n"/>
      <c r="I298" s="6" t="n"/>
    </row>
    <row r="299">
      <c r="A299" s="21" t="n"/>
      <c r="F299" s="6" t="n"/>
      <c r="I299" s="6" t="n"/>
    </row>
    <row r="300">
      <c r="A300" s="21" t="n"/>
      <c r="F300" s="6" t="n"/>
      <c r="I300" s="6" t="n"/>
    </row>
    <row r="301">
      <c r="A301" s="21" t="n"/>
      <c r="F301" s="6" t="n"/>
      <c r="I301" s="6" t="n"/>
    </row>
    <row r="302">
      <c r="A302" s="21" t="n"/>
      <c r="F302" s="6" t="n"/>
      <c r="I302" s="6" t="n"/>
    </row>
    <row r="303">
      <c r="A303" s="21" t="n"/>
      <c r="F303" s="6" t="n"/>
      <c r="I303" s="6" t="n"/>
    </row>
  </sheetData>
  <autoFilter ref="A3:I303"/>
  <dataValidations count="3">
    <dataValidation sqref="B4:B303" showDropDown="0" showInputMessage="0" showErrorMessage="0" allowBlank="1" error="Pick a value from the list." type="list" errorStyle="warning">
      <formula1>=Lists!$A$2:$A$9</formula1>
    </dataValidation>
    <dataValidation sqref="D4:D303" showDropDown="0" showInputMessage="0" showErrorMessage="0" allowBlank="1" error="Pick a value from the list." type="list" errorStyle="warning">
      <formula1>=Lists!$K$2:$K$9</formula1>
    </dataValidation>
    <dataValidation sqref="E4:E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6" customWidth="1" min="3" max="3"/>
    <col width="9" customWidth="1" min="4" max="4"/>
    <col width="14" customWidth="1" min="5" max="5"/>
    <col width="34" customWidth="1" min="6" max="6"/>
    <col width="6" customWidth="1" min="7" max="7"/>
    <col width="12" customWidth="1" min="8" max="8"/>
    <col width="18" customWidth="1" min="9" max="9"/>
    <col width="22" customWidth="1" min="10" max="10"/>
    <col width="11" customWidth="1" min="11" max="11"/>
    <col width="8" customWidth="1" min="12" max="12"/>
    <col width="12" customWidth="1" min="13" max="13"/>
    <col width="40" customWidth="1" min="14" max="14"/>
    <col width="38" customWidth="1" min="15" max="15"/>
    <col width="8" customWidth="1" min="16" max="16"/>
    <col width="30" customWidth="1" min="17" max="17"/>
    <col width="28" customWidth="1" min="18" max="18"/>
  </cols>
  <sheetData>
    <row r="1" ht="24" customHeight="1">
      <c r="A1" s="1" t="inlineStr">
        <is>
          <t>Document register</t>
        </is>
      </c>
    </row>
    <row r="2">
      <c r="A2" s="2" t="inlineStr">
        <is>
          <t>Register every plan, permit, quote, contract, certificate and photo set. Pick the folder and type, type the number shown under 'Next free no.', and save the file with the name in column N.</t>
        </is>
      </c>
    </row>
    <row r="3" ht="32" customHeight="1">
      <c r="A3" s="19" t="inlineStr">
        <is>
          <t>Folder</t>
        </is>
      </c>
      <c r="B3" s="19" t="inlineStr">
        <is>
          <t>Type</t>
        </is>
      </c>
      <c r="C3" s="19" t="inlineStr">
        <is>
          <t>No.</t>
        </is>
      </c>
      <c r="D3" s="20" t="inlineStr">
        <is>
          <t>Next free no.</t>
        </is>
      </c>
      <c r="E3" s="20" t="inlineStr">
        <is>
          <t>Doc ID</t>
        </is>
      </c>
      <c r="F3" s="19" t="inlineStr">
        <is>
          <t>Description</t>
        </is>
      </c>
      <c r="G3" s="19" t="inlineStr">
        <is>
          <t>Rev</t>
        </is>
      </c>
      <c r="H3" s="19" t="inlineStr">
        <is>
          <t>Date</t>
        </is>
      </c>
      <c r="I3" s="19" t="inlineStr">
        <is>
          <t>From / issued by</t>
        </is>
      </c>
      <c r="J3" s="19" t="inlineStr">
        <is>
          <t>Trade package</t>
        </is>
      </c>
      <c r="K3" s="19" t="inlineStr">
        <is>
          <t>Status</t>
        </is>
      </c>
      <c r="L3" s="19" t="inlineStr">
        <is>
          <t>Gateway</t>
        </is>
      </c>
      <c r="M3" s="19" t="inlineStr">
        <is>
          <t>Compliance ID</t>
        </is>
      </c>
      <c r="N3" s="20" t="inlineStr">
        <is>
          <t>File name to use</t>
        </is>
      </c>
      <c r="O3" s="20" t="inlineStr">
        <is>
          <t>Save in Drive folder</t>
        </is>
      </c>
      <c r="P3" s="20" t="inlineStr">
        <is>
          <t>Folder</t>
        </is>
      </c>
      <c r="Q3" s="19" t="inlineStr">
        <is>
          <t>File link</t>
        </is>
      </c>
      <c r="R3" s="19" t="inlineStr">
        <is>
          <t>Notes</t>
        </is>
      </c>
    </row>
    <row r="4">
      <c r="A4" s="30" t="inlineStr">
        <is>
          <t>02</t>
        </is>
      </c>
      <c r="B4" s="22" t="inlineStr">
        <is>
          <t>DWG</t>
        </is>
      </c>
      <c r="C4" s="22" t="n">
        <v>1</v>
      </c>
      <c r="D4" s="7">
        <f>IF(OR(A4="",B4=""),"",SUMPRODUCT(MAX((A$4:A$303=A4)*(B$4:B$303=B4)*C$4:C$303))+1)</f>
        <v/>
      </c>
      <c r="E4" s="7">
        <f>IF(OR(A4="",B4="",C4=""),"",A4&amp;"-"&amp;B4&amp;"-"&amp;TEXT(C4,"000"))</f>
        <v/>
      </c>
      <c r="F4" s="25" t="inlineStr">
        <is>
          <t>Floor plan</t>
        </is>
      </c>
      <c r="G4" s="22" t="inlineStr">
        <is>
          <t>C</t>
        </is>
      </c>
      <c r="H4" s="28" t="n"/>
      <c r="I4" s="22" t="inlineStr">
        <is>
          <t>Draftsperson</t>
        </is>
      </c>
      <c r="J4" s="22" t="n"/>
      <c r="K4" s="22" t="inlineStr">
        <is>
          <t>Current</t>
        </is>
      </c>
      <c r="L4" s="22" t="inlineStr">
        <is>
          <t>G2</t>
        </is>
      </c>
      <c r="M4" s="22" t="inlineStr">
        <is>
          <t>de-drawings</t>
        </is>
      </c>
      <c r="N4" s="7">
        <f>IF(E4="","",E4&amp;"_"&amp;SUBSTITUTE(TRIM(F4)," ","-")&amp;IF(G4="","","_Rev"&amp;G4))</f>
        <v/>
      </c>
      <c r="O4" s="7">
        <f>IF(A4="","",IF(K4="Superseded","99 Archive",IFERROR(INDEX('Drive Map'!$B$4:$B$33,MATCH(A4,'Drive Map'!$A$4:$A$33,0)),"")&amp;IF(AND(A4="04",J4&lt;&gt;""),"/"&amp;J4,"")))</f>
        <v/>
      </c>
      <c r="P4" s="7">
        <f>IF(O4="","",IF(IFERROR(INDEX('Drive Map'!$G$4:$G$33,MATCH(O4,'Drive Map'!$B$4:$B$33,0))&amp;"","")="","",HYPERLINK(INDEX('Drive Map'!$G$4:$G$33,MATCH(O4,'Drive Map'!$B$4:$B$33,0)),"Open")))</f>
        <v/>
      </c>
      <c r="Q4" s="22" t="n"/>
      <c r="R4" s="25" t="inlineStr">
        <is>
          <t>EXAMPLE: delete this row</t>
        </is>
      </c>
    </row>
    <row r="5">
      <c r="A5" s="31" t="n"/>
      <c r="D5" s="7">
        <f>IF(OR(A5="",B5=""),"",SUMPRODUCT(MAX((A$4:A$303=A5)*(B$4:B$303=B5)*C$4:C$303))+1)</f>
        <v/>
      </c>
      <c r="E5" s="7">
        <f>IF(OR(A5="",B5="",C5=""),"",A5&amp;"-"&amp;B5&amp;"-"&amp;TEXT(C5,"000"))</f>
        <v/>
      </c>
      <c r="F5" s="6" t="n"/>
      <c r="H5" s="21" t="n"/>
      <c r="N5" s="7">
        <f>IF(E5="","",E5&amp;"_"&amp;SUBSTITUTE(TRIM(F5)," ","-")&amp;IF(G5="","","_Rev"&amp;G5))</f>
        <v/>
      </c>
      <c r="O5" s="7">
        <f>IF(A5="","",IF(K5="Superseded","99 Archive",IFERROR(INDEX('Drive Map'!$B$4:$B$33,MATCH(A5,'Drive Map'!$A$4:$A$33,0)),"")&amp;IF(AND(A5="04",J5&lt;&gt;""),"/"&amp;J5,"")))</f>
        <v/>
      </c>
      <c r="P5" s="7">
        <f>IF(O5="","",IF(IFERROR(INDEX('Drive Map'!$G$4:$G$33,MATCH(O5,'Drive Map'!$B$4:$B$33,0))&amp;"","")="","",HYPERLINK(INDEX('Drive Map'!$G$4:$G$33,MATCH(O5,'Drive Map'!$B$4:$B$33,0)),"Open")))</f>
        <v/>
      </c>
      <c r="R5" s="6" t="n"/>
    </row>
    <row r="6">
      <c r="A6" s="31" t="n"/>
      <c r="D6" s="7">
        <f>IF(OR(A6="",B6=""),"",SUMPRODUCT(MAX((A$4:A$303=A6)*(B$4:B$303=B6)*C$4:C$303))+1)</f>
        <v/>
      </c>
      <c r="E6" s="7">
        <f>IF(OR(A6="",B6="",C6=""),"",A6&amp;"-"&amp;B6&amp;"-"&amp;TEXT(C6,"000"))</f>
        <v/>
      </c>
      <c r="F6" s="6" t="n"/>
      <c r="H6" s="21" t="n"/>
      <c r="N6" s="7">
        <f>IF(E6="","",E6&amp;"_"&amp;SUBSTITUTE(TRIM(F6)," ","-")&amp;IF(G6="","","_Rev"&amp;G6))</f>
        <v/>
      </c>
      <c r="O6" s="7">
        <f>IF(A6="","",IF(K6="Superseded","99 Archive",IFERROR(INDEX('Drive Map'!$B$4:$B$33,MATCH(A6,'Drive Map'!$A$4:$A$33,0)),"")&amp;IF(AND(A6="04",J6&lt;&gt;""),"/"&amp;J6,"")))</f>
        <v/>
      </c>
      <c r="P6" s="7">
        <f>IF(O6="","",IF(IFERROR(INDEX('Drive Map'!$G$4:$G$33,MATCH(O6,'Drive Map'!$B$4:$B$33,0))&amp;"","")="","",HYPERLINK(INDEX('Drive Map'!$G$4:$G$33,MATCH(O6,'Drive Map'!$B$4:$B$33,0)),"Open")))</f>
        <v/>
      </c>
      <c r="R6" s="6" t="n"/>
    </row>
    <row r="7">
      <c r="A7" s="31" t="n"/>
      <c r="D7" s="7">
        <f>IF(OR(A7="",B7=""),"",SUMPRODUCT(MAX((A$4:A$303=A7)*(B$4:B$303=B7)*C$4:C$303))+1)</f>
        <v/>
      </c>
      <c r="E7" s="7">
        <f>IF(OR(A7="",B7="",C7=""),"",A7&amp;"-"&amp;B7&amp;"-"&amp;TEXT(C7,"000"))</f>
        <v/>
      </c>
      <c r="F7" s="6" t="n"/>
      <c r="H7" s="21" t="n"/>
      <c r="N7" s="7">
        <f>IF(E7="","",E7&amp;"_"&amp;SUBSTITUTE(TRIM(F7)," ","-")&amp;IF(G7="","","_Rev"&amp;G7))</f>
        <v/>
      </c>
      <c r="O7" s="7">
        <f>IF(A7="","",IF(K7="Superseded","99 Archive",IFERROR(INDEX('Drive Map'!$B$4:$B$33,MATCH(A7,'Drive Map'!$A$4:$A$33,0)),"")&amp;IF(AND(A7="04",J7&lt;&gt;""),"/"&amp;J7,"")))</f>
        <v/>
      </c>
      <c r="P7" s="7">
        <f>IF(O7="","",IF(IFERROR(INDEX('Drive Map'!$G$4:$G$33,MATCH(O7,'Drive Map'!$B$4:$B$33,0))&amp;"","")="","",HYPERLINK(INDEX('Drive Map'!$G$4:$G$33,MATCH(O7,'Drive Map'!$B$4:$B$33,0)),"Open")))</f>
        <v/>
      </c>
      <c r="R7" s="6" t="n"/>
    </row>
    <row r="8">
      <c r="A8" s="31" t="n"/>
      <c r="D8" s="7">
        <f>IF(OR(A8="",B8=""),"",SUMPRODUCT(MAX((A$4:A$303=A8)*(B$4:B$303=B8)*C$4:C$303))+1)</f>
        <v/>
      </c>
      <c r="E8" s="7">
        <f>IF(OR(A8="",B8="",C8=""),"",A8&amp;"-"&amp;B8&amp;"-"&amp;TEXT(C8,"000"))</f>
        <v/>
      </c>
      <c r="F8" s="6" t="n"/>
      <c r="H8" s="21" t="n"/>
      <c r="N8" s="7">
        <f>IF(E8="","",E8&amp;"_"&amp;SUBSTITUTE(TRIM(F8)," ","-")&amp;IF(G8="","","_Rev"&amp;G8))</f>
        <v/>
      </c>
      <c r="O8" s="7">
        <f>IF(A8="","",IF(K8="Superseded","99 Archive",IFERROR(INDEX('Drive Map'!$B$4:$B$33,MATCH(A8,'Drive Map'!$A$4:$A$33,0)),"")&amp;IF(AND(A8="04",J8&lt;&gt;""),"/"&amp;J8,"")))</f>
        <v/>
      </c>
      <c r="P8" s="7">
        <f>IF(O8="","",IF(IFERROR(INDEX('Drive Map'!$G$4:$G$33,MATCH(O8,'Drive Map'!$B$4:$B$33,0))&amp;"","")="","",HYPERLINK(INDEX('Drive Map'!$G$4:$G$33,MATCH(O8,'Drive Map'!$B$4:$B$33,0)),"Open")))</f>
        <v/>
      </c>
      <c r="R8" s="6" t="n"/>
    </row>
    <row r="9">
      <c r="A9" s="31" t="n"/>
      <c r="D9" s="7">
        <f>IF(OR(A9="",B9=""),"",SUMPRODUCT(MAX((A$4:A$303=A9)*(B$4:B$303=B9)*C$4:C$303))+1)</f>
        <v/>
      </c>
      <c r="E9" s="7">
        <f>IF(OR(A9="",B9="",C9=""),"",A9&amp;"-"&amp;B9&amp;"-"&amp;TEXT(C9,"000"))</f>
        <v/>
      </c>
      <c r="F9" s="6" t="n"/>
      <c r="H9" s="21" t="n"/>
      <c r="N9" s="7">
        <f>IF(E9="","",E9&amp;"_"&amp;SUBSTITUTE(TRIM(F9)," ","-")&amp;IF(G9="","","_Rev"&amp;G9))</f>
        <v/>
      </c>
      <c r="O9" s="7">
        <f>IF(A9="","",IF(K9="Superseded","99 Archive",IFERROR(INDEX('Drive Map'!$B$4:$B$33,MATCH(A9,'Drive Map'!$A$4:$A$33,0)),"")&amp;IF(AND(A9="04",J9&lt;&gt;""),"/"&amp;J9,"")))</f>
        <v/>
      </c>
      <c r="P9" s="7">
        <f>IF(O9="","",IF(IFERROR(INDEX('Drive Map'!$G$4:$G$33,MATCH(O9,'Drive Map'!$B$4:$B$33,0))&amp;"","")="","",HYPERLINK(INDEX('Drive Map'!$G$4:$G$33,MATCH(O9,'Drive Map'!$B$4:$B$33,0)),"Open")))</f>
        <v/>
      </c>
      <c r="R9" s="6" t="n"/>
    </row>
    <row r="10">
      <c r="A10" s="31" t="n"/>
      <c r="D10" s="7">
        <f>IF(OR(A10="",B10=""),"",SUMPRODUCT(MAX((A$4:A$303=A10)*(B$4:B$303=B10)*C$4:C$303))+1)</f>
        <v/>
      </c>
      <c r="E10" s="7">
        <f>IF(OR(A10="",B10="",C10=""),"",A10&amp;"-"&amp;B10&amp;"-"&amp;TEXT(C10,"000"))</f>
        <v/>
      </c>
      <c r="F10" s="6" t="n"/>
      <c r="H10" s="21" t="n"/>
      <c r="N10" s="7">
        <f>IF(E10="","",E10&amp;"_"&amp;SUBSTITUTE(TRIM(F10)," ","-")&amp;IF(G10="","","_Rev"&amp;G10))</f>
        <v/>
      </c>
      <c r="O10" s="7">
        <f>IF(A10="","",IF(K10="Superseded","99 Archive",IFERROR(INDEX('Drive Map'!$B$4:$B$33,MATCH(A10,'Drive Map'!$A$4:$A$33,0)),"")&amp;IF(AND(A10="04",J10&lt;&gt;""),"/"&amp;J10,"")))</f>
        <v/>
      </c>
      <c r="P10" s="7">
        <f>IF(O10="","",IF(IFERROR(INDEX('Drive Map'!$G$4:$G$33,MATCH(O10,'Drive Map'!$B$4:$B$33,0))&amp;"","")="","",HYPERLINK(INDEX('Drive Map'!$G$4:$G$33,MATCH(O10,'Drive Map'!$B$4:$B$33,0)),"Open")))</f>
        <v/>
      </c>
      <c r="R10" s="6" t="n"/>
    </row>
    <row r="11">
      <c r="A11" s="31" t="n"/>
      <c r="D11" s="7">
        <f>IF(OR(A11="",B11=""),"",SUMPRODUCT(MAX((A$4:A$303=A11)*(B$4:B$303=B11)*C$4:C$303))+1)</f>
        <v/>
      </c>
      <c r="E11" s="7">
        <f>IF(OR(A11="",B11="",C11=""),"",A11&amp;"-"&amp;B11&amp;"-"&amp;TEXT(C11,"000"))</f>
        <v/>
      </c>
      <c r="F11" s="6" t="n"/>
      <c r="H11" s="21" t="n"/>
      <c r="N11" s="7">
        <f>IF(E11="","",E11&amp;"_"&amp;SUBSTITUTE(TRIM(F11)," ","-")&amp;IF(G11="","","_Rev"&amp;G11))</f>
        <v/>
      </c>
      <c r="O11" s="7">
        <f>IF(A11="","",IF(K11="Superseded","99 Archive",IFERROR(INDEX('Drive Map'!$B$4:$B$33,MATCH(A11,'Drive Map'!$A$4:$A$33,0)),"")&amp;IF(AND(A11="04",J11&lt;&gt;""),"/"&amp;J11,"")))</f>
        <v/>
      </c>
      <c r="P11" s="7">
        <f>IF(O11="","",IF(IFERROR(INDEX('Drive Map'!$G$4:$G$33,MATCH(O11,'Drive Map'!$B$4:$B$33,0))&amp;"","")="","",HYPERLINK(INDEX('Drive Map'!$G$4:$G$33,MATCH(O11,'Drive Map'!$B$4:$B$33,0)),"Open")))</f>
        <v/>
      </c>
      <c r="R11" s="6" t="n"/>
    </row>
    <row r="12">
      <c r="A12" s="31" t="n"/>
      <c r="D12" s="7">
        <f>IF(OR(A12="",B12=""),"",SUMPRODUCT(MAX((A$4:A$303=A12)*(B$4:B$303=B12)*C$4:C$303))+1)</f>
        <v/>
      </c>
      <c r="E12" s="7">
        <f>IF(OR(A12="",B12="",C12=""),"",A12&amp;"-"&amp;B12&amp;"-"&amp;TEXT(C12,"000"))</f>
        <v/>
      </c>
      <c r="F12" s="6" t="n"/>
      <c r="H12" s="21" t="n"/>
      <c r="N12" s="7">
        <f>IF(E12="","",E12&amp;"_"&amp;SUBSTITUTE(TRIM(F12)," ","-")&amp;IF(G12="","","_Rev"&amp;G12))</f>
        <v/>
      </c>
      <c r="O12" s="7">
        <f>IF(A12="","",IF(K12="Superseded","99 Archive",IFERROR(INDEX('Drive Map'!$B$4:$B$33,MATCH(A12,'Drive Map'!$A$4:$A$33,0)),"")&amp;IF(AND(A12="04",J12&lt;&gt;""),"/"&amp;J12,"")))</f>
        <v/>
      </c>
      <c r="P12" s="7">
        <f>IF(O12="","",IF(IFERROR(INDEX('Drive Map'!$G$4:$G$33,MATCH(O12,'Drive Map'!$B$4:$B$33,0))&amp;"","")="","",HYPERLINK(INDEX('Drive Map'!$G$4:$G$33,MATCH(O12,'Drive Map'!$B$4:$B$33,0)),"Open")))</f>
        <v/>
      </c>
      <c r="R12" s="6" t="n"/>
    </row>
    <row r="13">
      <c r="A13" s="31" t="n"/>
      <c r="D13" s="7">
        <f>IF(OR(A13="",B13=""),"",SUMPRODUCT(MAX((A$4:A$303=A13)*(B$4:B$303=B13)*C$4:C$303))+1)</f>
        <v/>
      </c>
      <c r="E13" s="7">
        <f>IF(OR(A13="",B13="",C13=""),"",A13&amp;"-"&amp;B13&amp;"-"&amp;TEXT(C13,"000"))</f>
        <v/>
      </c>
      <c r="F13" s="6" t="n"/>
      <c r="H13" s="21" t="n"/>
      <c r="N13" s="7">
        <f>IF(E13="","",E13&amp;"_"&amp;SUBSTITUTE(TRIM(F13)," ","-")&amp;IF(G13="","","_Rev"&amp;G13))</f>
        <v/>
      </c>
      <c r="O13" s="7">
        <f>IF(A13="","",IF(K13="Superseded","99 Archive",IFERROR(INDEX('Drive Map'!$B$4:$B$33,MATCH(A13,'Drive Map'!$A$4:$A$33,0)),"")&amp;IF(AND(A13="04",J13&lt;&gt;""),"/"&amp;J13,"")))</f>
        <v/>
      </c>
      <c r="P13" s="7">
        <f>IF(O13="","",IF(IFERROR(INDEX('Drive Map'!$G$4:$G$33,MATCH(O13,'Drive Map'!$B$4:$B$33,0))&amp;"","")="","",HYPERLINK(INDEX('Drive Map'!$G$4:$G$33,MATCH(O13,'Drive Map'!$B$4:$B$33,0)),"Open")))</f>
        <v/>
      </c>
      <c r="R13" s="6" t="n"/>
    </row>
    <row r="14">
      <c r="A14" s="31" t="n"/>
      <c r="D14" s="7">
        <f>IF(OR(A14="",B14=""),"",SUMPRODUCT(MAX((A$4:A$303=A14)*(B$4:B$303=B14)*C$4:C$303))+1)</f>
        <v/>
      </c>
      <c r="E14" s="7">
        <f>IF(OR(A14="",B14="",C14=""),"",A14&amp;"-"&amp;B14&amp;"-"&amp;TEXT(C14,"000"))</f>
        <v/>
      </c>
      <c r="F14" s="6" t="n"/>
      <c r="H14" s="21" t="n"/>
      <c r="N14" s="7">
        <f>IF(E14="","",E14&amp;"_"&amp;SUBSTITUTE(TRIM(F14)," ","-")&amp;IF(G14="","","_Rev"&amp;G14))</f>
        <v/>
      </c>
      <c r="O14" s="7">
        <f>IF(A14="","",IF(K14="Superseded","99 Archive",IFERROR(INDEX('Drive Map'!$B$4:$B$33,MATCH(A14,'Drive Map'!$A$4:$A$33,0)),"")&amp;IF(AND(A14="04",J14&lt;&gt;""),"/"&amp;J14,"")))</f>
        <v/>
      </c>
      <c r="P14" s="7">
        <f>IF(O14="","",IF(IFERROR(INDEX('Drive Map'!$G$4:$G$33,MATCH(O14,'Drive Map'!$B$4:$B$33,0))&amp;"","")="","",HYPERLINK(INDEX('Drive Map'!$G$4:$G$33,MATCH(O14,'Drive Map'!$B$4:$B$33,0)),"Open")))</f>
        <v/>
      </c>
      <c r="R14" s="6" t="n"/>
    </row>
    <row r="15">
      <c r="A15" s="31" t="n"/>
      <c r="D15" s="7">
        <f>IF(OR(A15="",B15=""),"",SUMPRODUCT(MAX((A$4:A$303=A15)*(B$4:B$303=B15)*C$4:C$303))+1)</f>
        <v/>
      </c>
      <c r="E15" s="7">
        <f>IF(OR(A15="",B15="",C15=""),"",A15&amp;"-"&amp;B15&amp;"-"&amp;TEXT(C15,"000"))</f>
        <v/>
      </c>
      <c r="F15" s="6" t="n"/>
      <c r="H15" s="21" t="n"/>
      <c r="N15" s="7">
        <f>IF(E15="","",E15&amp;"_"&amp;SUBSTITUTE(TRIM(F15)," ","-")&amp;IF(G15="","","_Rev"&amp;G15))</f>
        <v/>
      </c>
      <c r="O15" s="7">
        <f>IF(A15="","",IF(K15="Superseded","99 Archive",IFERROR(INDEX('Drive Map'!$B$4:$B$33,MATCH(A15,'Drive Map'!$A$4:$A$33,0)),"")&amp;IF(AND(A15="04",J15&lt;&gt;""),"/"&amp;J15,"")))</f>
        <v/>
      </c>
      <c r="P15" s="7">
        <f>IF(O15="","",IF(IFERROR(INDEX('Drive Map'!$G$4:$G$33,MATCH(O15,'Drive Map'!$B$4:$B$33,0))&amp;"","")="","",HYPERLINK(INDEX('Drive Map'!$G$4:$G$33,MATCH(O15,'Drive Map'!$B$4:$B$33,0)),"Open")))</f>
        <v/>
      </c>
      <c r="R15" s="6" t="n"/>
    </row>
    <row r="16">
      <c r="A16" s="31" t="n"/>
      <c r="D16" s="7">
        <f>IF(OR(A16="",B16=""),"",SUMPRODUCT(MAX((A$4:A$303=A16)*(B$4:B$303=B16)*C$4:C$303))+1)</f>
        <v/>
      </c>
      <c r="E16" s="7">
        <f>IF(OR(A16="",B16="",C16=""),"",A16&amp;"-"&amp;B16&amp;"-"&amp;TEXT(C16,"000"))</f>
        <v/>
      </c>
      <c r="F16" s="6" t="n"/>
      <c r="H16" s="21" t="n"/>
      <c r="N16" s="7">
        <f>IF(E16="","",E16&amp;"_"&amp;SUBSTITUTE(TRIM(F16)," ","-")&amp;IF(G16="","","_Rev"&amp;G16))</f>
        <v/>
      </c>
      <c r="O16" s="7">
        <f>IF(A16="","",IF(K16="Superseded","99 Archive",IFERROR(INDEX('Drive Map'!$B$4:$B$33,MATCH(A16,'Drive Map'!$A$4:$A$33,0)),"")&amp;IF(AND(A16="04",J16&lt;&gt;""),"/"&amp;J16,"")))</f>
        <v/>
      </c>
      <c r="P16" s="7">
        <f>IF(O16="","",IF(IFERROR(INDEX('Drive Map'!$G$4:$G$33,MATCH(O16,'Drive Map'!$B$4:$B$33,0))&amp;"","")="","",HYPERLINK(INDEX('Drive Map'!$G$4:$G$33,MATCH(O16,'Drive Map'!$B$4:$B$33,0)),"Open")))</f>
        <v/>
      </c>
      <c r="R16" s="6" t="n"/>
    </row>
    <row r="17">
      <c r="A17" s="31" t="n"/>
      <c r="D17" s="7">
        <f>IF(OR(A17="",B17=""),"",SUMPRODUCT(MAX((A$4:A$303=A17)*(B$4:B$303=B17)*C$4:C$303))+1)</f>
        <v/>
      </c>
      <c r="E17" s="7">
        <f>IF(OR(A17="",B17="",C17=""),"",A17&amp;"-"&amp;B17&amp;"-"&amp;TEXT(C17,"000"))</f>
        <v/>
      </c>
      <c r="F17" s="6" t="n"/>
      <c r="H17" s="21" t="n"/>
      <c r="N17" s="7">
        <f>IF(E17="","",E17&amp;"_"&amp;SUBSTITUTE(TRIM(F17)," ","-")&amp;IF(G17="","","_Rev"&amp;G17))</f>
        <v/>
      </c>
      <c r="O17" s="7">
        <f>IF(A17="","",IF(K17="Superseded","99 Archive",IFERROR(INDEX('Drive Map'!$B$4:$B$33,MATCH(A17,'Drive Map'!$A$4:$A$33,0)),"")&amp;IF(AND(A17="04",J17&lt;&gt;""),"/"&amp;J17,"")))</f>
        <v/>
      </c>
      <c r="P17" s="7">
        <f>IF(O17="","",IF(IFERROR(INDEX('Drive Map'!$G$4:$G$33,MATCH(O17,'Drive Map'!$B$4:$B$33,0))&amp;"","")="","",HYPERLINK(INDEX('Drive Map'!$G$4:$G$33,MATCH(O17,'Drive Map'!$B$4:$B$33,0)),"Open")))</f>
        <v/>
      </c>
      <c r="R17" s="6" t="n"/>
    </row>
    <row r="18">
      <c r="A18" s="31" t="n"/>
      <c r="D18" s="7">
        <f>IF(OR(A18="",B18=""),"",SUMPRODUCT(MAX((A$4:A$303=A18)*(B$4:B$303=B18)*C$4:C$303))+1)</f>
        <v/>
      </c>
      <c r="E18" s="7">
        <f>IF(OR(A18="",B18="",C18=""),"",A18&amp;"-"&amp;B18&amp;"-"&amp;TEXT(C18,"000"))</f>
        <v/>
      </c>
      <c r="F18" s="6" t="n"/>
      <c r="H18" s="21" t="n"/>
      <c r="N18" s="7">
        <f>IF(E18="","",E18&amp;"_"&amp;SUBSTITUTE(TRIM(F18)," ","-")&amp;IF(G18="","","_Rev"&amp;G18))</f>
        <v/>
      </c>
      <c r="O18" s="7">
        <f>IF(A18="","",IF(K18="Superseded","99 Archive",IFERROR(INDEX('Drive Map'!$B$4:$B$33,MATCH(A18,'Drive Map'!$A$4:$A$33,0)),"")&amp;IF(AND(A18="04",J18&lt;&gt;""),"/"&amp;J18,"")))</f>
        <v/>
      </c>
      <c r="P18" s="7">
        <f>IF(O18="","",IF(IFERROR(INDEX('Drive Map'!$G$4:$G$33,MATCH(O18,'Drive Map'!$B$4:$B$33,0))&amp;"","")="","",HYPERLINK(INDEX('Drive Map'!$G$4:$G$33,MATCH(O18,'Drive Map'!$B$4:$B$33,0)),"Open")))</f>
        <v/>
      </c>
      <c r="R18" s="6" t="n"/>
    </row>
    <row r="19">
      <c r="A19" s="31" t="n"/>
      <c r="D19" s="7">
        <f>IF(OR(A19="",B19=""),"",SUMPRODUCT(MAX((A$4:A$303=A19)*(B$4:B$303=B19)*C$4:C$303))+1)</f>
        <v/>
      </c>
      <c r="E19" s="7">
        <f>IF(OR(A19="",B19="",C19=""),"",A19&amp;"-"&amp;B19&amp;"-"&amp;TEXT(C19,"000"))</f>
        <v/>
      </c>
      <c r="F19" s="6" t="n"/>
      <c r="H19" s="21" t="n"/>
      <c r="N19" s="7">
        <f>IF(E19="","",E19&amp;"_"&amp;SUBSTITUTE(TRIM(F19)," ","-")&amp;IF(G19="","","_Rev"&amp;G19))</f>
        <v/>
      </c>
      <c r="O19" s="7">
        <f>IF(A19="","",IF(K19="Superseded","99 Archive",IFERROR(INDEX('Drive Map'!$B$4:$B$33,MATCH(A19,'Drive Map'!$A$4:$A$33,0)),"")&amp;IF(AND(A19="04",J19&lt;&gt;""),"/"&amp;J19,"")))</f>
        <v/>
      </c>
      <c r="P19" s="7">
        <f>IF(O19="","",IF(IFERROR(INDEX('Drive Map'!$G$4:$G$33,MATCH(O19,'Drive Map'!$B$4:$B$33,0))&amp;"","")="","",HYPERLINK(INDEX('Drive Map'!$G$4:$G$33,MATCH(O19,'Drive Map'!$B$4:$B$33,0)),"Open")))</f>
        <v/>
      </c>
      <c r="R19" s="6" t="n"/>
    </row>
    <row r="20">
      <c r="A20" s="31" t="n"/>
      <c r="D20" s="7">
        <f>IF(OR(A20="",B20=""),"",SUMPRODUCT(MAX((A$4:A$303=A20)*(B$4:B$303=B20)*C$4:C$303))+1)</f>
        <v/>
      </c>
      <c r="E20" s="7">
        <f>IF(OR(A20="",B20="",C20=""),"",A20&amp;"-"&amp;B20&amp;"-"&amp;TEXT(C20,"000"))</f>
        <v/>
      </c>
      <c r="F20" s="6" t="n"/>
      <c r="H20" s="21" t="n"/>
      <c r="N20" s="7">
        <f>IF(E20="","",E20&amp;"_"&amp;SUBSTITUTE(TRIM(F20)," ","-")&amp;IF(G20="","","_Rev"&amp;G20))</f>
        <v/>
      </c>
      <c r="O20" s="7">
        <f>IF(A20="","",IF(K20="Superseded","99 Archive",IFERROR(INDEX('Drive Map'!$B$4:$B$33,MATCH(A20,'Drive Map'!$A$4:$A$33,0)),"")&amp;IF(AND(A20="04",J20&lt;&gt;""),"/"&amp;J20,"")))</f>
        <v/>
      </c>
      <c r="P20" s="7">
        <f>IF(O20="","",IF(IFERROR(INDEX('Drive Map'!$G$4:$G$33,MATCH(O20,'Drive Map'!$B$4:$B$33,0))&amp;"","")="","",HYPERLINK(INDEX('Drive Map'!$G$4:$G$33,MATCH(O20,'Drive Map'!$B$4:$B$33,0)),"Open")))</f>
        <v/>
      </c>
      <c r="R20" s="6" t="n"/>
    </row>
    <row r="21">
      <c r="A21" s="31" t="n"/>
      <c r="D21" s="7">
        <f>IF(OR(A21="",B21=""),"",SUMPRODUCT(MAX((A$4:A$303=A21)*(B$4:B$303=B21)*C$4:C$303))+1)</f>
        <v/>
      </c>
      <c r="E21" s="7">
        <f>IF(OR(A21="",B21="",C21=""),"",A21&amp;"-"&amp;B21&amp;"-"&amp;TEXT(C21,"000"))</f>
        <v/>
      </c>
      <c r="F21" s="6" t="n"/>
      <c r="H21" s="21" t="n"/>
      <c r="N21" s="7">
        <f>IF(E21="","",E21&amp;"_"&amp;SUBSTITUTE(TRIM(F21)," ","-")&amp;IF(G21="","","_Rev"&amp;G21))</f>
        <v/>
      </c>
      <c r="O21" s="7">
        <f>IF(A21="","",IF(K21="Superseded","99 Archive",IFERROR(INDEX('Drive Map'!$B$4:$B$33,MATCH(A21,'Drive Map'!$A$4:$A$33,0)),"")&amp;IF(AND(A21="04",J21&lt;&gt;""),"/"&amp;J21,"")))</f>
        <v/>
      </c>
      <c r="P21" s="7">
        <f>IF(O21="","",IF(IFERROR(INDEX('Drive Map'!$G$4:$G$33,MATCH(O21,'Drive Map'!$B$4:$B$33,0))&amp;"","")="","",HYPERLINK(INDEX('Drive Map'!$G$4:$G$33,MATCH(O21,'Drive Map'!$B$4:$B$33,0)),"Open")))</f>
        <v/>
      </c>
      <c r="R21" s="6" t="n"/>
    </row>
    <row r="22">
      <c r="A22" s="31" t="n"/>
      <c r="D22" s="7">
        <f>IF(OR(A22="",B22=""),"",SUMPRODUCT(MAX((A$4:A$303=A22)*(B$4:B$303=B22)*C$4:C$303))+1)</f>
        <v/>
      </c>
      <c r="E22" s="7">
        <f>IF(OR(A22="",B22="",C22=""),"",A22&amp;"-"&amp;B22&amp;"-"&amp;TEXT(C22,"000"))</f>
        <v/>
      </c>
      <c r="F22" s="6" t="n"/>
      <c r="H22" s="21" t="n"/>
      <c r="N22" s="7">
        <f>IF(E22="","",E22&amp;"_"&amp;SUBSTITUTE(TRIM(F22)," ","-")&amp;IF(G22="","","_Rev"&amp;G22))</f>
        <v/>
      </c>
      <c r="O22" s="7">
        <f>IF(A22="","",IF(K22="Superseded","99 Archive",IFERROR(INDEX('Drive Map'!$B$4:$B$33,MATCH(A22,'Drive Map'!$A$4:$A$33,0)),"")&amp;IF(AND(A22="04",J22&lt;&gt;""),"/"&amp;J22,"")))</f>
        <v/>
      </c>
      <c r="P22" s="7">
        <f>IF(O22="","",IF(IFERROR(INDEX('Drive Map'!$G$4:$G$33,MATCH(O22,'Drive Map'!$B$4:$B$33,0))&amp;"","")="","",HYPERLINK(INDEX('Drive Map'!$G$4:$G$33,MATCH(O22,'Drive Map'!$B$4:$B$33,0)),"Open")))</f>
        <v/>
      </c>
      <c r="R22" s="6" t="n"/>
    </row>
    <row r="23">
      <c r="A23" s="31" t="n"/>
      <c r="D23" s="7">
        <f>IF(OR(A23="",B23=""),"",SUMPRODUCT(MAX((A$4:A$303=A23)*(B$4:B$303=B23)*C$4:C$303))+1)</f>
        <v/>
      </c>
      <c r="E23" s="7">
        <f>IF(OR(A23="",B23="",C23=""),"",A23&amp;"-"&amp;B23&amp;"-"&amp;TEXT(C23,"000"))</f>
        <v/>
      </c>
      <c r="F23" s="6" t="n"/>
      <c r="H23" s="21" t="n"/>
      <c r="N23" s="7">
        <f>IF(E23="","",E23&amp;"_"&amp;SUBSTITUTE(TRIM(F23)," ","-")&amp;IF(G23="","","_Rev"&amp;G23))</f>
        <v/>
      </c>
      <c r="O23" s="7">
        <f>IF(A23="","",IF(K23="Superseded","99 Archive",IFERROR(INDEX('Drive Map'!$B$4:$B$33,MATCH(A23,'Drive Map'!$A$4:$A$33,0)),"")&amp;IF(AND(A23="04",J23&lt;&gt;""),"/"&amp;J23,"")))</f>
        <v/>
      </c>
      <c r="P23" s="7">
        <f>IF(O23="","",IF(IFERROR(INDEX('Drive Map'!$G$4:$G$33,MATCH(O23,'Drive Map'!$B$4:$B$33,0))&amp;"","")="","",HYPERLINK(INDEX('Drive Map'!$G$4:$G$33,MATCH(O23,'Drive Map'!$B$4:$B$33,0)),"Open")))</f>
        <v/>
      </c>
      <c r="R23" s="6" t="n"/>
    </row>
    <row r="24">
      <c r="A24" s="31" t="n"/>
      <c r="D24" s="7">
        <f>IF(OR(A24="",B24=""),"",SUMPRODUCT(MAX((A$4:A$303=A24)*(B$4:B$303=B24)*C$4:C$303))+1)</f>
        <v/>
      </c>
      <c r="E24" s="7">
        <f>IF(OR(A24="",B24="",C24=""),"",A24&amp;"-"&amp;B24&amp;"-"&amp;TEXT(C24,"000"))</f>
        <v/>
      </c>
      <c r="F24" s="6" t="n"/>
      <c r="H24" s="21" t="n"/>
      <c r="N24" s="7">
        <f>IF(E24="","",E24&amp;"_"&amp;SUBSTITUTE(TRIM(F24)," ","-")&amp;IF(G24="","","_Rev"&amp;G24))</f>
        <v/>
      </c>
      <c r="O24" s="7">
        <f>IF(A24="","",IF(K24="Superseded","99 Archive",IFERROR(INDEX('Drive Map'!$B$4:$B$33,MATCH(A24,'Drive Map'!$A$4:$A$33,0)),"")&amp;IF(AND(A24="04",J24&lt;&gt;""),"/"&amp;J24,"")))</f>
        <v/>
      </c>
      <c r="P24" s="7">
        <f>IF(O24="","",IF(IFERROR(INDEX('Drive Map'!$G$4:$G$33,MATCH(O24,'Drive Map'!$B$4:$B$33,0))&amp;"","")="","",HYPERLINK(INDEX('Drive Map'!$G$4:$G$33,MATCH(O24,'Drive Map'!$B$4:$B$33,0)),"Open")))</f>
        <v/>
      </c>
      <c r="R24" s="6" t="n"/>
    </row>
    <row r="25">
      <c r="A25" s="31" t="n"/>
      <c r="D25" s="7">
        <f>IF(OR(A25="",B25=""),"",SUMPRODUCT(MAX((A$4:A$303=A25)*(B$4:B$303=B25)*C$4:C$303))+1)</f>
        <v/>
      </c>
      <c r="E25" s="7">
        <f>IF(OR(A25="",B25="",C25=""),"",A25&amp;"-"&amp;B25&amp;"-"&amp;TEXT(C25,"000"))</f>
        <v/>
      </c>
      <c r="F25" s="6" t="n"/>
      <c r="H25" s="21" t="n"/>
      <c r="N25" s="7">
        <f>IF(E25="","",E25&amp;"_"&amp;SUBSTITUTE(TRIM(F25)," ","-")&amp;IF(G25="","","_Rev"&amp;G25))</f>
        <v/>
      </c>
      <c r="O25" s="7">
        <f>IF(A25="","",IF(K25="Superseded","99 Archive",IFERROR(INDEX('Drive Map'!$B$4:$B$33,MATCH(A25,'Drive Map'!$A$4:$A$33,0)),"")&amp;IF(AND(A25="04",J25&lt;&gt;""),"/"&amp;J25,"")))</f>
        <v/>
      </c>
      <c r="P25" s="7">
        <f>IF(O25="","",IF(IFERROR(INDEX('Drive Map'!$G$4:$G$33,MATCH(O25,'Drive Map'!$B$4:$B$33,0))&amp;"","")="","",HYPERLINK(INDEX('Drive Map'!$G$4:$G$33,MATCH(O25,'Drive Map'!$B$4:$B$33,0)),"Open")))</f>
        <v/>
      </c>
      <c r="R25" s="6" t="n"/>
    </row>
    <row r="26">
      <c r="A26" s="31" t="n"/>
      <c r="D26" s="7">
        <f>IF(OR(A26="",B26=""),"",SUMPRODUCT(MAX((A$4:A$303=A26)*(B$4:B$303=B26)*C$4:C$303))+1)</f>
        <v/>
      </c>
      <c r="E26" s="7">
        <f>IF(OR(A26="",B26="",C26=""),"",A26&amp;"-"&amp;B26&amp;"-"&amp;TEXT(C26,"000"))</f>
        <v/>
      </c>
      <c r="F26" s="6" t="n"/>
      <c r="H26" s="21" t="n"/>
      <c r="N26" s="7">
        <f>IF(E26="","",E26&amp;"_"&amp;SUBSTITUTE(TRIM(F26)," ","-")&amp;IF(G26="","","_Rev"&amp;G26))</f>
        <v/>
      </c>
      <c r="O26" s="7">
        <f>IF(A26="","",IF(K26="Superseded","99 Archive",IFERROR(INDEX('Drive Map'!$B$4:$B$33,MATCH(A26,'Drive Map'!$A$4:$A$33,0)),"")&amp;IF(AND(A26="04",J26&lt;&gt;""),"/"&amp;J26,"")))</f>
        <v/>
      </c>
      <c r="P26" s="7">
        <f>IF(O26="","",IF(IFERROR(INDEX('Drive Map'!$G$4:$G$33,MATCH(O26,'Drive Map'!$B$4:$B$33,0))&amp;"","")="","",HYPERLINK(INDEX('Drive Map'!$G$4:$G$33,MATCH(O26,'Drive Map'!$B$4:$B$33,0)),"Open")))</f>
        <v/>
      </c>
      <c r="R26" s="6" t="n"/>
    </row>
    <row r="27">
      <c r="A27" s="31" t="n"/>
      <c r="D27" s="7">
        <f>IF(OR(A27="",B27=""),"",SUMPRODUCT(MAX((A$4:A$303=A27)*(B$4:B$303=B27)*C$4:C$303))+1)</f>
        <v/>
      </c>
      <c r="E27" s="7">
        <f>IF(OR(A27="",B27="",C27=""),"",A27&amp;"-"&amp;B27&amp;"-"&amp;TEXT(C27,"000"))</f>
        <v/>
      </c>
      <c r="F27" s="6" t="n"/>
      <c r="H27" s="21" t="n"/>
      <c r="N27" s="7">
        <f>IF(E27="","",E27&amp;"_"&amp;SUBSTITUTE(TRIM(F27)," ","-")&amp;IF(G27="","","_Rev"&amp;G27))</f>
        <v/>
      </c>
      <c r="O27" s="7">
        <f>IF(A27="","",IF(K27="Superseded","99 Archive",IFERROR(INDEX('Drive Map'!$B$4:$B$33,MATCH(A27,'Drive Map'!$A$4:$A$33,0)),"")&amp;IF(AND(A27="04",J27&lt;&gt;""),"/"&amp;J27,"")))</f>
        <v/>
      </c>
      <c r="P27" s="7">
        <f>IF(O27="","",IF(IFERROR(INDEX('Drive Map'!$G$4:$G$33,MATCH(O27,'Drive Map'!$B$4:$B$33,0))&amp;"","")="","",HYPERLINK(INDEX('Drive Map'!$G$4:$G$33,MATCH(O27,'Drive Map'!$B$4:$B$33,0)),"Open")))</f>
        <v/>
      </c>
      <c r="R27" s="6" t="n"/>
    </row>
    <row r="28">
      <c r="A28" s="31" t="n"/>
      <c r="D28" s="7">
        <f>IF(OR(A28="",B28=""),"",SUMPRODUCT(MAX((A$4:A$303=A28)*(B$4:B$303=B28)*C$4:C$303))+1)</f>
        <v/>
      </c>
      <c r="E28" s="7">
        <f>IF(OR(A28="",B28="",C28=""),"",A28&amp;"-"&amp;B28&amp;"-"&amp;TEXT(C28,"000"))</f>
        <v/>
      </c>
      <c r="F28" s="6" t="n"/>
      <c r="H28" s="21" t="n"/>
      <c r="N28" s="7">
        <f>IF(E28="","",E28&amp;"_"&amp;SUBSTITUTE(TRIM(F28)," ","-")&amp;IF(G28="","","_Rev"&amp;G28))</f>
        <v/>
      </c>
      <c r="O28" s="7">
        <f>IF(A28="","",IF(K28="Superseded","99 Archive",IFERROR(INDEX('Drive Map'!$B$4:$B$33,MATCH(A28,'Drive Map'!$A$4:$A$33,0)),"")&amp;IF(AND(A28="04",J28&lt;&gt;""),"/"&amp;J28,"")))</f>
        <v/>
      </c>
      <c r="P28" s="7">
        <f>IF(O28="","",IF(IFERROR(INDEX('Drive Map'!$G$4:$G$33,MATCH(O28,'Drive Map'!$B$4:$B$33,0))&amp;"","")="","",HYPERLINK(INDEX('Drive Map'!$G$4:$G$33,MATCH(O28,'Drive Map'!$B$4:$B$33,0)),"Open")))</f>
        <v/>
      </c>
      <c r="R28" s="6" t="n"/>
    </row>
    <row r="29">
      <c r="A29" s="31" t="n"/>
      <c r="D29" s="7">
        <f>IF(OR(A29="",B29=""),"",SUMPRODUCT(MAX((A$4:A$303=A29)*(B$4:B$303=B29)*C$4:C$303))+1)</f>
        <v/>
      </c>
      <c r="E29" s="7">
        <f>IF(OR(A29="",B29="",C29=""),"",A29&amp;"-"&amp;B29&amp;"-"&amp;TEXT(C29,"000"))</f>
        <v/>
      </c>
      <c r="F29" s="6" t="n"/>
      <c r="H29" s="21" t="n"/>
      <c r="N29" s="7">
        <f>IF(E29="","",E29&amp;"_"&amp;SUBSTITUTE(TRIM(F29)," ","-")&amp;IF(G29="","","_Rev"&amp;G29))</f>
        <v/>
      </c>
      <c r="O29" s="7">
        <f>IF(A29="","",IF(K29="Superseded","99 Archive",IFERROR(INDEX('Drive Map'!$B$4:$B$33,MATCH(A29,'Drive Map'!$A$4:$A$33,0)),"")&amp;IF(AND(A29="04",J29&lt;&gt;""),"/"&amp;J29,"")))</f>
        <v/>
      </c>
      <c r="P29" s="7">
        <f>IF(O29="","",IF(IFERROR(INDEX('Drive Map'!$G$4:$G$33,MATCH(O29,'Drive Map'!$B$4:$B$33,0))&amp;"","")="","",HYPERLINK(INDEX('Drive Map'!$G$4:$G$33,MATCH(O29,'Drive Map'!$B$4:$B$33,0)),"Open")))</f>
        <v/>
      </c>
      <c r="R29" s="6" t="n"/>
    </row>
    <row r="30">
      <c r="A30" s="31" t="n"/>
      <c r="D30" s="7">
        <f>IF(OR(A30="",B30=""),"",SUMPRODUCT(MAX((A$4:A$303=A30)*(B$4:B$303=B30)*C$4:C$303))+1)</f>
        <v/>
      </c>
      <c r="E30" s="7">
        <f>IF(OR(A30="",B30="",C30=""),"",A30&amp;"-"&amp;B30&amp;"-"&amp;TEXT(C30,"000"))</f>
        <v/>
      </c>
      <c r="F30" s="6" t="n"/>
      <c r="H30" s="21" t="n"/>
      <c r="N30" s="7">
        <f>IF(E30="","",E30&amp;"_"&amp;SUBSTITUTE(TRIM(F30)," ","-")&amp;IF(G30="","","_Rev"&amp;G30))</f>
        <v/>
      </c>
      <c r="O30" s="7">
        <f>IF(A30="","",IF(K30="Superseded","99 Archive",IFERROR(INDEX('Drive Map'!$B$4:$B$33,MATCH(A30,'Drive Map'!$A$4:$A$33,0)),"")&amp;IF(AND(A30="04",J30&lt;&gt;""),"/"&amp;J30,"")))</f>
        <v/>
      </c>
      <c r="P30" s="7">
        <f>IF(O30="","",IF(IFERROR(INDEX('Drive Map'!$G$4:$G$33,MATCH(O30,'Drive Map'!$B$4:$B$33,0))&amp;"","")="","",HYPERLINK(INDEX('Drive Map'!$G$4:$G$33,MATCH(O30,'Drive Map'!$B$4:$B$33,0)),"Open")))</f>
        <v/>
      </c>
      <c r="R30" s="6" t="n"/>
    </row>
    <row r="31">
      <c r="A31" s="31" t="n"/>
      <c r="D31" s="7">
        <f>IF(OR(A31="",B31=""),"",SUMPRODUCT(MAX((A$4:A$303=A31)*(B$4:B$303=B31)*C$4:C$303))+1)</f>
        <v/>
      </c>
      <c r="E31" s="7">
        <f>IF(OR(A31="",B31="",C31=""),"",A31&amp;"-"&amp;B31&amp;"-"&amp;TEXT(C31,"000"))</f>
        <v/>
      </c>
      <c r="F31" s="6" t="n"/>
      <c r="H31" s="21" t="n"/>
      <c r="N31" s="7">
        <f>IF(E31="","",E31&amp;"_"&amp;SUBSTITUTE(TRIM(F31)," ","-")&amp;IF(G31="","","_Rev"&amp;G31))</f>
        <v/>
      </c>
      <c r="O31" s="7">
        <f>IF(A31="","",IF(K31="Superseded","99 Archive",IFERROR(INDEX('Drive Map'!$B$4:$B$33,MATCH(A31,'Drive Map'!$A$4:$A$33,0)),"")&amp;IF(AND(A31="04",J31&lt;&gt;""),"/"&amp;J31,"")))</f>
        <v/>
      </c>
      <c r="P31" s="7">
        <f>IF(O31="","",IF(IFERROR(INDEX('Drive Map'!$G$4:$G$33,MATCH(O31,'Drive Map'!$B$4:$B$33,0))&amp;"","")="","",HYPERLINK(INDEX('Drive Map'!$G$4:$G$33,MATCH(O31,'Drive Map'!$B$4:$B$33,0)),"Open")))</f>
        <v/>
      </c>
      <c r="R31" s="6" t="n"/>
    </row>
    <row r="32">
      <c r="A32" s="31" t="n"/>
      <c r="D32" s="7">
        <f>IF(OR(A32="",B32=""),"",SUMPRODUCT(MAX((A$4:A$303=A32)*(B$4:B$303=B32)*C$4:C$303))+1)</f>
        <v/>
      </c>
      <c r="E32" s="7">
        <f>IF(OR(A32="",B32="",C32=""),"",A32&amp;"-"&amp;B32&amp;"-"&amp;TEXT(C32,"000"))</f>
        <v/>
      </c>
      <c r="F32" s="6" t="n"/>
      <c r="H32" s="21" t="n"/>
      <c r="N32" s="7">
        <f>IF(E32="","",E32&amp;"_"&amp;SUBSTITUTE(TRIM(F32)," ","-")&amp;IF(G32="","","_Rev"&amp;G32))</f>
        <v/>
      </c>
      <c r="O32" s="7">
        <f>IF(A32="","",IF(K32="Superseded","99 Archive",IFERROR(INDEX('Drive Map'!$B$4:$B$33,MATCH(A32,'Drive Map'!$A$4:$A$33,0)),"")&amp;IF(AND(A32="04",J32&lt;&gt;""),"/"&amp;J32,"")))</f>
        <v/>
      </c>
      <c r="P32" s="7">
        <f>IF(O32="","",IF(IFERROR(INDEX('Drive Map'!$G$4:$G$33,MATCH(O32,'Drive Map'!$B$4:$B$33,0))&amp;"","")="","",HYPERLINK(INDEX('Drive Map'!$G$4:$G$33,MATCH(O32,'Drive Map'!$B$4:$B$33,0)),"Open")))</f>
        <v/>
      </c>
      <c r="R32" s="6" t="n"/>
    </row>
    <row r="33">
      <c r="A33" s="31" t="n"/>
      <c r="D33" s="7">
        <f>IF(OR(A33="",B33=""),"",SUMPRODUCT(MAX((A$4:A$303=A33)*(B$4:B$303=B33)*C$4:C$303))+1)</f>
        <v/>
      </c>
      <c r="E33" s="7">
        <f>IF(OR(A33="",B33="",C33=""),"",A33&amp;"-"&amp;B33&amp;"-"&amp;TEXT(C33,"000"))</f>
        <v/>
      </c>
      <c r="F33" s="6" t="n"/>
      <c r="H33" s="21" t="n"/>
      <c r="N33" s="7">
        <f>IF(E33="","",E33&amp;"_"&amp;SUBSTITUTE(TRIM(F33)," ","-")&amp;IF(G33="","","_Rev"&amp;G33))</f>
        <v/>
      </c>
      <c r="O33" s="7">
        <f>IF(A33="","",IF(K33="Superseded","99 Archive",IFERROR(INDEX('Drive Map'!$B$4:$B$33,MATCH(A33,'Drive Map'!$A$4:$A$33,0)),"")&amp;IF(AND(A33="04",J33&lt;&gt;""),"/"&amp;J33,"")))</f>
        <v/>
      </c>
      <c r="P33" s="7">
        <f>IF(O33="","",IF(IFERROR(INDEX('Drive Map'!$G$4:$G$33,MATCH(O33,'Drive Map'!$B$4:$B$33,0))&amp;"","")="","",HYPERLINK(INDEX('Drive Map'!$G$4:$G$33,MATCH(O33,'Drive Map'!$B$4:$B$33,0)),"Open")))</f>
        <v/>
      </c>
      <c r="R33" s="6" t="n"/>
    </row>
    <row r="34">
      <c r="A34" s="31" t="n"/>
      <c r="D34" s="7">
        <f>IF(OR(A34="",B34=""),"",SUMPRODUCT(MAX((A$4:A$303=A34)*(B$4:B$303=B34)*C$4:C$303))+1)</f>
        <v/>
      </c>
      <c r="E34" s="7">
        <f>IF(OR(A34="",B34="",C34=""),"",A34&amp;"-"&amp;B34&amp;"-"&amp;TEXT(C34,"000"))</f>
        <v/>
      </c>
      <c r="F34" s="6" t="n"/>
      <c r="H34" s="21" t="n"/>
      <c r="N34" s="7">
        <f>IF(E34="","",E34&amp;"_"&amp;SUBSTITUTE(TRIM(F34)," ","-")&amp;IF(G34="","","_Rev"&amp;G34))</f>
        <v/>
      </c>
      <c r="O34" s="7">
        <f>IF(A34="","",IF(K34="Superseded","99 Archive",IFERROR(INDEX('Drive Map'!$B$4:$B$33,MATCH(A34,'Drive Map'!$A$4:$A$33,0)),"")&amp;IF(AND(A34="04",J34&lt;&gt;""),"/"&amp;J34,"")))</f>
        <v/>
      </c>
      <c r="P34" s="7">
        <f>IF(O34="","",IF(IFERROR(INDEX('Drive Map'!$G$4:$G$33,MATCH(O34,'Drive Map'!$B$4:$B$33,0))&amp;"","")="","",HYPERLINK(INDEX('Drive Map'!$G$4:$G$33,MATCH(O34,'Drive Map'!$B$4:$B$33,0)),"Open")))</f>
        <v/>
      </c>
      <c r="R34" s="6" t="n"/>
    </row>
    <row r="35">
      <c r="A35" s="31" t="n"/>
      <c r="D35" s="7">
        <f>IF(OR(A35="",B35=""),"",SUMPRODUCT(MAX((A$4:A$303=A35)*(B$4:B$303=B35)*C$4:C$303))+1)</f>
        <v/>
      </c>
      <c r="E35" s="7">
        <f>IF(OR(A35="",B35="",C35=""),"",A35&amp;"-"&amp;B35&amp;"-"&amp;TEXT(C35,"000"))</f>
        <v/>
      </c>
      <c r="F35" s="6" t="n"/>
      <c r="H35" s="21" t="n"/>
      <c r="N35" s="7">
        <f>IF(E35="","",E35&amp;"_"&amp;SUBSTITUTE(TRIM(F35)," ","-")&amp;IF(G35="","","_Rev"&amp;G35))</f>
        <v/>
      </c>
      <c r="O35" s="7">
        <f>IF(A35="","",IF(K35="Superseded","99 Archive",IFERROR(INDEX('Drive Map'!$B$4:$B$33,MATCH(A35,'Drive Map'!$A$4:$A$33,0)),"")&amp;IF(AND(A35="04",J35&lt;&gt;""),"/"&amp;J35,"")))</f>
        <v/>
      </c>
      <c r="P35" s="7">
        <f>IF(O35="","",IF(IFERROR(INDEX('Drive Map'!$G$4:$G$33,MATCH(O35,'Drive Map'!$B$4:$B$33,0))&amp;"","")="","",HYPERLINK(INDEX('Drive Map'!$G$4:$G$33,MATCH(O35,'Drive Map'!$B$4:$B$33,0)),"Open")))</f>
        <v/>
      </c>
      <c r="R35" s="6" t="n"/>
    </row>
    <row r="36">
      <c r="A36" s="31" t="n"/>
      <c r="D36" s="7">
        <f>IF(OR(A36="",B36=""),"",SUMPRODUCT(MAX((A$4:A$303=A36)*(B$4:B$303=B36)*C$4:C$303))+1)</f>
        <v/>
      </c>
      <c r="E36" s="7">
        <f>IF(OR(A36="",B36="",C36=""),"",A36&amp;"-"&amp;B36&amp;"-"&amp;TEXT(C36,"000"))</f>
        <v/>
      </c>
      <c r="F36" s="6" t="n"/>
      <c r="H36" s="21" t="n"/>
      <c r="N36" s="7">
        <f>IF(E36="","",E36&amp;"_"&amp;SUBSTITUTE(TRIM(F36)," ","-")&amp;IF(G36="","","_Rev"&amp;G36))</f>
        <v/>
      </c>
      <c r="O36" s="7">
        <f>IF(A36="","",IF(K36="Superseded","99 Archive",IFERROR(INDEX('Drive Map'!$B$4:$B$33,MATCH(A36,'Drive Map'!$A$4:$A$33,0)),"")&amp;IF(AND(A36="04",J36&lt;&gt;""),"/"&amp;J36,"")))</f>
        <v/>
      </c>
      <c r="P36" s="7">
        <f>IF(O36="","",IF(IFERROR(INDEX('Drive Map'!$G$4:$G$33,MATCH(O36,'Drive Map'!$B$4:$B$33,0))&amp;"","")="","",HYPERLINK(INDEX('Drive Map'!$G$4:$G$33,MATCH(O36,'Drive Map'!$B$4:$B$33,0)),"Open")))</f>
        <v/>
      </c>
      <c r="R36" s="6" t="n"/>
    </row>
    <row r="37">
      <c r="A37" s="31" t="n"/>
      <c r="D37" s="7">
        <f>IF(OR(A37="",B37=""),"",SUMPRODUCT(MAX((A$4:A$303=A37)*(B$4:B$303=B37)*C$4:C$303))+1)</f>
        <v/>
      </c>
      <c r="E37" s="7">
        <f>IF(OR(A37="",B37="",C37=""),"",A37&amp;"-"&amp;B37&amp;"-"&amp;TEXT(C37,"000"))</f>
        <v/>
      </c>
      <c r="F37" s="6" t="n"/>
      <c r="H37" s="21" t="n"/>
      <c r="N37" s="7">
        <f>IF(E37="","",E37&amp;"_"&amp;SUBSTITUTE(TRIM(F37)," ","-")&amp;IF(G37="","","_Rev"&amp;G37))</f>
        <v/>
      </c>
      <c r="O37" s="7">
        <f>IF(A37="","",IF(K37="Superseded","99 Archive",IFERROR(INDEX('Drive Map'!$B$4:$B$33,MATCH(A37,'Drive Map'!$A$4:$A$33,0)),"")&amp;IF(AND(A37="04",J37&lt;&gt;""),"/"&amp;J37,"")))</f>
        <v/>
      </c>
      <c r="P37" s="7">
        <f>IF(O37="","",IF(IFERROR(INDEX('Drive Map'!$G$4:$G$33,MATCH(O37,'Drive Map'!$B$4:$B$33,0))&amp;"","")="","",HYPERLINK(INDEX('Drive Map'!$G$4:$G$33,MATCH(O37,'Drive Map'!$B$4:$B$33,0)),"Open")))</f>
        <v/>
      </c>
      <c r="R37" s="6" t="n"/>
    </row>
    <row r="38">
      <c r="A38" s="31" t="n"/>
      <c r="D38" s="7">
        <f>IF(OR(A38="",B38=""),"",SUMPRODUCT(MAX((A$4:A$303=A38)*(B$4:B$303=B38)*C$4:C$303))+1)</f>
        <v/>
      </c>
      <c r="E38" s="7">
        <f>IF(OR(A38="",B38="",C38=""),"",A38&amp;"-"&amp;B38&amp;"-"&amp;TEXT(C38,"000"))</f>
        <v/>
      </c>
      <c r="F38" s="6" t="n"/>
      <c r="H38" s="21" t="n"/>
      <c r="N38" s="7">
        <f>IF(E38="","",E38&amp;"_"&amp;SUBSTITUTE(TRIM(F38)," ","-")&amp;IF(G38="","","_Rev"&amp;G38))</f>
        <v/>
      </c>
      <c r="O38" s="7">
        <f>IF(A38="","",IF(K38="Superseded","99 Archive",IFERROR(INDEX('Drive Map'!$B$4:$B$33,MATCH(A38,'Drive Map'!$A$4:$A$33,0)),"")&amp;IF(AND(A38="04",J38&lt;&gt;""),"/"&amp;J38,"")))</f>
        <v/>
      </c>
      <c r="P38" s="7">
        <f>IF(O38="","",IF(IFERROR(INDEX('Drive Map'!$G$4:$G$33,MATCH(O38,'Drive Map'!$B$4:$B$33,0))&amp;"","")="","",HYPERLINK(INDEX('Drive Map'!$G$4:$G$33,MATCH(O38,'Drive Map'!$B$4:$B$33,0)),"Open")))</f>
        <v/>
      </c>
      <c r="R38" s="6" t="n"/>
    </row>
    <row r="39">
      <c r="A39" s="31" t="n"/>
      <c r="D39" s="7">
        <f>IF(OR(A39="",B39=""),"",SUMPRODUCT(MAX((A$4:A$303=A39)*(B$4:B$303=B39)*C$4:C$303))+1)</f>
        <v/>
      </c>
      <c r="E39" s="7">
        <f>IF(OR(A39="",B39="",C39=""),"",A39&amp;"-"&amp;B39&amp;"-"&amp;TEXT(C39,"000"))</f>
        <v/>
      </c>
      <c r="F39" s="6" t="n"/>
      <c r="H39" s="21" t="n"/>
      <c r="N39" s="7">
        <f>IF(E39="","",E39&amp;"_"&amp;SUBSTITUTE(TRIM(F39)," ","-")&amp;IF(G39="","","_Rev"&amp;G39))</f>
        <v/>
      </c>
      <c r="O39" s="7">
        <f>IF(A39="","",IF(K39="Superseded","99 Archive",IFERROR(INDEX('Drive Map'!$B$4:$B$33,MATCH(A39,'Drive Map'!$A$4:$A$33,0)),"")&amp;IF(AND(A39="04",J39&lt;&gt;""),"/"&amp;J39,"")))</f>
        <v/>
      </c>
      <c r="P39" s="7">
        <f>IF(O39="","",IF(IFERROR(INDEX('Drive Map'!$G$4:$G$33,MATCH(O39,'Drive Map'!$B$4:$B$33,0))&amp;"","")="","",HYPERLINK(INDEX('Drive Map'!$G$4:$G$33,MATCH(O39,'Drive Map'!$B$4:$B$33,0)),"Open")))</f>
        <v/>
      </c>
      <c r="R39" s="6" t="n"/>
    </row>
    <row r="40">
      <c r="A40" s="31" t="n"/>
      <c r="D40" s="7">
        <f>IF(OR(A40="",B40=""),"",SUMPRODUCT(MAX((A$4:A$303=A40)*(B$4:B$303=B40)*C$4:C$303))+1)</f>
        <v/>
      </c>
      <c r="E40" s="7">
        <f>IF(OR(A40="",B40="",C40=""),"",A40&amp;"-"&amp;B40&amp;"-"&amp;TEXT(C40,"000"))</f>
        <v/>
      </c>
      <c r="F40" s="6" t="n"/>
      <c r="H40" s="21" t="n"/>
      <c r="N40" s="7">
        <f>IF(E40="","",E40&amp;"_"&amp;SUBSTITUTE(TRIM(F40)," ","-")&amp;IF(G40="","","_Rev"&amp;G40))</f>
        <v/>
      </c>
      <c r="O40" s="7">
        <f>IF(A40="","",IF(K40="Superseded","99 Archive",IFERROR(INDEX('Drive Map'!$B$4:$B$33,MATCH(A40,'Drive Map'!$A$4:$A$33,0)),"")&amp;IF(AND(A40="04",J40&lt;&gt;""),"/"&amp;J40,"")))</f>
        <v/>
      </c>
      <c r="P40" s="7">
        <f>IF(O40="","",IF(IFERROR(INDEX('Drive Map'!$G$4:$G$33,MATCH(O40,'Drive Map'!$B$4:$B$33,0))&amp;"","")="","",HYPERLINK(INDEX('Drive Map'!$G$4:$G$33,MATCH(O40,'Drive Map'!$B$4:$B$33,0)),"Open")))</f>
        <v/>
      </c>
      <c r="R40" s="6" t="n"/>
    </row>
    <row r="41">
      <c r="A41" s="31" t="n"/>
      <c r="D41" s="7">
        <f>IF(OR(A41="",B41=""),"",SUMPRODUCT(MAX((A$4:A$303=A41)*(B$4:B$303=B41)*C$4:C$303))+1)</f>
        <v/>
      </c>
      <c r="E41" s="7">
        <f>IF(OR(A41="",B41="",C41=""),"",A41&amp;"-"&amp;B41&amp;"-"&amp;TEXT(C41,"000"))</f>
        <v/>
      </c>
      <c r="F41" s="6" t="n"/>
      <c r="H41" s="21" t="n"/>
      <c r="N41" s="7">
        <f>IF(E41="","",E41&amp;"_"&amp;SUBSTITUTE(TRIM(F41)," ","-")&amp;IF(G41="","","_Rev"&amp;G41))</f>
        <v/>
      </c>
      <c r="O41" s="7">
        <f>IF(A41="","",IF(K41="Superseded","99 Archive",IFERROR(INDEX('Drive Map'!$B$4:$B$33,MATCH(A41,'Drive Map'!$A$4:$A$33,0)),"")&amp;IF(AND(A41="04",J41&lt;&gt;""),"/"&amp;J41,"")))</f>
        <v/>
      </c>
      <c r="P41" s="7">
        <f>IF(O41="","",IF(IFERROR(INDEX('Drive Map'!$G$4:$G$33,MATCH(O41,'Drive Map'!$B$4:$B$33,0))&amp;"","")="","",HYPERLINK(INDEX('Drive Map'!$G$4:$G$33,MATCH(O41,'Drive Map'!$B$4:$B$33,0)),"Open")))</f>
        <v/>
      </c>
      <c r="R41" s="6" t="n"/>
    </row>
    <row r="42">
      <c r="A42" s="31" t="n"/>
      <c r="D42" s="7">
        <f>IF(OR(A42="",B42=""),"",SUMPRODUCT(MAX((A$4:A$303=A42)*(B$4:B$303=B42)*C$4:C$303))+1)</f>
        <v/>
      </c>
      <c r="E42" s="7">
        <f>IF(OR(A42="",B42="",C42=""),"",A42&amp;"-"&amp;B42&amp;"-"&amp;TEXT(C42,"000"))</f>
        <v/>
      </c>
      <c r="F42" s="6" t="n"/>
      <c r="H42" s="21" t="n"/>
      <c r="N42" s="7">
        <f>IF(E42="","",E42&amp;"_"&amp;SUBSTITUTE(TRIM(F42)," ","-")&amp;IF(G42="","","_Rev"&amp;G42))</f>
        <v/>
      </c>
      <c r="O42" s="7">
        <f>IF(A42="","",IF(K42="Superseded","99 Archive",IFERROR(INDEX('Drive Map'!$B$4:$B$33,MATCH(A42,'Drive Map'!$A$4:$A$33,0)),"")&amp;IF(AND(A42="04",J42&lt;&gt;""),"/"&amp;J42,"")))</f>
        <v/>
      </c>
      <c r="P42" s="7">
        <f>IF(O42="","",IF(IFERROR(INDEX('Drive Map'!$G$4:$G$33,MATCH(O42,'Drive Map'!$B$4:$B$33,0))&amp;"","")="","",HYPERLINK(INDEX('Drive Map'!$G$4:$G$33,MATCH(O42,'Drive Map'!$B$4:$B$33,0)),"Open")))</f>
        <v/>
      </c>
      <c r="R42" s="6" t="n"/>
    </row>
    <row r="43">
      <c r="A43" s="31" t="n"/>
      <c r="D43" s="7">
        <f>IF(OR(A43="",B43=""),"",SUMPRODUCT(MAX((A$4:A$303=A43)*(B$4:B$303=B43)*C$4:C$303))+1)</f>
        <v/>
      </c>
      <c r="E43" s="7">
        <f>IF(OR(A43="",B43="",C43=""),"",A43&amp;"-"&amp;B43&amp;"-"&amp;TEXT(C43,"000"))</f>
        <v/>
      </c>
      <c r="F43" s="6" t="n"/>
      <c r="H43" s="21" t="n"/>
      <c r="N43" s="7">
        <f>IF(E43="","",E43&amp;"_"&amp;SUBSTITUTE(TRIM(F43)," ","-")&amp;IF(G43="","","_Rev"&amp;G43))</f>
        <v/>
      </c>
      <c r="O43" s="7">
        <f>IF(A43="","",IF(K43="Superseded","99 Archive",IFERROR(INDEX('Drive Map'!$B$4:$B$33,MATCH(A43,'Drive Map'!$A$4:$A$33,0)),"")&amp;IF(AND(A43="04",J43&lt;&gt;""),"/"&amp;J43,"")))</f>
        <v/>
      </c>
      <c r="P43" s="7">
        <f>IF(O43="","",IF(IFERROR(INDEX('Drive Map'!$G$4:$G$33,MATCH(O43,'Drive Map'!$B$4:$B$33,0))&amp;"","")="","",HYPERLINK(INDEX('Drive Map'!$G$4:$G$33,MATCH(O43,'Drive Map'!$B$4:$B$33,0)),"Open")))</f>
        <v/>
      </c>
      <c r="R43" s="6" t="n"/>
    </row>
    <row r="44">
      <c r="A44" s="31" t="n"/>
      <c r="D44" s="7">
        <f>IF(OR(A44="",B44=""),"",SUMPRODUCT(MAX((A$4:A$303=A44)*(B$4:B$303=B44)*C$4:C$303))+1)</f>
        <v/>
      </c>
      <c r="E44" s="7">
        <f>IF(OR(A44="",B44="",C44=""),"",A44&amp;"-"&amp;B44&amp;"-"&amp;TEXT(C44,"000"))</f>
        <v/>
      </c>
      <c r="F44" s="6" t="n"/>
      <c r="H44" s="21" t="n"/>
      <c r="N44" s="7">
        <f>IF(E44="","",E44&amp;"_"&amp;SUBSTITUTE(TRIM(F44)," ","-")&amp;IF(G44="","","_Rev"&amp;G44))</f>
        <v/>
      </c>
      <c r="O44" s="7">
        <f>IF(A44="","",IF(K44="Superseded","99 Archive",IFERROR(INDEX('Drive Map'!$B$4:$B$33,MATCH(A44,'Drive Map'!$A$4:$A$33,0)),"")&amp;IF(AND(A44="04",J44&lt;&gt;""),"/"&amp;J44,"")))</f>
        <v/>
      </c>
      <c r="P44" s="7">
        <f>IF(O44="","",IF(IFERROR(INDEX('Drive Map'!$G$4:$G$33,MATCH(O44,'Drive Map'!$B$4:$B$33,0))&amp;"","")="","",HYPERLINK(INDEX('Drive Map'!$G$4:$G$33,MATCH(O44,'Drive Map'!$B$4:$B$33,0)),"Open")))</f>
        <v/>
      </c>
      <c r="R44" s="6" t="n"/>
    </row>
    <row r="45">
      <c r="A45" s="31" t="n"/>
      <c r="D45" s="7">
        <f>IF(OR(A45="",B45=""),"",SUMPRODUCT(MAX((A$4:A$303=A45)*(B$4:B$303=B45)*C$4:C$303))+1)</f>
        <v/>
      </c>
      <c r="E45" s="7">
        <f>IF(OR(A45="",B45="",C45=""),"",A45&amp;"-"&amp;B45&amp;"-"&amp;TEXT(C45,"000"))</f>
        <v/>
      </c>
      <c r="F45" s="6" t="n"/>
      <c r="H45" s="21" t="n"/>
      <c r="N45" s="7">
        <f>IF(E45="","",E45&amp;"_"&amp;SUBSTITUTE(TRIM(F45)," ","-")&amp;IF(G45="","","_Rev"&amp;G45))</f>
        <v/>
      </c>
      <c r="O45" s="7">
        <f>IF(A45="","",IF(K45="Superseded","99 Archive",IFERROR(INDEX('Drive Map'!$B$4:$B$33,MATCH(A45,'Drive Map'!$A$4:$A$33,0)),"")&amp;IF(AND(A45="04",J45&lt;&gt;""),"/"&amp;J45,"")))</f>
        <v/>
      </c>
      <c r="P45" s="7">
        <f>IF(O45="","",IF(IFERROR(INDEX('Drive Map'!$G$4:$G$33,MATCH(O45,'Drive Map'!$B$4:$B$33,0))&amp;"","")="","",HYPERLINK(INDEX('Drive Map'!$G$4:$G$33,MATCH(O45,'Drive Map'!$B$4:$B$33,0)),"Open")))</f>
        <v/>
      </c>
      <c r="R45" s="6" t="n"/>
    </row>
    <row r="46">
      <c r="A46" s="31" t="n"/>
      <c r="D46" s="7">
        <f>IF(OR(A46="",B46=""),"",SUMPRODUCT(MAX((A$4:A$303=A46)*(B$4:B$303=B46)*C$4:C$303))+1)</f>
        <v/>
      </c>
      <c r="E46" s="7">
        <f>IF(OR(A46="",B46="",C46=""),"",A46&amp;"-"&amp;B46&amp;"-"&amp;TEXT(C46,"000"))</f>
        <v/>
      </c>
      <c r="F46" s="6" t="n"/>
      <c r="H46" s="21" t="n"/>
      <c r="N46" s="7">
        <f>IF(E46="","",E46&amp;"_"&amp;SUBSTITUTE(TRIM(F46)," ","-")&amp;IF(G46="","","_Rev"&amp;G46))</f>
        <v/>
      </c>
      <c r="O46" s="7">
        <f>IF(A46="","",IF(K46="Superseded","99 Archive",IFERROR(INDEX('Drive Map'!$B$4:$B$33,MATCH(A46,'Drive Map'!$A$4:$A$33,0)),"")&amp;IF(AND(A46="04",J46&lt;&gt;""),"/"&amp;J46,"")))</f>
        <v/>
      </c>
      <c r="P46" s="7">
        <f>IF(O46="","",IF(IFERROR(INDEX('Drive Map'!$G$4:$G$33,MATCH(O46,'Drive Map'!$B$4:$B$33,0))&amp;"","")="","",HYPERLINK(INDEX('Drive Map'!$G$4:$G$33,MATCH(O46,'Drive Map'!$B$4:$B$33,0)),"Open")))</f>
        <v/>
      </c>
      <c r="R46" s="6" t="n"/>
    </row>
    <row r="47">
      <c r="A47" s="31" t="n"/>
      <c r="D47" s="7">
        <f>IF(OR(A47="",B47=""),"",SUMPRODUCT(MAX((A$4:A$303=A47)*(B$4:B$303=B47)*C$4:C$303))+1)</f>
        <v/>
      </c>
      <c r="E47" s="7">
        <f>IF(OR(A47="",B47="",C47=""),"",A47&amp;"-"&amp;B47&amp;"-"&amp;TEXT(C47,"000"))</f>
        <v/>
      </c>
      <c r="F47" s="6" t="n"/>
      <c r="H47" s="21" t="n"/>
      <c r="N47" s="7">
        <f>IF(E47="","",E47&amp;"_"&amp;SUBSTITUTE(TRIM(F47)," ","-")&amp;IF(G47="","","_Rev"&amp;G47))</f>
        <v/>
      </c>
      <c r="O47" s="7">
        <f>IF(A47="","",IF(K47="Superseded","99 Archive",IFERROR(INDEX('Drive Map'!$B$4:$B$33,MATCH(A47,'Drive Map'!$A$4:$A$33,0)),"")&amp;IF(AND(A47="04",J47&lt;&gt;""),"/"&amp;J47,"")))</f>
        <v/>
      </c>
      <c r="P47" s="7">
        <f>IF(O47="","",IF(IFERROR(INDEX('Drive Map'!$G$4:$G$33,MATCH(O47,'Drive Map'!$B$4:$B$33,0))&amp;"","")="","",HYPERLINK(INDEX('Drive Map'!$G$4:$G$33,MATCH(O47,'Drive Map'!$B$4:$B$33,0)),"Open")))</f>
        <v/>
      </c>
      <c r="R47" s="6" t="n"/>
    </row>
    <row r="48">
      <c r="A48" s="31" t="n"/>
      <c r="D48" s="7">
        <f>IF(OR(A48="",B48=""),"",SUMPRODUCT(MAX((A$4:A$303=A48)*(B$4:B$303=B48)*C$4:C$303))+1)</f>
        <v/>
      </c>
      <c r="E48" s="7">
        <f>IF(OR(A48="",B48="",C48=""),"",A48&amp;"-"&amp;B48&amp;"-"&amp;TEXT(C48,"000"))</f>
        <v/>
      </c>
      <c r="F48" s="6" t="n"/>
      <c r="H48" s="21" t="n"/>
      <c r="N48" s="7">
        <f>IF(E48="","",E48&amp;"_"&amp;SUBSTITUTE(TRIM(F48)," ","-")&amp;IF(G48="","","_Rev"&amp;G48))</f>
        <v/>
      </c>
      <c r="O48" s="7">
        <f>IF(A48="","",IF(K48="Superseded","99 Archive",IFERROR(INDEX('Drive Map'!$B$4:$B$33,MATCH(A48,'Drive Map'!$A$4:$A$33,0)),"")&amp;IF(AND(A48="04",J48&lt;&gt;""),"/"&amp;J48,"")))</f>
        <v/>
      </c>
      <c r="P48" s="7">
        <f>IF(O48="","",IF(IFERROR(INDEX('Drive Map'!$G$4:$G$33,MATCH(O48,'Drive Map'!$B$4:$B$33,0))&amp;"","")="","",HYPERLINK(INDEX('Drive Map'!$G$4:$G$33,MATCH(O48,'Drive Map'!$B$4:$B$33,0)),"Open")))</f>
        <v/>
      </c>
      <c r="R48" s="6" t="n"/>
    </row>
    <row r="49">
      <c r="A49" s="31" t="n"/>
      <c r="D49" s="7">
        <f>IF(OR(A49="",B49=""),"",SUMPRODUCT(MAX((A$4:A$303=A49)*(B$4:B$303=B49)*C$4:C$303))+1)</f>
        <v/>
      </c>
      <c r="E49" s="7">
        <f>IF(OR(A49="",B49="",C49=""),"",A49&amp;"-"&amp;B49&amp;"-"&amp;TEXT(C49,"000"))</f>
        <v/>
      </c>
      <c r="F49" s="6" t="n"/>
      <c r="H49" s="21" t="n"/>
      <c r="N49" s="7">
        <f>IF(E49="","",E49&amp;"_"&amp;SUBSTITUTE(TRIM(F49)," ","-")&amp;IF(G49="","","_Rev"&amp;G49))</f>
        <v/>
      </c>
      <c r="O49" s="7">
        <f>IF(A49="","",IF(K49="Superseded","99 Archive",IFERROR(INDEX('Drive Map'!$B$4:$B$33,MATCH(A49,'Drive Map'!$A$4:$A$33,0)),"")&amp;IF(AND(A49="04",J49&lt;&gt;""),"/"&amp;J49,"")))</f>
        <v/>
      </c>
      <c r="P49" s="7">
        <f>IF(O49="","",IF(IFERROR(INDEX('Drive Map'!$G$4:$G$33,MATCH(O49,'Drive Map'!$B$4:$B$33,0))&amp;"","")="","",HYPERLINK(INDEX('Drive Map'!$G$4:$G$33,MATCH(O49,'Drive Map'!$B$4:$B$33,0)),"Open")))</f>
        <v/>
      </c>
      <c r="R49" s="6" t="n"/>
    </row>
    <row r="50">
      <c r="A50" s="31" t="n"/>
      <c r="D50" s="7">
        <f>IF(OR(A50="",B50=""),"",SUMPRODUCT(MAX((A$4:A$303=A50)*(B$4:B$303=B50)*C$4:C$303))+1)</f>
        <v/>
      </c>
      <c r="E50" s="7">
        <f>IF(OR(A50="",B50="",C50=""),"",A50&amp;"-"&amp;B50&amp;"-"&amp;TEXT(C50,"000"))</f>
        <v/>
      </c>
      <c r="F50" s="6" t="n"/>
      <c r="H50" s="21" t="n"/>
      <c r="N50" s="7">
        <f>IF(E50="","",E50&amp;"_"&amp;SUBSTITUTE(TRIM(F50)," ","-")&amp;IF(G50="","","_Rev"&amp;G50))</f>
        <v/>
      </c>
      <c r="O50" s="7">
        <f>IF(A50="","",IF(K50="Superseded","99 Archive",IFERROR(INDEX('Drive Map'!$B$4:$B$33,MATCH(A50,'Drive Map'!$A$4:$A$33,0)),"")&amp;IF(AND(A50="04",J50&lt;&gt;""),"/"&amp;J50,"")))</f>
        <v/>
      </c>
      <c r="P50" s="7">
        <f>IF(O50="","",IF(IFERROR(INDEX('Drive Map'!$G$4:$G$33,MATCH(O50,'Drive Map'!$B$4:$B$33,0))&amp;"","")="","",HYPERLINK(INDEX('Drive Map'!$G$4:$G$33,MATCH(O50,'Drive Map'!$B$4:$B$33,0)),"Open")))</f>
        <v/>
      </c>
      <c r="R50" s="6" t="n"/>
    </row>
    <row r="51">
      <c r="A51" s="31" t="n"/>
      <c r="D51" s="7">
        <f>IF(OR(A51="",B51=""),"",SUMPRODUCT(MAX((A$4:A$303=A51)*(B$4:B$303=B51)*C$4:C$303))+1)</f>
        <v/>
      </c>
      <c r="E51" s="7">
        <f>IF(OR(A51="",B51="",C51=""),"",A51&amp;"-"&amp;B51&amp;"-"&amp;TEXT(C51,"000"))</f>
        <v/>
      </c>
      <c r="F51" s="6" t="n"/>
      <c r="H51" s="21" t="n"/>
      <c r="N51" s="7">
        <f>IF(E51="","",E51&amp;"_"&amp;SUBSTITUTE(TRIM(F51)," ","-")&amp;IF(G51="","","_Rev"&amp;G51))</f>
        <v/>
      </c>
      <c r="O51" s="7">
        <f>IF(A51="","",IF(K51="Superseded","99 Archive",IFERROR(INDEX('Drive Map'!$B$4:$B$33,MATCH(A51,'Drive Map'!$A$4:$A$33,0)),"")&amp;IF(AND(A51="04",J51&lt;&gt;""),"/"&amp;J51,"")))</f>
        <v/>
      </c>
      <c r="P51" s="7">
        <f>IF(O51="","",IF(IFERROR(INDEX('Drive Map'!$G$4:$G$33,MATCH(O51,'Drive Map'!$B$4:$B$33,0))&amp;"","")="","",HYPERLINK(INDEX('Drive Map'!$G$4:$G$33,MATCH(O51,'Drive Map'!$B$4:$B$33,0)),"Open")))</f>
        <v/>
      </c>
      <c r="R51" s="6" t="n"/>
    </row>
    <row r="52">
      <c r="A52" s="31" t="n"/>
      <c r="D52" s="7">
        <f>IF(OR(A52="",B52=""),"",SUMPRODUCT(MAX((A$4:A$303=A52)*(B$4:B$303=B52)*C$4:C$303))+1)</f>
        <v/>
      </c>
      <c r="E52" s="7">
        <f>IF(OR(A52="",B52="",C52=""),"",A52&amp;"-"&amp;B52&amp;"-"&amp;TEXT(C52,"000"))</f>
        <v/>
      </c>
      <c r="F52" s="6" t="n"/>
      <c r="H52" s="21" t="n"/>
      <c r="N52" s="7">
        <f>IF(E52="","",E52&amp;"_"&amp;SUBSTITUTE(TRIM(F52)," ","-")&amp;IF(G52="","","_Rev"&amp;G52))</f>
        <v/>
      </c>
      <c r="O52" s="7">
        <f>IF(A52="","",IF(K52="Superseded","99 Archive",IFERROR(INDEX('Drive Map'!$B$4:$B$33,MATCH(A52,'Drive Map'!$A$4:$A$33,0)),"")&amp;IF(AND(A52="04",J52&lt;&gt;""),"/"&amp;J52,"")))</f>
        <v/>
      </c>
      <c r="P52" s="7">
        <f>IF(O52="","",IF(IFERROR(INDEX('Drive Map'!$G$4:$G$33,MATCH(O52,'Drive Map'!$B$4:$B$33,0))&amp;"","")="","",HYPERLINK(INDEX('Drive Map'!$G$4:$G$33,MATCH(O52,'Drive Map'!$B$4:$B$33,0)),"Open")))</f>
        <v/>
      </c>
      <c r="R52" s="6" t="n"/>
    </row>
    <row r="53">
      <c r="A53" s="31" t="n"/>
      <c r="D53" s="7">
        <f>IF(OR(A53="",B53=""),"",SUMPRODUCT(MAX((A$4:A$303=A53)*(B$4:B$303=B53)*C$4:C$303))+1)</f>
        <v/>
      </c>
      <c r="E53" s="7">
        <f>IF(OR(A53="",B53="",C53=""),"",A53&amp;"-"&amp;B53&amp;"-"&amp;TEXT(C53,"000"))</f>
        <v/>
      </c>
      <c r="F53" s="6" t="n"/>
      <c r="H53" s="21" t="n"/>
      <c r="N53" s="7">
        <f>IF(E53="","",E53&amp;"_"&amp;SUBSTITUTE(TRIM(F53)," ","-")&amp;IF(G53="","","_Rev"&amp;G53))</f>
        <v/>
      </c>
      <c r="O53" s="7">
        <f>IF(A53="","",IF(K53="Superseded","99 Archive",IFERROR(INDEX('Drive Map'!$B$4:$B$33,MATCH(A53,'Drive Map'!$A$4:$A$33,0)),"")&amp;IF(AND(A53="04",J53&lt;&gt;""),"/"&amp;J53,"")))</f>
        <v/>
      </c>
      <c r="P53" s="7">
        <f>IF(O53="","",IF(IFERROR(INDEX('Drive Map'!$G$4:$G$33,MATCH(O53,'Drive Map'!$B$4:$B$33,0))&amp;"","")="","",HYPERLINK(INDEX('Drive Map'!$G$4:$G$33,MATCH(O53,'Drive Map'!$B$4:$B$33,0)),"Open")))</f>
        <v/>
      </c>
      <c r="R53" s="6" t="n"/>
    </row>
    <row r="54">
      <c r="A54" s="31" t="n"/>
      <c r="D54" s="7">
        <f>IF(OR(A54="",B54=""),"",SUMPRODUCT(MAX((A$4:A$303=A54)*(B$4:B$303=B54)*C$4:C$303))+1)</f>
        <v/>
      </c>
      <c r="E54" s="7">
        <f>IF(OR(A54="",B54="",C54=""),"",A54&amp;"-"&amp;B54&amp;"-"&amp;TEXT(C54,"000"))</f>
        <v/>
      </c>
      <c r="F54" s="6" t="n"/>
      <c r="H54" s="21" t="n"/>
      <c r="N54" s="7">
        <f>IF(E54="","",E54&amp;"_"&amp;SUBSTITUTE(TRIM(F54)," ","-")&amp;IF(G54="","","_Rev"&amp;G54))</f>
        <v/>
      </c>
      <c r="O54" s="7">
        <f>IF(A54="","",IF(K54="Superseded","99 Archive",IFERROR(INDEX('Drive Map'!$B$4:$B$33,MATCH(A54,'Drive Map'!$A$4:$A$33,0)),"")&amp;IF(AND(A54="04",J54&lt;&gt;""),"/"&amp;J54,"")))</f>
        <v/>
      </c>
      <c r="P54" s="7">
        <f>IF(O54="","",IF(IFERROR(INDEX('Drive Map'!$G$4:$G$33,MATCH(O54,'Drive Map'!$B$4:$B$33,0))&amp;"","")="","",HYPERLINK(INDEX('Drive Map'!$G$4:$G$33,MATCH(O54,'Drive Map'!$B$4:$B$33,0)),"Open")))</f>
        <v/>
      </c>
      <c r="R54" s="6" t="n"/>
    </row>
    <row r="55">
      <c r="A55" s="31" t="n"/>
      <c r="D55" s="7">
        <f>IF(OR(A55="",B55=""),"",SUMPRODUCT(MAX((A$4:A$303=A55)*(B$4:B$303=B55)*C$4:C$303))+1)</f>
        <v/>
      </c>
      <c r="E55" s="7">
        <f>IF(OR(A55="",B55="",C55=""),"",A55&amp;"-"&amp;B55&amp;"-"&amp;TEXT(C55,"000"))</f>
        <v/>
      </c>
      <c r="F55" s="6" t="n"/>
      <c r="H55" s="21" t="n"/>
      <c r="N55" s="7">
        <f>IF(E55="","",E55&amp;"_"&amp;SUBSTITUTE(TRIM(F55)," ","-")&amp;IF(G55="","","_Rev"&amp;G55))</f>
        <v/>
      </c>
      <c r="O55" s="7">
        <f>IF(A55="","",IF(K55="Superseded","99 Archive",IFERROR(INDEX('Drive Map'!$B$4:$B$33,MATCH(A55,'Drive Map'!$A$4:$A$33,0)),"")&amp;IF(AND(A55="04",J55&lt;&gt;""),"/"&amp;J55,"")))</f>
        <v/>
      </c>
      <c r="P55" s="7">
        <f>IF(O55="","",IF(IFERROR(INDEX('Drive Map'!$G$4:$G$33,MATCH(O55,'Drive Map'!$B$4:$B$33,0))&amp;"","")="","",HYPERLINK(INDEX('Drive Map'!$G$4:$G$33,MATCH(O55,'Drive Map'!$B$4:$B$33,0)),"Open")))</f>
        <v/>
      </c>
      <c r="R55" s="6" t="n"/>
    </row>
    <row r="56">
      <c r="A56" s="31" t="n"/>
      <c r="D56" s="7">
        <f>IF(OR(A56="",B56=""),"",SUMPRODUCT(MAX((A$4:A$303=A56)*(B$4:B$303=B56)*C$4:C$303))+1)</f>
        <v/>
      </c>
      <c r="E56" s="7">
        <f>IF(OR(A56="",B56="",C56=""),"",A56&amp;"-"&amp;B56&amp;"-"&amp;TEXT(C56,"000"))</f>
        <v/>
      </c>
      <c r="F56" s="6" t="n"/>
      <c r="H56" s="21" t="n"/>
      <c r="N56" s="7">
        <f>IF(E56="","",E56&amp;"_"&amp;SUBSTITUTE(TRIM(F56)," ","-")&amp;IF(G56="","","_Rev"&amp;G56))</f>
        <v/>
      </c>
      <c r="O56" s="7">
        <f>IF(A56="","",IF(K56="Superseded","99 Archive",IFERROR(INDEX('Drive Map'!$B$4:$B$33,MATCH(A56,'Drive Map'!$A$4:$A$33,0)),"")&amp;IF(AND(A56="04",J56&lt;&gt;""),"/"&amp;J56,"")))</f>
        <v/>
      </c>
      <c r="P56" s="7">
        <f>IF(O56="","",IF(IFERROR(INDEX('Drive Map'!$G$4:$G$33,MATCH(O56,'Drive Map'!$B$4:$B$33,0))&amp;"","")="","",HYPERLINK(INDEX('Drive Map'!$G$4:$G$33,MATCH(O56,'Drive Map'!$B$4:$B$33,0)),"Open")))</f>
        <v/>
      </c>
      <c r="R56" s="6" t="n"/>
    </row>
    <row r="57">
      <c r="A57" s="31" t="n"/>
      <c r="D57" s="7">
        <f>IF(OR(A57="",B57=""),"",SUMPRODUCT(MAX((A$4:A$303=A57)*(B$4:B$303=B57)*C$4:C$303))+1)</f>
        <v/>
      </c>
      <c r="E57" s="7">
        <f>IF(OR(A57="",B57="",C57=""),"",A57&amp;"-"&amp;B57&amp;"-"&amp;TEXT(C57,"000"))</f>
        <v/>
      </c>
      <c r="F57" s="6" t="n"/>
      <c r="H57" s="21" t="n"/>
      <c r="N57" s="7">
        <f>IF(E57="","",E57&amp;"_"&amp;SUBSTITUTE(TRIM(F57)," ","-")&amp;IF(G57="","","_Rev"&amp;G57))</f>
        <v/>
      </c>
      <c r="O57" s="7">
        <f>IF(A57="","",IF(K57="Superseded","99 Archive",IFERROR(INDEX('Drive Map'!$B$4:$B$33,MATCH(A57,'Drive Map'!$A$4:$A$33,0)),"")&amp;IF(AND(A57="04",J57&lt;&gt;""),"/"&amp;J57,"")))</f>
        <v/>
      </c>
      <c r="P57" s="7">
        <f>IF(O57="","",IF(IFERROR(INDEX('Drive Map'!$G$4:$G$33,MATCH(O57,'Drive Map'!$B$4:$B$33,0))&amp;"","")="","",HYPERLINK(INDEX('Drive Map'!$G$4:$G$33,MATCH(O57,'Drive Map'!$B$4:$B$33,0)),"Open")))</f>
        <v/>
      </c>
      <c r="R57" s="6" t="n"/>
    </row>
    <row r="58">
      <c r="A58" s="31" t="n"/>
      <c r="D58" s="7">
        <f>IF(OR(A58="",B58=""),"",SUMPRODUCT(MAX((A$4:A$303=A58)*(B$4:B$303=B58)*C$4:C$303))+1)</f>
        <v/>
      </c>
      <c r="E58" s="7">
        <f>IF(OR(A58="",B58="",C58=""),"",A58&amp;"-"&amp;B58&amp;"-"&amp;TEXT(C58,"000"))</f>
        <v/>
      </c>
      <c r="F58" s="6" t="n"/>
      <c r="H58" s="21" t="n"/>
      <c r="N58" s="7">
        <f>IF(E58="","",E58&amp;"_"&amp;SUBSTITUTE(TRIM(F58)," ","-")&amp;IF(G58="","","_Rev"&amp;G58))</f>
        <v/>
      </c>
      <c r="O58" s="7">
        <f>IF(A58="","",IF(K58="Superseded","99 Archive",IFERROR(INDEX('Drive Map'!$B$4:$B$33,MATCH(A58,'Drive Map'!$A$4:$A$33,0)),"")&amp;IF(AND(A58="04",J58&lt;&gt;""),"/"&amp;J58,"")))</f>
        <v/>
      </c>
      <c r="P58" s="7">
        <f>IF(O58="","",IF(IFERROR(INDEX('Drive Map'!$G$4:$G$33,MATCH(O58,'Drive Map'!$B$4:$B$33,0))&amp;"","")="","",HYPERLINK(INDEX('Drive Map'!$G$4:$G$33,MATCH(O58,'Drive Map'!$B$4:$B$33,0)),"Open")))</f>
        <v/>
      </c>
      <c r="R58" s="6" t="n"/>
    </row>
    <row r="59">
      <c r="A59" s="31" t="n"/>
      <c r="D59" s="7">
        <f>IF(OR(A59="",B59=""),"",SUMPRODUCT(MAX((A$4:A$303=A59)*(B$4:B$303=B59)*C$4:C$303))+1)</f>
        <v/>
      </c>
      <c r="E59" s="7">
        <f>IF(OR(A59="",B59="",C59=""),"",A59&amp;"-"&amp;B59&amp;"-"&amp;TEXT(C59,"000"))</f>
        <v/>
      </c>
      <c r="F59" s="6" t="n"/>
      <c r="H59" s="21" t="n"/>
      <c r="N59" s="7">
        <f>IF(E59="","",E59&amp;"_"&amp;SUBSTITUTE(TRIM(F59)," ","-")&amp;IF(G59="","","_Rev"&amp;G59))</f>
        <v/>
      </c>
      <c r="O59" s="7">
        <f>IF(A59="","",IF(K59="Superseded","99 Archive",IFERROR(INDEX('Drive Map'!$B$4:$B$33,MATCH(A59,'Drive Map'!$A$4:$A$33,0)),"")&amp;IF(AND(A59="04",J59&lt;&gt;""),"/"&amp;J59,"")))</f>
        <v/>
      </c>
      <c r="P59" s="7">
        <f>IF(O59="","",IF(IFERROR(INDEX('Drive Map'!$G$4:$G$33,MATCH(O59,'Drive Map'!$B$4:$B$33,0))&amp;"","")="","",HYPERLINK(INDEX('Drive Map'!$G$4:$G$33,MATCH(O59,'Drive Map'!$B$4:$B$33,0)),"Open")))</f>
        <v/>
      </c>
      <c r="R59" s="6" t="n"/>
    </row>
    <row r="60">
      <c r="A60" s="31" t="n"/>
      <c r="D60" s="7">
        <f>IF(OR(A60="",B60=""),"",SUMPRODUCT(MAX((A$4:A$303=A60)*(B$4:B$303=B60)*C$4:C$303))+1)</f>
        <v/>
      </c>
      <c r="E60" s="7">
        <f>IF(OR(A60="",B60="",C60=""),"",A60&amp;"-"&amp;B60&amp;"-"&amp;TEXT(C60,"000"))</f>
        <v/>
      </c>
      <c r="F60" s="6" t="n"/>
      <c r="H60" s="21" t="n"/>
      <c r="N60" s="7">
        <f>IF(E60="","",E60&amp;"_"&amp;SUBSTITUTE(TRIM(F60)," ","-")&amp;IF(G60="","","_Rev"&amp;G60))</f>
        <v/>
      </c>
      <c r="O60" s="7">
        <f>IF(A60="","",IF(K60="Superseded","99 Archive",IFERROR(INDEX('Drive Map'!$B$4:$B$33,MATCH(A60,'Drive Map'!$A$4:$A$33,0)),"")&amp;IF(AND(A60="04",J60&lt;&gt;""),"/"&amp;J60,"")))</f>
        <v/>
      </c>
      <c r="P60" s="7">
        <f>IF(O60="","",IF(IFERROR(INDEX('Drive Map'!$G$4:$G$33,MATCH(O60,'Drive Map'!$B$4:$B$33,0))&amp;"","")="","",HYPERLINK(INDEX('Drive Map'!$G$4:$G$33,MATCH(O60,'Drive Map'!$B$4:$B$33,0)),"Open")))</f>
        <v/>
      </c>
      <c r="R60" s="6" t="n"/>
    </row>
    <row r="61">
      <c r="A61" s="31" t="n"/>
      <c r="D61" s="7">
        <f>IF(OR(A61="",B61=""),"",SUMPRODUCT(MAX((A$4:A$303=A61)*(B$4:B$303=B61)*C$4:C$303))+1)</f>
        <v/>
      </c>
      <c r="E61" s="7">
        <f>IF(OR(A61="",B61="",C61=""),"",A61&amp;"-"&amp;B61&amp;"-"&amp;TEXT(C61,"000"))</f>
        <v/>
      </c>
      <c r="F61" s="6" t="n"/>
      <c r="H61" s="21" t="n"/>
      <c r="N61" s="7">
        <f>IF(E61="","",E61&amp;"_"&amp;SUBSTITUTE(TRIM(F61)," ","-")&amp;IF(G61="","","_Rev"&amp;G61))</f>
        <v/>
      </c>
      <c r="O61" s="7">
        <f>IF(A61="","",IF(K61="Superseded","99 Archive",IFERROR(INDEX('Drive Map'!$B$4:$B$33,MATCH(A61,'Drive Map'!$A$4:$A$33,0)),"")&amp;IF(AND(A61="04",J61&lt;&gt;""),"/"&amp;J61,"")))</f>
        <v/>
      </c>
      <c r="P61" s="7">
        <f>IF(O61="","",IF(IFERROR(INDEX('Drive Map'!$G$4:$G$33,MATCH(O61,'Drive Map'!$B$4:$B$33,0))&amp;"","")="","",HYPERLINK(INDEX('Drive Map'!$G$4:$G$33,MATCH(O61,'Drive Map'!$B$4:$B$33,0)),"Open")))</f>
        <v/>
      </c>
      <c r="R61" s="6" t="n"/>
    </row>
    <row r="62">
      <c r="A62" s="31" t="n"/>
      <c r="D62" s="7">
        <f>IF(OR(A62="",B62=""),"",SUMPRODUCT(MAX((A$4:A$303=A62)*(B$4:B$303=B62)*C$4:C$303))+1)</f>
        <v/>
      </c>
      <c r="E62" s="7">
        <f>IF(OR(A62="",B62="",C62=""),"",A62&amp;"-"&amp;B62&amp;"-"&amp;TEXT(C62,"000"))</f>
        <v/>
      </c>
      <c r="F62" s="6" t="n"/>
      <c r="H62" s="21" t="n"/>
      <c r="N62" s="7">
        <f>IF(E62="","",E62&amp;"_"&amp;SUBSTITUTE(TRIM(F62)," ","-")&amp;IF(G62="","","_Rev"&amp;G62))</f>
        <v/>
      </c>
      <c r="O62" s="7">
        <f>IF(A62="","",IF(K62="Superseded","99 Archive",IFERROR(INDEX('Drive Map'!$B$4:$B$33,MATCH(A62,'Drive Map'!$A$4:$A$33,0)),"")&amp;IF(AND(A62="04",J62&lt;&gt;""),"/"&amp;J62,"")))</f>
        <v/>
      </c>
      <c r="P62" s="7">
        <f>IF(O62="","",IF(IFERROR(INDEX('Drive Map'!$G$4:$G$33,MATCH(O62,'Drive Map'!$B$4:$B$33,0))&amp;"","")="","",HYPERLINK(INDEX('Drive Map'!$G$4:$G$33,MATCH(O62,'Drive Map'!$B$4:$B$33,0)),"Open")))</f>
        <v/>
      </c>
      <c r="R62" s="6" t="n"/>
    </row>
    <row r="63">
      <c r="A63" s="31" t="n"/>
      <c r="D63" s="7">
        <f>IF(OR(A63="",B63=""),"",SUMPRODUCT(MAX((A$4:A$303=A63)*(B$4:B$303=B63)*C$4:C$303))+1)</f>
        <v/>
      </c>
      <c r="E63" s="7">
        <f>IF(OR(A63="",B63="",C63=""),"",A63&amp;"-"&amp;B63&amp;"-"&amp;TEXT(C63,"000"))</f>
        <v/>
      </c>
      <c r="F63" s="6" t="n"/>
      <c r="H63" s="21" t="n"/>
      <c r="N63" s="7">
        <f>IF(E63="","",E63&amp;"_"&amp;SUBSTITUTE(TRIM(F63)," ","-")&amp;IF(G63="","","_Rev"&amp;G63))</f>
        <v/>
      </c>
      <c r="O63" s="7">
        <f>IF(A63="","",IF(K63="Superseded","99 Archive",IFERROR(INDEX('Drive Map'!$B$4:$B$33,MATCH(A63,'Drive Map'!$A$4:$A$33,0)),"")&amp;IF(AND(A63="04",J63&lt;&gt;""),"/"&amp;J63,"")))</f>
        <v/>
      </c>
      <c r="P63" s="7">
        <f>IF(O63="","",IF(IFERROR(INDEX('Drive Map'!$G$4:$G$33,MATCH(O63,'Drive Map'!$B$4:$B$33,0))&amp;"","")="","",HYPERLINK(INDEX('Drive Map'!$G$4:$G$33,MATCH(O63,'Drive Map'!$B$4:$B$33,0)),"Open")))</f>
        <v/>
      </c>
      <c r="R63" s="6" t="n"/>
    </row>
    <row r="64">
      <c r="A64" s="31" t="n"/>
      <c r="D64" s="7">
        <f>IF(OR(A64="",B64=""),"",SUMPRODUCT(MAX((A$4:A$303=A64)*(B$4:B$303=B64)*C$4:C$303))+1)</f>
        <v/>
      </c>
      <c r="E64" s="7">
        <f>IF(OR(A64="",B64="",C64=""),"",A64&amp;"-"&amp;B64&amp;"-"&amp;TEXT(C64,"000"))</f>
        <v/>
      </c>
      <c r="F64" s="6" t="n"/>
      <c r="H64" s="21" t="n"/>
      <c r="N64" s="7">
        <f>IF(E64="","",E64&amp;"_"&amp;SUBSTITUTE(TRIM(F64)," ","-")&amp;IF(G64="","","_Rev"&amp;G64))</f>
        <v/>
      </c>
      <c r="O64" s="7">
        <f>IF(A64="","",IF(K64="Superseded","99 Archive",IFERROR(INDEX('Drive Map'!$B$4:$B$33,MATCH(A64,'Drive Map'!$A$4:$A$33,0)),"")&amp;IF(AND(A64="04",J64&lt;&gt;""),"/"&amp;J64,"")))</f>
        <v/>
      </c>
      <c r="P64" s="7">
        <f>IF(O64="","",IF(IFERROR(INDEX('Drive Map'!$G$4:$G$33,MATCH(O64,'Drive Map'!$B$4:$B$33,0))&amp;"","")="","",HYPERLINK(INDEX('Drive Map'!$G$4:$G$33,MATCH(O64,'Drive Map'!$B$4:$B$33,0)),"Open")))</f>
        <v/>
      </c>
      <c r="R64" s="6" t="n"/>
    </row>
    <row r="65">
      <c r="A65" s="31" t="n"/>
      <c r="D65" s="7">
        <f>IF(OR(A65="",B65=""),"",SUMPRODUCT(MAX((A$4:A$303=A65)*(B$4:B$303=B65)*C$4:C$303))+1)</f>
        <v/>
      </c>
      <c r="E65" s="7">
        <f>IF(OR(A65="",B65="",C65=""),"",A65&amp;"-"&amp;B65&amp;"-"&amp;TEXT(C65,"000"))</f>
        <v/>
      </c>
      <c r="F65" s="6" t="n"/>
      <c r="H65" s="21" t="n"/>
      <c r="N65" s="7">
        <f>IF(E65="","",E65&amp;"_"&amp;SUBSTITUTE(TRIM(F65)," ","-")&amp;IF(G65="","","_Rev"&amp;G65))</f>
        <v/>
      </c>
      <c r="O65" s="7">
        <f>IF(A65="","",IF(K65="Superseded","99 Archive",IFERROR(INDEX('Drive Map'!$B$4:$B$33,MATCH(A65,'Drive Map'!$A$4:$A$33,0)),"")&amp;IF(AND(A65="04",J65&lt;&gt;""),"/"&amp;J65,"")))</f>
        <v/>
      </c>
      <c r="P65" s="7">
        <f>IF(O65="","",IF(IFERROR(INDEX('Drive Map'!$G$4:$G$33,MATCH(O65,'Drive Map'!$B$4:$B$33,0))&amp;"","")="","",HYPERLINK(INDEX('Drive Map'!$G$4:$G$33,MATCH(O65,'Drive Map'!$B$4:$B$33,0)),"Open")))</f>
        <v/>
      </c>
      <c r="R65" s="6" t="n"/>
    </row>
    <row r="66">
      <c r="A66" s="31" t="n"/>
      <c r="D66" s="7">
        <f>IF(OR(A66="",B66=""),"",SUMPRODUCT(MAX((A$4:A$303=A66)*(B$4:B$303=B66)*C$4:C$303))+1)</f>
        <v/>
      </c>
      <c r="E66" s="7">
        <f>IF(OR(A66="",B66="",C66=""),"",A66&amp;"-"&amp;B66&amp;"-"&amp;TEXT(C66,"000"))</f>
        <v/>
      </c>
      <c r="F66" s="6" t="n"/>
      <c r="H66" s="21" t="n"/>
      <c r="N66" s="7">
        <f>IF(E66="","",E66&amp;"_"&amp;SUBSTITUTE(TRIM(F66)," ","-")&amp;IF(G66="","","_Rev"&amp;G66))</f>
        <v/>
      </c>
      <c r="O66" s="7">
        <f>IF(A66="","",IF(K66="Superseded","99 Archive",IFERROR(INDEX('Drive Map'!$B$4:$B$33,MATCH(A66,'Drive Map'!$A$4:$A$33,0)),"")&amp;IF(AND(A66="04",J66&lt;&gt;""),"/"&amp;J66,"")))</f>
        <v/>
      </c>
      <c r="P66" s="7">
        <f>IF(O66="","",IF(IFERROR(INDEX('Drive Map'!$G$4:$G$33,MATCH(O66,'Drive Map'!$B$4:$B$33,0))&amp;"","")="","",HYPERLINK(INDEX('Drive Map'!$G$4:$G$33,MATCH(O66,'Drive Map'!$B$4:$B$33,0)),"Open")))</f>
        <v/>
      </c>
      <c r="R66" s="6" t="n"/>
    </row>
    <row r="67">
      <c r="A67" s="31" t="n"/>
      <c r="D67" s="7">
        <f>IF(OR(A67="",B67=""),"",SUMPRODUCT(MAX((A$4:A$303=A67)*(B$4:B$303=B67)*C$4:C$303))+1)</f>
        <v/>
      </c>
      <c r="E67" s="7">
        <f>IF(OR(A67="",B67="",C67=""),"",A67&amp;"-"&amp;B67&amp;"-"&amp;TEXT(C67,"000"))</f>
        <v/>
      </c>
      <c r="F67" s="6" t="n"/>
      <c r="H67" s="21" t="n"/>
      <c r="N67" s="7">
        <f>IF(E67="","",E67&amp;"_"&amp;SUBSTITUTE(TRIM(F67)," ","-")&amp;IF(G67="","","_Rev"&amp;G67))</f>
        <v/>
      </c>
      <c r="O67" s="7">
        <f>IF(A67="","",IF(K67="Superseded","99 Archive",IFERROR(INDEX('Drive Map'!$B$4:$B$33,MATCH(A67,'Drive Map'!$A$4:$A$33,0)),"")&amp;IF(AND(A67="04",J67&lt;&gt;""),"/"&amp;J67,"")))</f>
        <v/>
      </c>
      <c r="P67" s="7">
        <f>IF(O67="","",IF(IFERROR(INDEX('Drive Map'!$G$4:$G$33,MATCH(O67,'Drive Map'!$B$4:$B$33,0))&amp;"","")="","",HYPERLINK(INDEX('Drive Map'!$G$4:$G$33,MATCH(O67,'Drive Map'!$B$4:$B$33,0)),"Open")))</f>
        <v/>
      </c>
      <c r="R67" s="6" t="n"/>
    </row>
    <row r="68">
      <c r="A68" s="31" t="n"/>
      <c r="D68" s="7">
        <f>IF(OR(A68="",B68=""),"",SUMPRODUCT(MAX((A$4:A$303=A68)*(B$4:B$303=B68)*C$4:C$303))+1)</f>
        <v/>
      </c>
      <c r="E68" s="7">
        <f>IF(OR(A68="",B68="",C68=""),"",A68&amp;"-"&amp;B68&amp;"-"&amp;TEXT(C68,"000"))</f>
        <v/>
      </c>
      <c r="F68" s="6" t="n"/>
      <c r="H68" s="21" t="n"/>
      <c r="N68" s="7">
        <f>IF(E68="","",E68&amp;"_"&amp;SUBSTITUTE(TRIM(F68)," ","-")&amp;IF(G68="","","_Rev"&amp;G68))</f>
        <v/>
      </c>
      <c r="O68" s="7">
        <f>IF(A68="","",IF(K68="Superseded","99 Archive",IFERROR(INDEX('Drive Map'!$B$4:$B$33,MATCH(A68,'Drive Map'!$A$4:$A$33,0)),"")&amp;IF(AND(A68="04",J68&lt;&gt;""),"/"&amp;J68,"")))</f>
        <v/>
      </c>
      <c r="P68" s="7">
        <f>IF(O68="","",IF(IFERROR(INDEX('Drive Map'!$G$4:$G$33,MATCH(O68,'Drive Map'!$B$4:$B$33,0))&amp;"","")="","",HYPERLINK(INDEX('Drive Map'!$G$4:$G$33,MATCH(O68,'Drive Map'!$B$4:$B$33,0)),"Open")))</f>
        <v/>
      </c>
      <c r="R68" s="6" t="n"/>
    </row>
    <row r="69">
      <c r="A69" s="31" t="n"/>
      <c r="D69" s="7">
        <f>IF(OR(A69="",B69=""),"",SUMPRODUCT(MAX((A$4:A$303=A69)*(B$4:B$303=B69)*C$4:C$303))+1)</f>
        <v/>
      </c>
      <c r="E69" s="7">
        <f>IF(OR(A69="",B69="",C69=""),"",A69&amp;"-"&amp;B69&amp;"-"&amp;TEXT(C69,"000"))</f>
        <v/>
      </c>
      <c r="F69" s="6" t="n"/>
      <c r="H69" s="21" t="n"/>
      <c r="N69" s="7">
        <f>IF(E69="","",E69&amp;"_"&amp;SUBSTITUTE(TRIM(F69)," ","-")&amp;IF(G69="","","_Rev"&amp;G69))</f>
        <v/>
      </c>
      <c r="O69" s="7">
        <f>IF(A69="","",IF(K69="Superseded","99 Archive",IFERROR(INDEX('Drive Map'!$B$4:$B$33,MATCH(A69,'Drive Map'!$A$4:$A$33,0)),"")&amp;IF(AND(A69="04",J69&lt;&gt;""),"/"&amp;J69,"")))</f>
        <v/>
      </c>
      <c r="P69" s="7">
        <f>IF(O69="","",IF(IFERROR(INDEX('Drive Map'!$G$4:$G$33,MATCH(O69,'Drive Map'!$B$4:$B$33,0))&amp;"","")="","",HYPERLINK(INDEX('Drive Map'!$G$4:$G$33,MATCH(O69,'Drive Map'!$B$4:$B$33,0)),"Open")))</f>
        <v/>
      </c>
      <c r="R69" s="6" t="n"/>
    </row>
    <row r="70">
      <c r="A70" s="31" t="n"/>
      <c r="D70" s="7">
        <f>IF(OR(A70="",B70=""),"",SUMPRODUCT(MAX((A$4:A$303=A70)*(B$4:B$303=B70)*C$4:C$303))+1)</f>
        <v/>
      </c>
      <c r="E70" s="7">
        <f>IF(OR(A70="",B70="",C70=""),"",A70&amp;"-"&amp;B70&amp;"-"&amp;TEXT(C70,"000"))</f>
        <v/>
      </c>
      <c r="F70" s="6" t="n"/>
      <c r="H70" s="21" t="n"/>
      <c r="N70" s="7">
        <f>IF(E70="","",E70&amp;"_"&amp;SUBSTITUTE(TRIM(F70)," ","-")&amp;IF(G70="","","_Rev"&amp;G70))</f>
        <v/>
      </c>
      <c r="O70" s="7">
        <f>IF(A70="","",IF(K70="Superseded","99 Archive",IFERROR(INDEX('Drive Map'!$B$4:$B$33,MATCH(A70,'Drive Map'!$A$4:$A$33,0)),"")&amp;IF(AND(A70="04",J70&lt;&gt;""),"/"&amp;J70,"")))</f>
        <v/>
      </c>
      <c r="P70" s="7">
        <f>IF(O70="","",IF(IFERROR(INDEX('Drive Map'!$G$4:$G$33,MATCH(O70,'Drive Map'!$B$4:$B$33,0))&amp;"","")="","",HYPERLINK(INDEX('Drive Map'!$G$4:$G$33,MATCH(O70,'Drive Map'!$B$4:$B$33,0)),"Open")))</f>
        <v/>
      </c>
      <c r="R70" s="6" t="n"/>
    </row>
    <row r="71">
      <c r="A71" s="31" t="n"/>
      <c r="D71" s="7">
        <f>IF(OR(A71="",B71=""),"",SUMPRODUCT(MAX((A$4:A$303=A71)*(B$4:B$303=B71)*C$4:C$303))+1)</f>
        <v/>
      </c>
      <c r="E71" s="7">
        <f>IF(OR(A71="",B71="",C71=""),"",A71&amp;"-"&amp;B71&amp;"-"&amp;TEXT(C71,"000"))</f>
        <v/>
      </c>
      <c r="F71" s="6" t="n"/>
      <c r="H71" s="21" t="n"/>
      <c r="N71" s="7">
        <f>IF(E71="","",E71&amp;"_"&amp;SUBSTITUTE(TRIM(F71)," ","-")&amp;IF(G71="","","_Rev"&amp;G71))</f>
        <v/>
      </c>
      <c r="O71" s="7">
        <f>IF(A71="","",IF(K71="Superseded","99 Archive",IFERROR(INDEX('Drive Map'!$B$4:$B$33,MATCH(A71,'Drive Map'!$A$4:$A$33,0)),"")&amp;IF(AND(A71="04",J71&lt;&gt;""),"/"&amp;J71,"")))</f>
        <v/>
      </c>
      <c r="P71" s="7">
        <f>IF(O71="","",IF(IFERROR(INDEX('Drive Map'!$G$4:$G$33,MATCH(O71,'Drive Map'!$B$4:$B$33,0))&amp;"","")="","",HYPERLINK(INDEX('Drive Map'!$G$4:$G$33,MATCH(O71,'Drive Map'!$B$4:$B$33,0)),"Open")))</f>
        <v/>
      </c>
      <c r="R71" s="6" t="n"/>
    </row>
    <row r="72">
      <c r="A72" s="31" t="n"/>
      <c r="D72" s="7">
        <f>IF(OR(A72="",B72=""),"",SUMPRODUCT(MAX((A$4:A$303=A72)*(B$4:B$303=B72)*C$4:C$303))+1)</f>
        <v/>
      </c>
      <c r="E72" s="7">
        <f>IF(OR(A72="",B72="",C72=""),"",A72&amp;"-"&amp;B72&amp;"-"&amp;TEXT(C72,"000"))</f>
        <v/>
      </c>
      <c r="F72" s="6" t="n"/>
      <c r="H72" s="21" t="n"/>
      <c r="N72" s="7">
        <f>IF(E72="","",E72&amp;"_"&amp;SUBSTITUTE(TRIM(F72)," ","-")&amp;IF(G72="","","_Rev"&amp;G72))</f>
        <v/>
      </c>
      <c r="O72" s="7">
        <f>IF(A72="","",IF(K72="Superseded","99 Archive",IFERROR(INDEX('Drive Map'!$B$4:$B$33,MATCH(A72,'Drive Map'!$A$4:$A$33,0)),"")&amp;IF(AND(A72="04",J72&lt;&gt;""),"/"&amp;J72,"")))</f>
        <v/>
      </c>
      <c r="P72" s="7">
        <f>IF(O72="","",IF(IFERROR(INDEX('Drive Map'!$G$4:$G$33,MATCH(O72,'Drive Map'!$B$4:$B$33,0))&amp;"","")="","",HYPERLINK(INDEX('Drive Map'!$G$4:$G$33,MATCH(O72,'Drive Map'!$B$4:$B$33,0)),"Open")))</f>
        <v/>
      </c>
      <c r="R72" s="6" t="n"/>
    </row>
    <row r="73">
      <c r="A73" s="31" t="n"/>
      <c r="D73" s="7">
        <f>IF(OR(A73="",B73=""),"",SUMPRODUCT(MAX((A$4:A$303=A73)*(B$4:B$303=B73)*C$4:C$303))+1)</f>
        <v/>
      </c>
      <c r="E73" s="7">
        <f>IF(OR(A73="",B73="",C73=""),"",A73&amp;"-"&amp;B73&amp;"-"&amp;TEXT(C73,"000"))</f>
        <v/>
      </c>
      <c r="F73" s="6" t="n"/>
      <c r="H73" s="21" t="n"/>
      <c r="N73" s="7">
        <f>IF(E73="","",E73&amp;"_"&amp;SUBSTITUTE(TRIM(F73)," ","-")&amp;IF(G73="","","_Rev"&amp;G73))</f>
        <v/>
      </c>
      <c r="O73" s="7">
        <f>IF(A73="","",IF(K73="Superseded","99 Archive",IFERROR(INDEX('Drive Map'!$B$4:$B$33,MATCH(A73,'Drive Map'!$A$4:$A$33,0)),"")&amp;IF(AND(A73="04",J73&lt;&gt;""),"/"&amp;J73,"")))</f>
        <v/>
      </c>
      <c r="P73" s="7">
        <f>IF(O73="","",IF(IFERROR(INDEX('Drive Map'!$G$4:$G$33,MATCH(O73,'Drive Map'!$B$4:$B$33,0))&amp;"","")="","",HYPERLINK(INDEX('Drive Map'!$G$4:$G$33,MATCH(O73,'Drive Map'!$B$4:$B$33,0)),"Open")))</f>
        <v/>
      </c>
      <c r="R73" s="6" t="n"/>
    </row>
    <row r="74">
      <c r="A74" s="31" t="n"/>
      <c r="D74" s="7">
        <f>IF(OR(A74="",B74=""),"",SUMPRODUCT(MAX((A$4:A$303=A74)*(B$4:B$303=B74)*C$4:C$303))+1)</f>
        <v/>
      </c>
      <c r="E74" s="7">
        <f>IF(OR(A74="",B74="",C74=""),"",A74&amp;"-"&amp;B74&amp;"-"&amp;TEXT(C74,"000"))</f>
        <v/>
      </c>
      <c r="F74" s="6" t="n"/>
      <c r="H74" s="21" t="n"/>
      <c r="N74" s="7">
        <f>IF(E74="","",E74&amp;"_"&amp;SUBSTITUTE(TRIM(F74)," ","-")&amp;IF(G74="","","_Rev"&amp;G74))</f>
        <v/>
      </c>
      <c r="O74" s="7">
        <f>IF(A74="","",IF(K74="Superseded","99 Archive",IFERROR(INDEX('Drive Map'!$B$4:$B$33,MATCH(A74,'Drive Map'!$A$4:$A$33,0)),"")&amp;IF(AND(A74="04",J74&lt;&gt;""),"/"&amp;J74,"")))</f>
        <v/>
      </c>
      <c r="P74" s="7">
        <f>IF(O74="","",IF(IFERROR(INDEX('Drive Map'!$G$4:$G$33,MATCH(O74,'Drive Map'!$B$4:$B$33,0))&amp;"","")="","",HYPERLINK(INDEX('Drive Map'!$G$4:$G$33,MATCH(O74,'Drive Map'!$B$4:$B$33,0)),"Open")))</f>
        <v/>
      </c>
      <c r="R74" s="6" t="n"/>
    </row>
    <row r="75">
      <c r="A75" s="31" t="n"/>
      <c r="D75" s="7">
        <f>IF(OR(A75="",B75=""),"",SUMPRODUCT(MAX((A$4:A$303=A75)*(B$4:B$303=B75)*C$4:C$303))+1)</f>
        <v/>
      </c>
      <c r="E75" s="7">
        <f>IF(OR(A75="",B75="",C75=""),"",A75&amp;"-"&amp;B75&amp;"-"&amp;TEXT(C75,"000"))</f>
        <v/>
      </c>
      <c r="F75" s="6" t="n"/>
      <c r="H75" s="21" t="n"/>
      <c r="N75" s="7">
        <f>IF(E75="","",E75&amp;"_"&amp;SUBSTITUTE(TRIM(F75)," ","-")&amp;IF(G75="","","_Rev"&amp;G75))</f>
        <v/>
      </c>
      <c r="O75" s="7">
        <f>IF(A75="","",IF(K75="Superseded","99 Archive",IFERROR(INDEX('Drive Map'!$B$4:$B$33,MATCH(A75,'Drive Map'!$A$4:$A$33,0)),"")&amp;IF(AND(A75="04",J75&lt;&gt;""),"/"&amp;J75,"")))</f>
        <v/>
      </c>
      <c r="P75" s="7">
        <f>IF(O75="","",IF(IFERROR(INDEX('Drive Map'!$G$4:$G$33,MATCH(O75,'Drive Map'!$B$4:$B$33,0))&amp;"","")="","",HYPERLINK(INDEX('Drive Map'!$G$4:$G$33,MATCH(O75,'Drive Map'!$B$4:$B$33,0)),"Open")))</f>
        <v/>
      </c>
      <c r="R75" s="6" t="n"/>
    </row>
    <row r="76">
      <c r="A76" s="31" t="n"/>
      <c r="D76" s="7">
        <f>IF(OR(A76="",B76=""),"",SUMPRODUCT(MAX((A$4:A$303=A76)*(B$4:B$303=B76)*C$4:C$303))+1)</f>
        <v/>
      </c>
      <c r="E76" s="7">
        <f>IF(OR(A76="",B76="",C76=""),"",A76&amp;"-"&amp;B76&amp;"-"&amp;TEXT(C76,"000"))</f>
        <v/>
      </c>
      <c r="F76" s="6" t="n"/>
      <c r="H76" s="21" t="n"/>
      <c r="N76" s="7">
        <f>IF(E76="","",E76&amp;"_"&amp;SUBSTITUTE(TRIM(F76)," ","-")&amp;IF(G76="","","_Rev"&amp;G76))</f>
        <v/>
      </c>
      <c r="O76" s="7">
        <f>IF(A76="","",IF(K76="Superseded","99 Archive",IFERROR(INDEX('Drive Map'!$B$4:$B$33,MATCH(A76,'Drive Map'!$A$4:$A$33,0)),"")&amp;IF(AND(A76="04",J76&lt;&gt;""),"/"&amp;J76,"")))</f>
        <v/>
      </c>
      <c r="P76" s="7">
        <f>IF(O76="","",IF(IFERROR(INDEX('Drive Map'!$G$4:$G$33,MATCH(O76,'Drive Map'!$B$4:$B$33,0))&amp;"","")="","",HYPERLINK(INDEX('Drive Map'!$G$4:$G$33,MATCH(O76,'Drive Map'!$B$4:$B$33,0)),"Open")))</f>
        <v/>
      </c>
      <c r="R76" s="6" t="n"/>
    </row>
    <row r="77">
      <c r="A77" s="31" t="n"/>
      <c r="D77" s="7">
        <f>IF(OR(A77="",B77=""),"",SUMPRODUCT(MAX((A$4:A$303=A77)*(B$4:B$303=B77)*C$4:C$303))+1)</f>
        <v/>
      </c>
      <c r="E77" s="7">
        <f>IF(OR(A77="",B77="",C77=""),"",A77&amp;"-"&amp;B77&amp;"-"&amp;TEXT(C77,"000"))</f>
        <v/>
      </c>
      <c r="F77" s="6" t="n"/>
      <c r="H77" s="21" t="n"/>
      <c r="N77" s="7">
        <f>IF(E77="","",E77&amp;"_"&amp;SUBSTITUTE(TRIM(F77)," ","-")&amp;IF(G77="","","_Rev"&amp;G77))</f>
        <v/>
      </c>
      <c r="O77" s="7">
        <f>IF(A77="","",IF(K77="Superseded","99 Archive",IFERROR(INDEX('Drive Map'!$B$4:$B$33,MATCH(A77,'Drive Map'!$A$4:$A$33,0)),"")&amp;IF(AND(A77="04",J77&lt;&gt;""),"/"&amp;J77,"")))</f>
        <v/>
      </c>
      <c r="P77" s="7">
        <f>IF(O77="","",IF(IFERROR(INDEX('Drive Map'!$G$4:$G$33,MATCH(O77,'Drive Map'!$B$4:$B$33,0))&amp;"","")="","",HYPERLINK(INDEX('Drive Map'!$G$4:$G$33,MATCH(O77,'Drive Map'!$B$4:$B$33,0)),"Open")))</f>
        <v/>
      </c>
      <c r="R77" s="6" t="n"/>
    </row>
    <row r="78">
      <c r="A78" s="31" t="n"/>
      <c r="D78" s="7">
        <f>IF(OR(A78="",B78=""),"",SUMPRODUCT(MAX((A$4:A$303=A78)*(B$4:B$303=B78)*C$4:C$303))+1)</f>
        <v/>
      </c>
      <c r="E78" s="7">
        <f>IF(OR(A78="",B78="",C78=""),"",A78&amp;"-"&amp;B78&amp;"-"&amp;TEXT(C78,"000"))</f>
        <v/>
      </c>
      <c r="F78" s="6" t="n"/>
      <c r="H78" s="21" t="n"/>
      <c r="N78" s="7">
        <f>IF(E78="","",E78&amp;"_"&amp;SUBSTITUTE(TRIM(F78)," ","-")&amp;IF(G78="","","_Rev"&amp;G78))</f>
        <v/>
      </c>
      <c r="O78" s="7">
        <f>IF(A78="","",IF(K78="Superseded","99 Archive",IFERROR(INDEX('Drive Map'!$B$4:$B$33,MATCH(A78,'Drive Map'!$A$4:$A$33,0)),"")&amp;IF(AND(A78="04",J78&lt;&gt;""),"/"&amp;J78,"")))</f>
        <v/>
      </c>
      <c r="P78" s="7">
        <f>IF(O78="","",IF(IFERROR(INDEX('Drive Map'!$G$4:$G$33,MATCH(O78,'Drive Map'!$B$4:$B$33,0))&amp;"","")="","",HYPERLINK(INDEX('Drive Map'!$G$4:$G$33,MATCH(O78,'Drive Map'!$B$4:$B$33,0)),"Open")))</f>
        <v/>
      </c>
      <c r="R78" s="6" t="n"/>
    </row>
    <row r="79">
      <c r="A79" s="31" t="n"/>
      <c r="D79" s="7">
        <f>IF(OR(A79="",B79=""),"",SUMPRODUCT(MAX((A$4:A$303=A79)*(B$4:B$303=B79)*C$4:C$303))+1)</f>
        <v/>
      </c>
      <c r="E79" s="7">
        <f>IF(OR(A79="",B79="",C79=""),"",A79&amp;"-"&amp;B79&amp;"-"&amp;TEXT(C79,"000"))</f>
        <v/>
      </c>
      <c r="F79" s="6" t="n"/>
      <c r="H79" s="21" t="n"/>
      <c r="N79" s="7">
        <f>IF(E79="","",E79&amp;"_"&amp;SUBSTITUTE(TRIM(F79)," ","-")&amp;IF(G79="","","_Rev"&amp;G79))</f>
        <v/>
      </c>
      <c r="O79" s="7">
        <f>IF(A79="","",IF(K79="Superseded","99 Archive",IFERROR(INDEX('Drive Map'!$B$4:$B$33,MATCH(A79,'Drive Map'!$A$4:$A$33,0)),"")&amp;IF(AND(A79="04",J79&lt;&gt;""),"/"&amp;J79,"")))</f>
        <v/>
      </c>
      <c r="P79" s="7">
        <f>IF(O79="","",IF(IFERROR(INDEX('Drive Map'!$G$4:$G$33,MATCH(O79,'Drive Map'!$B$4:$B$33,0))&amp;"","")="","",HYPERLINK(INDEX('Drive Map'!$G$4:$G$33,MATCH(O79,'Drive Map'!$B$4:$B$33,0)),"Open")))</f>
        <v/>
      </c>
      <c r="R79" s="6" t="n"/>
    </row>
    <row r="80">
      <c r="A80" s="31" t="n"/>
      <c r="D80" s="7">
        <f>IF(OR(A80="",B80=""),"",SUMPRODUCT(MAX((A$4:A$303=A80)*(B$4:B$303=B80)*C$4:C$303))+1)</f>
        <v/>
      </c>
      <c r="E80" s="7">
        <f>IF(OR(A80="",B80="",C80=""),"",A80&amp;"-"&amp;B80&amp;"-"&amp;TEXT(C80,"000"))</f>
        <v/>
      </c>
      <c r="F80" s="6" t="n"/>
      <c r="H80" s="21" t="n"/>
      <c r="N80" s="7">
        <f>IF(E80="","",E80&amp;"_"&amp;SUBSTITUTE(TRIM(F80)," ","-")&amp;IF(G80="","","_Rev"&amp;G80))</f>
        <v/>
      </c>
      <c r="O80" s="7">
        <f>IF(A80="","",IF(K80="Superseded","99 Archive",IFERROR(INDEX('Drive Map'!$B$4:$B$33,MATCH(A80,'Drive Map'!$A$4:$A$33,0)),"")&amp;IF(AND(A80="04",J80&lt;&gt;""),"/"&amp;J80,"")))</f>
        <v/>
      </c>
      <c r="P80" s="7">
        <f>IF(O80="","",IF(IFERROR(INDEX('Drive Map'!$G$4:$G$33,MATCH(O80,'Drive Map'!$B$4:$B$33,0))&amp;"","")="","",HYPERLINK(INDEX('Drive Map'!$G$4:$G$33,MATCH(O80,'Drive Map'!$B$4:$B$33,0)),"Open")))</f>
        <v/>
      </c>
      <c r="R80" s="6" t="n"/>
    </row>
    <row r="81">
      <c r="A81" s="31" t="n"/>
      <c r="D81" s="7">
        <f>IF(OR(A81="",B81=""),"",SUMPRODUCT(MAX((A$4:A$303=A81)*(B$4:B$303=B81)*C$4:C$303))+1)</f>
        <v/>
      </c>
      <c r="E81" s="7">
        <f>IF(OR(A81="",B81="",C81=""),"",A81&amp;"-"&amp;B81&amp;"-"&amp;TEXT(C81,"000"))</f>
        <v/>
      </c>
      <c r="F81" s="6" t="n"/>
      <c r="H81" s="21" t="n"/>
      <c r="N81" s="7">
        <f>IF(E81="","",E81&amp;"_"&amp;SUBSTITUTE(TRIM(F81)," ","-")&amp;IF(G81="","","_Rev"&amp;G81))</f>
        <v/>
      </c>
      <c r="O81" s="7">
        <f>IF(A81="","",IF(K81="Superseded","99 Archive",IFERROR(INDEX('Drive Map'!$B$4:$B$33,MATCH(A81,'Drive Map'!$A$4:$A$33,0)),"")&amp;IF(AND(A81="04",J81&lt;&gt;""),"/"&amp;J81,"")))</f>
        <v/>
      </c>
      <c r="P81" s="7">
        <f>IF(O81="","",IF(IFERROR(INDEX('Drive Map'!$G$4:$G$33,MATCH(O81,'Drive Map'!$B$4:$B$33,0))&amp;"","")="","",HYPERLINK(INDEX('Drive Map'!$G$4:$G$33,MATCH(O81,'Drive Map'!$B$4:$B$33,0)),"Open")))</f>
        <v/>
      </c>
      <c r="R81" s="6" t="n"/>
    </row>
    <row r="82">
      <c r="A82" s="31" t="n"/>
      <c r="D82" s="7">
        <f>IF(OR(A82="",B82=""),"",SUMPRODUCT(MAX((A$4:A$303=A82)*(B$4:B$303=B82)*C$4:C$303))+1)</f>
        <v/>
      </c>
      <c r="E82" s="7">
        <f>IF(OR(A82="",B82="",C82=""),"",A82&amp;"-"&amp;B82&amp;"-"&amp;TEXT(C82,"000"))</f>
        <v/>
      </c>
      <c r="F82" s="6" t="n"/>
      <c r="H82" s="21" t="n"/>
      <c r="N82" s="7">
        <f>IF(E82="","",E82&amp;"_"&amp;SUBSTITUTE(TRIM(F82)," ","-")&amp;IF(G82="","","_Rev"&amp;G82))</f>
        <v/>
      </c>
      <c r="O82" s="7">
        <f>IF(A82="","",IF(K82="Superseded","99 Archive",IFERROR(INDEX('Drive Map'!$B$4:$B$33,MATCH(A82,'Drive Map'!$A$4:$A$33,0)),"")&amp;IF(AND(A82="04",J82&lt;&gt;""),"/"&amp;J82,"")))</f>
        <v/>
      </c>
      <c r="P82" s="7">
        <f>IF(O82="","",IF(IFERROR(INDEX('Drive Map'!$G$4:$G$33,MATCH(O82,'Drive Map'!$B$4:$B$33,0))&amp;"","")="","",HYPERLINK(INDEX('Drive Map'!$G$4:$G$33,MATCH(O82,'Drive Map'!$B$4:$B$33,0)),"Open")))</f>
        <v/>
      </c>
      <c r="R82" s="6" t="n"/>
    </row>
    <row r="83">
      <c r="A83" s="31" t="n"/>
      <c r="D83" s="7">
        <f>IF(OR(A83="",B83=""),"",SUMPRODUCT(MAX((A$4:A$303=A83)*(B$4:B$303=B83)*C$4:C$303))+1)</f>
        <v/>
      </c>
      <c r="E83" s="7">
        <f>IF(OR(A83="",B83="",C83=""),"",A83&amp;"-"&amp;B83&amp;"-"&amp;TEXT(C83,"000"))</f>
        <v/>
      </c>
      <c r="F83" s="6" t="n"/>
      <c r="H83" s="21" t="n"/>
      <c r="N83" s="7">
        <f>IF(E83="","",E83&amp;"_"&amp;SUBSTITUTE(TRIM(F83)," ","-")&amp;IF(G83="","","_Rev"&amp;G83))</f>
        <v/>
      </c>
      <c r="O83" s="7">
        <f>IF(A83="","",IF(K83="Superseded","99 Archive",IFERROR(INDEX('Drive Map'!$B$4:$B$33,MATCH(A83,'Drive Map'!$A$4:$A$33,0)),"")&amp;IF(AND(A83="04",J83&lt;&gt;""),"/"&amp;J83,"")))</f>
        <v/>
      </c>
      <c r="P83" s="7">
        <f>IF(O83="","",IF(IFERROR(INDEX('Drive Map'!$G$4:$G$33,MATCH(O83,'Drive Map'!$B$4:$B$33,0))&amp;"","")="","",HYPERLINK(INDEX('Drive Map'!$G$4:$G$33,MATCH(O83,'Drive Map'!$B$4:$B$33,0)),"Open")))</f>
        <v/>
      </c>
      <c r="R83" s="6" t="n"/>
    </row>
    <row r="84">
      <c r="A84" s="31" t="n"/>
      <c r="D84" s="7">
        <f>IF(OR(A84="",B84=""),"",SUMPRODUCT(MAX((A$4:A$303=A84)*(B$4:B$303=B84)*C$4:C$303))+1)</f>
        <v/>
      </c>
      <c r="E84" s="7">
        <f>IF(OR(A84="",B84="",C84=""),"",A84&amp;"-"&amp;B84&amp;"-"&amp;TEXT(C84,"000"))</f>
        <v/>
      </c>
      <c r="F84" s="6" t="n"/>
      <c r="H84" s="21" t="n"/>
      <c r="N84" s="7">
        <f>IF(E84="","",E84&amp;"_"&amp;SUBSTITUTE(TRIM(F84)," ","-")&amp;IF(G84="","","_Rev"&amp;G84))</f>
        <v/>
      </c>
      <c r="O84" s="7">
        <f>IF(A84="","",IF(K84="Superseded","99 Archive",IFERROR(INDEX('Drive Map'!$B$4:$B$33,MATCH(A84,'Drive Map'!$A$4:$A$33,0)),"")&amp;IF(AND(A84="04",J84&lt;&gt;""),"/"&amp;J84,"")))</f>
        <v/>
      </c>
      <c r="P84" s="7">
        <f>IF(O84="","",IF(IFERROR(INDEX('Drive Map'!$G$4:$G$33,MATCH(O84,'Drive Map'!$B$4:$B$33,0))&amp;"","")="","",HYPERLINK(INDEX('Drive Map'!$G$4:$G$33,MATCH(O84,'Drive Map'!$B$4:$B$33,0)),"Open")))</f>
        <v/>
      </c>
      <c r="R84" s="6" t="n"/>
    </row>
    <row r="85">
      <c r="A85" s="31" t="n"/>
      <c r="D85" s="7">
        <f>IF(OR(A85="",B85=""),"",SUMPRODUCT(MAX((A$4:A$303=A85)*(B$4:B$303=B85)*C$4:C$303))+1)</f>
        <v/>
      </c>
      <c r="E85" s="7">
        <f>IF(OR(A85="",B85="",C85=""),"",A85&amp;"-"&amp;B85&amp;"-"&amp;TEXT(C85,"000"))</f>
        <v/>
      </c>
      <c r="F85" s="6" t="n"/>
      <c r="H85" s="21" t="n"/>
      <c r="N85" s="7">
        <f>IF(E85="","",E85&amp;"_"&amp;SUBSTITUTE(TRIM(F85)," ","-")&amp;IF(G85="","","_Rev"&amp;G85))</f>
        <v/>
      </c>
      <c r="O85" s="7">
        <f>IF(A85="","",IF(K85="Superseded","99 Archive",IFERROR(INDEX('Drive Map'!$B$4:$B$33,MATCH(A85,'Drive Map'!$A$4:$A$33,0)),"")&amp;IF(AND(A85="04",J85&lt;&gt;""),"/"&amp;J85,"")))</f>
        <v/>
      </c>
      <c r="P85" s="7">
        <f>IF(O85="","",IF(IFERROR(INDEX('Drive Map'!$G$4:$G$33,MATCH(O85,'Drive Map'!$B$4:$B$33,0))&amp;"","")="","",HYPERLINK(INDEX('Drive Map'!$G$4:$G$33,MATCH(O85,'Drive Map'!$B$4:$B$33,0)),"Open")))</f>
        <v/>
      </c>
      <c r="R85" s="6" t="n"/>
    </row>
    <row r="86">
      <c r="A86" s="31" t="n"/>
      <c r="D86" s="7">
        <f>IF(OR(A86="",B86=""),"",SUMPRODUCT(MAX((A$4:A$303=A86)*(B$4:B$303=B86)*C$4:C$303))+1)</f>
        <v/>
      </c>
      <c r="E86" s="7">
        <f>IF(OR(A86="",B86="",C86=""),"",A86&amp;"-"&amp;B86&amp;"-"&amp;TEXT(C86,"000"))</f>
        <v/>
      </c>
      <c r="F86" s="6" t="n"/>
      <c r="H86" s="21" t="n"/>
      <c r="N86" s="7">
        <f>IF(E86="","",E86&amp;"_"&amp;SUBSTITUTE(TRIM(F86)," ","-")&amp;IF(G86="","","_Rev"&amp;G86))</f>
        <v/>
      </c>
      <c r="O86" s="7">
        <f>IF(A86="","",IF(K86="Superseded","99 Archive",IFERROR(INDEX('Drive Map'!$B$4:$B$33,MATCH(A86,'Drive Map'!$A$4:$A$33,0)),"")&amp;IF(AND(A86="04",J86&lt;&gt;""),"/"&amp;J86,"")))</f>
        <v/>
      </c>
      <c r="P86" s="7">
        <f>IF(O86="","",IF(IFERROR(INDEX('Drive Map'!$G$4:$G$33,MATCH(O86,'Drive Map'!$B$4:$B$33,0))&amp;"","")="","",HYPERLINK(INDEX('Drive Map'!$G$4:$G$33,MATCH(O86,'Drive Map'!$B$4:$B$33,0)),"Open")))</f>
        <v/>
      </c>
      <c r="R86" s="6" t="n"/>
    </row>
    <row r="87">
      <c r="A87" s="31" t="n"/>
      <c r="D87" s="7">
        <f>IF(OR(A87="",B87=""),"",SUMPRODUCT(MAX((A$4:A$303=A87)*(B$4:B$303=B87)*C$4:C$303))+1)</f>
        <v/>
      </c>
      <c r="E87" s="7">
        <f>IF(OR(A87="",B87="",C87=""),"",A87&amp;"-"&amp;B87&amp;"-"&amp;TEXT(C87,"000"))</f>
        <v/>
      </c>
      <c r="F87" s="6" t="n"/>
      <c r="H87" s="21" t="n"/>
      <c r="N87" s="7">
        <f>IF(E87="","",E87&amp;"_"&amp;SUBSTITUTE(TRIM(F87)," ","-")&amp;IF(G87="","","_Rev"&amp;G87))</f>
        <v/>
      </c>
      <c r="O87" s="7">
        <f>IF(A87="","",IF(K87="Superseded","99 Archive",IFERROR(INDEX('Drive Map'!$B$4:$B$33,MATCH(A87,'Drive Map'!$A$4:$A$33,0)),"")&amp;IF(AND(A87="04",J87&lt;&gt;""),"/"&amp;J87,"")))</f>
        <v/>
      </c>
      <c r="P87" s="7">
        <f>IF(O87="","",IF(IFERROR(INDEX('Drive Map'!$G$4:$G$33,MATCH(O87,'Drive Map'!$B$4:$B$33,0))&amp;"","")="","",HYPERLINK(INDEX('Drive Map'!$G$4:$G$33,MATCH(O87,'Drive Map'!$B$4:$B$33,0)),"Open")))</f>
        <v/>
      </c>
      <c r="R87" s="6" t="n"/>
    </row>
    <row r="88">
      <c r="A88" s="31" t="n"/>
      <c r="D88" s="7">
        <f>IF(OR(A88="",B88=""),"",SUMPRODUCT(MAX((A$4:A$303=A88)*(B$4:B$303=B88)*C$4:C$303))+1)</f>
        <v/>
      </c>
      <c r="E88" s="7">
        <f>IF(OR(A88="",B88="",C88=""),"",A88&amp;"-"&amp;B88&amp;"-"&amp;TEXT(C88,"000"))</f>
        <v/>
      </c>
      <c r="F88" s="6" t="n"/>
      <c r="H88" s="21" t="n"/>
      <c r="N88" s="7">
        <f>IF(E88="","",E88&amp;"_"&amp;SUBSTITUTE(TRIM(F88)," ","-")&amp;IF(G88="","","_Rev"&amp;G88))</f>
        <v/>
      </c>
      <c r="O88" s="7">
        <f>IF(A88="","",IF(K88="Superseded","99 Archive",IFERROR(INDEX('Drive Map'!$B$4:$B$33,MATCH(A88,'Drive Map'!$A$4:$A$33,0)),"")&amp;IF(AND(A88="04",J88&lt;&gt;""),"/"&amp;J88,"")))</f>
        <v/>
      </c>
      <c r="P88" s="7">
        <f>IF(O88="","",IF(IFERROR(INDEX('Drive Map'!$G$4:$G$33,MATCH(O88,'Drive Map'!$B$4:$B$33,0))&amp;"","")="","",HYPERLINK(INDEX('Drive Map'!$G$4:$G$33,MATCH(O88,'Drive Map'!$B$4:$B$33,0)),"Open")))</f>
        <v/>
      </c>
      <c r="R88" s="6" t="n"/>
    </row>
    <row r="89">
      <c r="A89" s="31" t="n"/>
      <c r="D89" s="7">
        <f>IF(OR(A89="",B89=""),"",SUMPRODUCT(MAX((A$4:A$303=A89)*(B$4:B$303=B89)*C$4:C$303))+1)</f>
        <v/>
      </c>
      <c r="E89" s="7">
        <f>IF(OR(A89="",B89="",C89=""),"",A89&amp;"-"&amp;B89&amp;"-"&amp;TEXT(C89,"000"))</f>
        <v/>
      </c>
      <c r="F89" s="6" t="n"/>
      <c r="H89" s="21" t="n"/>
      <c r="N89" s="7">
        <f>IF(E89="","",E89&amp;"_"&amp;SUBSTITUTE(TRIM(F89)," ","-")&amp;IF(G89="","","_Rev"&amp;G89))</f>
        <v/>
      </c>
      <c r="O89" s="7">
        <f>IF(A89="","",IF(K89="Superseded","99 Archive",IFERROR(INDEX('Drive Map'!$B$4:$B$33,MATCH(A89,'Drive Map'!$A$4:$A$33,0)),"")&amp;IF(AND(A89="04",J89&lt;&gt;""),"/"&amp;J89,"")))</f>
        <v/>
      </c>
      <c r="P89" s="7">
        <f>IF(O89="","",IF(IFERROR(INDEX('Drive Map'!$G$4:$G$33,MATCH(O89,'Drive Map'!$B$4:$B$33,0))&amp;"","")="","",HYPERLINK(INDEX('Drive Map'!$G$4:$G$33,MATCH(O89,'Drive Map'!$B$4:$B$33,0)),"Open")))</f>
        <v/>
      </c>
      <c r="R89" s="6" t="n"/>
    </row>
    <row r="90">
      <c r="A90" s="31" t="n"/>
      <c r="D90" s="7">
        <f>IF(OR(A90="",B90=""),"",SUMPRODUCT(MAX((A$4:A$303=A90)*(B$4:B$303=B90)*C$4:C$303))+1)</f>
        <v/>
      </c>
      <c r="E90" s="7">
        <f>IF(OR(A90="",B90="",C90=""),"",A90&amp;"-"&amp;B90&amp;"-"&amp;TEXT(C90,"000"))</f>
        <v/>
      </c>
      <c r="F90" s="6" t="n"/>
      <c r="H90" s="21" t="n"/>
      <c r="N90" s="7">
        <f>IF(E90="","",E90&amp;"_"&amp;SUBSTITUTE(TRIM(F90)," ","-")&amp;IF(G90="","","_Rev"&amp;G90))</f>
        <v/>
      </c>
      <c r="O90" s="7">
        <f>IF(A90="","",IF(K90="Superseded","99 Archive",IFERROR(INDEX('Drive Map'!$B$4:$B$33,MATCH(A90,'Drive Map'!$A$4:$A$33,0)),"")&amp;IF(AND(A90="04",J90&lt;&gt;""),"/"&amp;J90,"")))</f>
        <v/>
      </c>
      <c r="P90" s="7">
        <f>IF(O90="","",IF(IFERROR(INDEX('Drive Map'!$G$4:$G$33,MATCH(O90,'Drive Map'!$B$4:$B$33,0))&amp;"","")="","",HYPERLINK(INDEX('Drive Map'!$G$4:$G$33,MATCH(O90,'Drive Map'!$B$4:$B$33,0)),"Open")))</f>
        <v/>
      </c>
      <c r="R90" s="6" t="n"/>
    </row>
    <row r="91">
      <c r="A91" s="31" t="n"/>
      <c r="D91" s="7">
        <f>IF(OR(A91="",B91=""),"",SUMPRODUCT(MAX((A$4:A$303=A91)*(B$4:B$303=B91)*C$4:C$303))+1)</f>
        <v/>
      </c>
      <c r="E91" s="7">
        <f>IF(OR(A91="",B91="",C91=""),"",A91&amp;"-"&amp;B91&amp;"-"&amp;TEXT(C91,"000"))</f>
        <v/>
      </c>
      <c r="F91" s="6" t="n"/>
      <c r="H91" s="21" t="n"/>
      <c r="N91" s="7">
        <f>IF(E91="","",E91&amp;"_"&amp;SUBSTITUTE(TRIM(F91)," ","-")&amp;IF(G91="","","_Rev"&amp;G91))</f>
        <v/>
      </c>
      <c r="O91" s="7">
        <f>IF(A91="","",IF(K91="Superseded","99 Archive",IFERROR(INDEX('Drive Map'!$B$4:$B$33,MATCH(A91,'Drive Map'!$A$4:$A$33,0)),"")&amp;IF(AND(A91="04",J91&lt;&gt;""),"/"&amp;J91,"")))</f>
        <v/>
      </c>
      <c r="P91" s="7">
        <f>IF(O91="","",IF(IFERROR(INDEX('Drive Map'!$G$4:$G$33,MATCH(O91,'Drive Map'!$B$4:$B$33,0))&amp;"","")="","",HYPERLINK(INDEX('Drive Map'!$G$4:$G$33,MATCH(O91,'Drive Map'!$B$4:$B$33,0)),"Open")))</f>
        <v/>
      </c>
      <c r="R91" s="6" t="n"/>
    </row>
    <row r="92">
      <c r="A92" s="31" t="n"/>
      <c r="D92" s="7">
        <f>IF(OR(A92="",B92=""),"",SUMPRODUCT(MAX((A$4:A$303=A92)*(B$4:B$303=B92)*C$4:C$303))+1)</f>
        <v/>
      </c>
      <c r="E92" s="7">
        <f>IF(OR(A92="",B92="",C92=""),"",A92&amp;"-"&amp;B92&amp;"-"&amp;TEXT(C92,"000"))</f>
        <v/>
      </c>
      <c r="F92" s="6" t="n"/>
      <c r="H92" s="21" t="n"/>
      <c r="N92" s="7">
        <f>IF(E92="","",E92&amp;"_"&amp;SUBSTITUTE(TRIM(F92)," ","-")&amp;IF(G92="","","_Rev"&amp;G92))</f>
        <v/>
      </c>
      <c r="O92" s="7">
        <f>IF(A92="","",IF(K92="Superseded","99 Archive",IFERROR(INDEX('Drive Map'!$B$4:$B$33,MATCH(A92,'Drive Map'!$A$4:$A$33,0)),"")&amp;IF(AND(A92="04",J92&lt;&gt;""),"/"&amp;J92,"")))</f>
        <v/>
      </c>
      <c r="P92" s="7">
        <f>IF(O92="","",IF(IFERROR(INDEX('Drive Map'!$G$4:$G$33,MATCH(O92,'Drive Map'!$B$4:$B$33,0))&amp;"","")="","",HYPERLINK(INDEX('Drive Map'!$G$4:$G$33,MATCH(O92,'Drive Map'!$B$4:$B$33,0)),"Open")))</f>
        <v/>
      </c>
      <c r="R92" s="6" t="n"/>
    </row>
    <row r="93">
      <c r="A93" s="31" t="n"/>
      <c r="D93" s="7">
        <f>IF(OR(A93="",B93=""),"",SUMPRODUCT(MAX((A$4:A$303=A93)*(B$4:B$303=B93)*C$4:C$303))+1)</f>
        <v/>
      </c>
      <c r="E93" s="7">
        <f>IF(OR(A93="",B93="",C93=""),"",A93&amp;"-"&amp;B93&amp;"-"&amp;TEXT(C93,"000"))</f>
        <v/>
      </c>
      <c r="F93" s="6" t="n"/>
      <c r="H93" s="21" t="n"/>
      <c r="N93" s="7">
        <f>IF(E93="","",E93&amp;"_"&amp;SUBSTITUTE(TRIM(F93)," ","-")&amp;IF(G93="","","_Rev"&amp;G93))</f>
        <v/>
      </c>
      <c r="O93" s="7">
        <f>IF(A93="","",IF(K93="Superseded","99 Archive",IFERROR(INDEX('Drive Map'!$B$4:$B$33,MATCH(A93,'Drive Map'!$A$4:$A$33,0)),"")&amp;IF(AND(A93="04",J93&lt;&gt;""),"/"&amp;J93,"")))</f>
        <v/>
      </c>
      <c r="P93" s="7">
        <f>IF(O93="","",IF(IFERROR(INDEX('Drive Map'!$G$4:$G$33,MATCH(O93,'Drive Map'!$B$4:$B$33,0))&amp;"","")="","",HYPERLINK(INDEX('Drive Map'!$G$4:$G$33,MATCH(O93,'Drive Map'!$B$4:$B$33,0)),"Open")))</f>
        <v/>
      </c>
      <c r="R93" s="6" t="n"/>
    </row>
    <row r="94">
      <c r="A94" s="31" t="n"/>
      <c r="D94" s="7">
        <f>IF(OR(A94="",B94=""),"",SUMPRODUCT(MAX((A$4:A$303=A94)*(B$4:B$303=B94)*C$4:C$303))+1)</f>
        <v/>
      </c>
      <c r="E94" s="7">
        <f>IF(OR(A94="",B94="",C94=""),"",A94&amp;"-"&amp;B94&amp;"-"&amp;TEXT(C94,"000"))</f>
        <v/>
      </c>
      <c r="F94" s="6" t="n"/>
      <c r="H94" s="21" t="n"/>
      <c r="N94" s="7">
        <f>IF(E94="","",E94&amp;"_"&amp;SUBSTITUTE(TRIM(F94)," ","-")&amp;IF(G94="","","_Rev"&amp;G94))</f>
        <v/>
      </c>
      <c r="O94" s="7">
        <f>IF(A94="","",IF(K94="Superseded","99 Archive",IFERROR(INDEX('Drive Map'!$B$4:$B$33,MATCH(A94,'Drive Map'!$A$4:$A$33,0)),"")&amp;IF(AND(A94="04",J94&lt;&gt;""),"/"&amp;J94,"")))</f>
        <v/>
      </c>
      <c r="P94" s="7">
        <f>IF(O94="","",IF(IFERROR(INDEX('Drive Map'!$G$4:$G$33,MATCH(O94,'Drive Map'!$B$4:$B$33,0))&amp;"","")="","",HYPERLINK(INDEX('Drive Map'!$G$4:$G$33,MATCH(O94,'Drive Map'!$B$4:$B$33,0)),"Open")))</f>
        <v/>
      </c>
      <c r="R94" s="6" t="n"/>
    </row>
    <row r="95">
      <c r="A95" s="31" t="n"/>
      <c r="D95" s="7">
        <f>IF(OR(A95="",B95=""),"",SUMPRODUCT(MAX((A$4:A$303=A95)*(B$4:B$303=B95)*C$4:C$303))+1)</f>
        <v/>
      </c>
      <c r="E95" s="7">
        <f>IF(OR(A95="",B95="",C95=""),"",A95&amp;"-"&amp;B95&amp;"-"&amp;TEXT(C95,"000"))</f>
        <v/>
      </c>
      <c r="F95" s="6" t="n"/>
      <c r="H95" s="21" t="n"/>
      <c r="N95" s="7">
        <f>IF(E95="","",E95&amp;"_"&amp;SUBSTITUTE(TRIM(F95)," ","-")&amp;IF(G95="","","_Rev"&amp;G95))</f>
        <v/>
      </c>
      <c r="O95" s="7">
        <f>IF(A95="","",IF(K95="Superseded","99 Archive",IFERROR(INDEX('Drive Map'!$B$4:$B$33,MATCH(A95,'Drive Map'!$A$4:$A$33,0)),"")&amp;IF(AND(A95="04",J95&lt;&gt;""),"/"&amp;J95,"")))</f>
        <v/>
      </c>
      <c r="P95" s="7">
        <f>IF(O95="","",IF(IFERROR(INDEX('Drive Map'!$G$4:$G$33,MATCH(O95,'Drive Map'!$B$4:$B$33,0))&amp;"","")="","",HYPERLINK(INDEX('Drive Map'!$G$4:$G$33,MATCH(O95,'Drive Map'!$B$4:$B$33,0)),"Open")))</f>
        <v/>
      </c>
      <c r="R95" s="6" t="n"/>
    </row>
    <row r="96">
      <c r="A96" s="31" t="n"/>
      <c r="D96" s="7">
        <f>IF(OR(A96="",B96=""),"",SUMPRODUCT(MAX((A$4:A$303=A96)*(B$4:B$303=B96)*C$4:C$303))+1)</f>
        <v/>
      </c>
      <c r="E96" s="7">
        <f>IF(OR(A96="",B96="",C96=""),"",A96&amp;"-"&amp;B96&amp;"-"&amp;TEXT(C96,"000"))</f>
        <v/>
      </c>
      <c r="F96" s="6" t="n"/>
      <c r="H96" s="21" t="n"/>
      <c r="N96" s="7">
        <f>IF(E96="","",E96&amp;"_"&amp;SUBSTITUTE(TRIM(F96)," ","-")&amp;IF(G96="","","_Rev"&amp;G96))</f>
        <v/>
      </c>
      <c r="O96" s="7">
        <f>IF(A96="","",IF(K96="Superseded","99 Archive",IFERROR(INDEX('Drive Map'!$B$4:$B$33,MATCH(A96,'Drive Map'!$A$4:$A$33,0)),"")&amp;IF(AND(A96="04",J96&lt;&gt;""),"/"&amp;J96,"")))</f>
        <v/>
      </c>
      <c r="P96" s="7">
        <f>IF(O96="","",IF(IFERROR(INDEX('Drive Map'!$G$4:$G$33,MATCH(O96,'Drive Map'!$B$4:$B$33,0))&amp;"","")="","",HYPERLINK(INDEX('Drive Map'!$G$4:$G$33,MATCH(O96,'Drive Map'!$B$4:$B$33,0)),"Open")))</f>
        <v/>
      </c>
      <c r="R96" s="6" t="n"/>
    </row>
    <row r="97">
      <c r="A97" s="31" t="n"/>
      <c r="D97" s="7">
        <f>IF(OR(A97="",B97=""),"",SUMPRODUCT(MAX((A$4:A$303=A97)*(B$4:B$303=B97)*C$4:C$303))+1)</f>
        <v/>
      </c>
      <c r="E97" s="7">
        <f>IF(OR(A97="",B97="",C97=""),"",A97&amp;"-"&amp;B97&amp;"-"&amp;TEXT(C97,"000"))</f>
        <v/>
      </c>
      <c r="F97" s="6" t="n"/>
      <c r="H97" s="21" t="n"/>
      <c r="N97" s="7">
        <f>IF(E97="","",E97&amp;"_"&amp;SUBSTITUTE(TRIM(F97)," ","-")&amp;IF(G97="","","_Rev"&amp;G97))</f>
        <v/>
      </c>
      <c r="O97" s="7">
        <f>IF(A97="","",IF(K97="Superseded","99 Archive",IFERROR(INDEX('Drive Map'!$B$4:$B$33,MATCH(A97,'Drive Map'!$A$4:$A$33,0)),"")&amp;IF(AND(A97="04",J97&lt;&gt;""),"/"&amp;J97,"")))</f>
        <v/>
      </c>
      <c r="P97" s="7">
        <f>IF(O97="","",IF(IFERROR(INDEX('Drive Map'!$G$4:$G$33,MATCH(O97,'Drive Map'!$B$4:$B$33,0))&amp;"","")="","",HYPERLINK(INDEX('Drive Map'!$G$4:$G$33,MATCH(O97,'Drive Map'!$B$4:$B$33,0)),"Open")))</f>
        <v/>
      </c>
      <c r="R97" s="6" t="n"/>
    </row>
    <row r="98">
      <c r="A98" s="31" t="n"/>
      <c r="D98" s="7">
        <f>IF(OR(A98="",B98=""),"",SUMPRODUCT(MAX((A$4:A$303=A98)*(B$4:B$303=B98)*C$4:C$303))+1)</f>
        <v/>
      </c>
      <c r="E98" s="7">
        <f>IF(OR(A98="",B98="",C98=""),"",A98&amp;"-"&amp;B98&amp;"-"&amp;TEXT(C98,"000"))</f>
        <v/>
      </c>
      <c r="F98" s="6" t="n"/>
      <c r="H98" s="21" t="n"/>
      <c r="N98" s="7">
        <f>IF(E98="","",E98&amp;"_"&amp;SUBSTITUTE(TRIM(F98)," ","-")&amp;IF(G98="","","_Rev"&amp;G98))</f>
        <v/>
      </c>
      <c r="O98" s="7">
        <f>IF(A98="","",IF(K98="Superseded","99 Archive",IFERROR(INDEX('Drive Map'!$B$4:$B$33,MATCH(A98,'Drive Map'!$A$4:$A$33,0)),"")&amp;IF(AND(A98="04",J98&lt;&gt;""),"/"&amp;J98,"")))</f>
        <v/>
      </c>
      <c r="P98" s="7">
        <f>IF(O98="","",IF(IFERROR(INDEX('Drive Map'!$G$4:$G$33,MATCH(O98,'Drive Map'!$B$4:$B$33,0))&amp;"","")="","",HYPERLINK(INDEX('Drive Map'!$G$4:$G$33,MATCH(O98,'Drive Map'!$B$4:$B$33,0)),"Open")))</f>
        <v/>
      </c>
      <c r="R98" s="6" t="n"/>
    </row>
    <row r="99">
      <c r="A99" s="31" t="n"/>
      <c r="D99" s="7">
        <f>IF(OR(A99="",B99=""),"",SUMPRODUCT(MAX((A$4:A$303=A99)*(B$4:B$303=B99)*C$4:C$303))+1)</f>
        <v/>
      </c>
      <c r="E99" s="7">
        <f>IF(OR(A99="",B99="",C99=""),"",A99&amp;"-"&amp;B99&amp;"-"&amp;TEXT(C99,"000"))</f>
        <v/>
      </c>
      <c r="F99" s="6" t="n"/>
      <c r="H99" s="21" t="n"/>
      <c r="N99" s="7">
        <f>IF(E99="","",E99&amp;"_"&amp;SUBSTITUTE(TRIM(F99)," ","-")&amp;IF(G99="","","_Rev"&amp;G99))</f>
        <v/>
      </c>
      <c r="O99" s="7">
        <f>IF(A99="","",IF(K99="Superseded","99 Archive",IFERROR(INDEX('Drive Map'!$B$4:$B$33,MATCH(A99,'Drive Map'!$A$4:$A$33,0)),"")&amp;IF(AND(A99="04",J99&lt;&gt;""),"/"&amp;J99,"")))</f>
        <v/>
      </c>
      <c r="P99" s="7">
        <f>IF(O99="","",IF(IFERROR(INDEX('Drive Map'!$G$4:$G$33,MATCH(O99,'Drive Map'!$B$4:$B$33,0))&amp;"","")="","",HYPERLINK(INDEX('Drive Map'!$G$4:$G$33,MATCH(O99,'Drive Map'!$B$4:$B$33,0)),"Open")))</f>
        <v/>
      </c>
      <c r="R99" s="6" t="n"/>
    </row>
    <row r="100">
      <c r="A100" s="31" t="n"/>
      <c r="D100" s="7">
        <f>IF(OR(A100="",B100=""),"",SUMPRODUCT(MAX((A$4:A$303=A100)*(B$4:B$303=B100)*C$4:C$303))+1)</f>
        <v/>
      </c>
      <c r="E100" s="7">
        <f>IF(OR(A100="",B100="",C100=""),"",A100&amp;"-"&amp;B100&amp;"-"&amp;TEXT(C100,"000"))</f>
        <v/>
      </c>
      <c r="F100" s="6" t="n"/>
      <c r="H100" s="21" t="n"/>
      <c r="N100" s="7">
        <f>IF(E100="","",E100&amp;"_"&amp;SUBSTITUTE(TRIM(F100)," ","-")&amp;IF(G100="","","_Rev"&amp;G100))</f>
        <v/>
      </c>
      <c r="O100" s="7">
        <f>IF(A100="","",IF(K100="Superseded","99 Archive",IFERROR(INDEX('Drive Map'!$B$4:$B$33,MATCH(A100,'Drive Map'!$A$4:$A$33,0)),"")&amp;IF(AND(A100="04",J100&lt;&gt;""),"/"&amp;J100,"")))</f>
        <v/>
      </c>
      <c r="P100" s="7">
        <f>IF(O100="","",IF(IFERROR(INDEX('Drive Map'!$G$4:$G$33,MATCH(O100,'Drive Map'!$B$4:$B$33,0))&amp;"","")="","",HYPERLINK(INDEX('Drive Map'!$G$4:$G$33,MATCH(O100,'Drive Map'!$B$4:$B$33,0)),"Open")))</f>
        <v/>
      </c>
      <c r="R100" s="6" t="n"/>
    </row>
    <row r="101">
      <c r="A101" s="31" t="n"/>
      <c r="D101" s="7">
        <f>IF(OR(A101="",B101=""),"",SUMPRODUCT(MAX((A$4:A$303=A101)*(B$4:B$303=B101)*C$4:C$303))+1)</f>
        <v/>
      </c>
      <c r="E101" s="7">
        <f>IF(OR(A101="",B101="",C101=""),"",A101&amp;"-"&amp;B101&amp;"-"&amp;TEXT(C101,"000"))</f>
        <v/>
      </c>
      <c r="F101" s="6" t="n"/>
      <c r="H101" s="21" t="n"/>
      <c r="N101" s="7">
        <f>IF(E101="","",E101&amp;"_"&amp;SUBSTITUTE(TRIM(F101)," ","-")&amp;IF(G101="","","_Rev"&amp;G101))</f>
        <v/>
      </c>
      <c r="O101" s="7">
        <f>IF(A101="","",IF(K101="Superseded","99 Archive",IFERROR(INDEX('Drive Map'!$B$4:$B$33,MATCH(A101,'Drive Map'!$A$4:$A$33,0)),"")&amp;IF(AND(A101="04",J101&lt;&gt;""),"/"&amp;J101,"")))</f>
        <v/>
      </c>
      <c r="P101" s="7">
        <f>IF(O101="","",IF(IFERROR(INDEX('Drive Map'!$G$4:$G$33,MATCH(O101,'Drive Map'!$B$4:$B$33,0))&amp;"","")="","",HYPERLINK(INDEX('Drive Map'!$G$4:$G$33,MATCH(O101,'Drive Map'!$B$4:$B$33,0)),"Open")))</f>
        <v/>
      </c>
      <c r="R101" s="6" t="n"/>
    </row>
    <row r="102">
      <c r="A102" s="31" t="n"/>
      <c r="D102" s="7">
        <f>IF(OR(A102="",B102=""),"",SUMPRODUCT(MAX((A$4:A$303=A102)*(B$4:B$303=B102)*C$4:C$303))+1)</f>
        <v/>
      </c>
      <c r="E102" s="7">
        <f>IF(OR(A102="",B102="",C102=""),"",A102&amp;"-"&amp;B102&amp;"-"&amp;TEXT(C102,"000"))</f>
        <v/>
      </c>
      <c r="F102" s="6" t="n"/>
      <c r="H102" s="21" t="n"/>
      <c r="N102" s="7">
        <f>IF(E102="","",E102&amp;"_"&amp;SUBSTITUTE(TRIM(F102)," ","-")&amp;IF(G102="","","_Rev"&amp;G102))</f>
        <v/>
      </c>
      <c r="O102" s="7">
        <f>IF(A102="","",IF(K102="Superseded","99 Archive",IFERROR(INDEX('Drive Map'!$B$4:$B$33,MATCH(A102,'Drive Map'!$A$4:$A$33,0)),"")&amp;IF(AND(A102="04",J102&lt;&gt;""),"/"&amp;J102,"")))</f>
        <v/>
      </c>
      <c r="P102" s="7">
        <f>IF(O102="","",IF(IFERROR(INDEX('Drive Map'!$G$4:$G$33,MATCH(O102,'Drive Map'!$B$4:$B$33,0))&amp;"","")="","",HYPERLINK(INDEX('Drive Map'!$G$4:$G$33,MATCH(O102,'Drive Map'!$B$4:$B$33,0)),"Open")))</f>
        <v/>
      </c>
      <c r="R102" s="6" t="n"/>
    </row>
    <row r="103">
      <c r="A103" s="31" t="n"/>
      <c r="D103" s="7">
        <f>IF(OR(A103="",B103=""),"",SUMPRODUCT(MAX((A$4:A$303=A103)*(B$4:B$303=B103)*C$4:C$303))+1)</f>
        <v/>
      </c>
      <c r="E103" s="7">
        <f>IF(OR(A103="",B103="",C103=""),"",A103&amp;"-"&amp;B103&amp;"-"&amp;TEXT(C103,"000"))</f>
        <v/>
      </c>
      <c r="F103" s="6" t="n"/>
      <c r="H103" s="21" t="n"/>
      <c r="N103" s="7">
        <f>IF(E103="","",E103&amp;"_"&amp;SUBSTITUTE(TRIM(F103)," ","-")&amp;IF(G103="","","_Rev"&amp;G103))</f>
        <v/>
      </c>
      <c r="O103" s="7">
        <f>IF(A103="","",IF(K103="Superseded","99 Archive",IFERROR(INDEX('Drive Map'!$B$4:$B$33,MATCH(A103,'Drive Map'!$A$4:$A$33,0)),"")&amp;IF(AND(A103="04",J103&lt;&gt;""),"/"&amp;J103,"")))</f>
        <v/>
      </c>
      <c r="P103" s="7">
        <f>IF(O103="","",IF(IFERROR(INDEX('Drive Map'!$G$4:$G$33,MATCH(O103,'Drive Map'!$B$4:$B$33,0))&amp;"","")="","",HYPERLINK(INDEX('Drive Map'!$G$4:$G$33,MATCH(O103,'Drive Map'!$B$4:$B$33,0)),"Open")))</f>
        <v/>
      </c>
      <c r="R103" s="6" t="n"/>
    </row>
    <row r="104">
      <c r="A104" s="31" t="n"/>
      <c r="D104" s="7">
        <f>IF(OR(A104="",B104=""),"",SUMPRODUCT(MAX((A$4:A$303=A104)*(B$4:B$303=B104)*C$4:C$303))+1)</f>
        <v/>
      </c>
      <c r="E104" s="7">
        <f>IF(OR(A104="",B104="",C104=""),"",A104&amp;"-"&amp;B104&amp;"-"&amp;TEXT(C104,"000"))</f>
        <v/>
      </c>
      <c r="F104" s="6" t="n"/>
      <c r="H104" s="21" t="n"/>
      <c r="N104" s="7">
        <f>IF(E104="","",E104&amp;"_"&amp;SUBSTITUTE(TRIM(F104)," ","-")&amp;IF(G104="","","_Rev"&amp;G104))</f>
        <v/>
      </c>
      <c r="O104" s="7">
        <f>IF(A104="","",IF(K104="Superseded","99 Archive",IFERROR(INDEX('Drive Map'!$B$4:$B$33,MATCH(A104,'Drive Map'!$A$4:$A$33,0)),"")&amp;IF(AND(A104="04",J104&lt;&gt;""),"/"&amp;J104,"")))</f>
        <v/>
      </c>
      <c r="P104" s="7">
        <f>IF(O104="","",IF(IFERROR(INDEX('Drive Map'!$G$4:$G$33,MATCH(O104,'Drive Map'!$B$4:$B$33,0))&amp;"","")="","",HYPERLINK(INDEX('Drive Map'!$G$4:$G$33,MATCH(O104,'Drive Map'!$B$4:$B$33,0)),"Open")))</f>
        <v/>
      </c>
      <c r="R104" s="6" t="n"/>
    </row>
    <row r="105">
      <c r="A105" s="31" t="n"/>
      <c r="D105" s="7">
        <f>IF(OR(A105="",B105=""),"",SUMPRODUCT(MAX((A$4:A$303=A105)*(B$4:B$303=B105)*C$4:C$303))+1)</f>
        <v/>
      </c>
      <c r="E105" s="7">
        <f>IF(OR(A105="",B105="",C105=""),"",A105&amp;"-"&amp;B105&amp;"-"&amp;TEXT(C105,"000"))</f>
        <v/>
      </c>
      <c r="F105" s="6" t="n"/>
      <c r="H105" s="21" t="n"/>
      <c r="N105" s="7">
        <f>IF(E105="","",E105&amp;"_"&amp;SUBSTITUTE(TRIM(F105)," ","-")&amp;IF(G105="","","_Rev"&amp;G105))</f>
        <v/>
      </c>
      <c r="O105" s="7">
        <f>IF(A105="","",IF(K105="Superseded","99 Archive",IFERROR(INDEX('Drive Map'!$B$4:$B$33,MATCH(A105,'Drive Map'!$A$4:$A$33,0)),"")&amp;IF(AND(A105="04",J105&lt;&gt;""),"/"&amp;J105,"")))</f>
        <v/>
      </c>
      <c r="P105" s="7">
        <f>IF(O105="","",IF(IFERROR(INDEX('Drive Map'!$G$4:$G$33,MATCH(O105,'Drive Map'!$B$4:$B$33,0))&amp;"","")="","",HYPERLINK(INDEX('Drive Map'!$G$4:$G$33,MATCH(O105,'Drive Map'!$B$4:$B$33,0)),"Open")))</f>
        <v/>
      </c>
      <c r="R105" s="6" t="n"/>
    </row>
    <row r="106">
      <c r="A106" s="31" t="n"/>
      <c r="D106" s="7">
        <f>IF(OR(A106="",B106=""),"",SUMPRODUCT(MAX((A$4:A$303=A106)*(B$4:B$303=B106)*C$4:C$303))+1)</f>
        <v/>
      </c>
      <c r="E106" s="7">
        <f>IF(OR(A106="",B106="",C106=""),"",A106&amp;"-"&amp;B106&amp;"-"&amp;TEXT(C106,"000"))</f>
        <v/>
      </c>
      <c r="F106" s="6" t="n"/>
      <c r="H106" s="21" t="n"/>
      <c r="N106" s="7">
        <f>IF(E106="","",E106&amp;"_"&amp;SUBSTITUTE(TRIM(F106)," ","-")&amp;IF(G106="","","_Rev"&amp;G106))</f>
        <v/>
      </c>
      <c r="O106" s="7">
        <f>IF(A106="","",IF(K106="Superseded","99 Archive",IFERROR(INDEX('Drive Map'!$B$4:$B$33,MATCH(A106,'Drive Map'!$A$4:$A$33,0)),"")&amp;IF(AND(A106="04",J106&lt;&gt;""),"/"&amp;J106,"")))</f>
        <v/>
      </c>
      <c r="P106" s="7">
        <f>IF(O106="","",IF(IFERROR(INDEX('Drive Map'!$G$4:$G$33,MATCH(O106,'Drive Map'!$B$4:$B$33,0))&amp;"","")="","",HYPERLINK(INDEX('Drive Map'!$G$4:$G$33,MATCH(O106,'Drive Map'!$B$4:$B$33,0)),"Open")))</f>
        <v/>
      </c>
      <c r="R106" s="6" t="n"/>
    </row>
    <row r="107">
      <c r="A107" s="31" t="n"/>
      <c r="D107" s="7">
        <f>IF(OR(A107="",B107=""),"",SUMPRODUCT(MAX((A$4:A$303=A107)*(B$4:B$303=B107)*C$4:C$303))+1)</f>
        <v/>
      </c>
      <c r="E107" s="7">
        <f>IF(OR(A107="",B107="",C107=""),"",A107&amp;"-"&amp;B107&amp;"-"&amp;TEXT(C107,"000"))</f>
        <v/>
      </c>
      <c r="F107" s="6" t="n"/>
      <c r="H107" s="21" t="n"/>
      <c r="N107" s="7">
        <f>IF(E107="","",E107&amp;"_"&amp;SUBSTITUTE(TRIM(F107)," ","-")&amp;IF(G107="","","_Rev"&amp;G107))</f>
        <v/>
      </c>
      <c r="O107" s="7">
        <f>IF(A107="","",IF(K107="Superseded","99 Archive",IFERROR(INDEX('Drive Map'!$B$4:$B$33,MATCH(A107,'Drive Map'!$A$4:$A$33,0)),"")&amp;IF(AND(A107="04",J107&lt;&gt;""),"/"&amp;J107,"")))</f>
        <v/>
      </c>
      <c r="P107" s="7">
        <f>IF(O107="","",IF(IFERROR(INDEX('Drive Map'!$G$4:$G$33,MATCH(O107,'Drive Map'!$B$4:$B$33,0))&amp;"","")="","",HYPERLINK(INDEX('Drive Map'!$G$4:$G$33,MATCH(O107,'Drive Map'!$B$4:$B$33,0)),"Open")))</f>
        <v/>
      </c>
      <c r="R107" s="6" t="n"/>
    </row>
    <row r="108">
      <c r="A108" s="31" t="n"/>
      <c r="D108" s="7">
        <f>IF(OR(A108="",B108=""),"",SUMPRODUCT(MAX((A$4:A$303=A108)*(B$4:B$303=B108)*C$4:C$303))+1)</f>
        <v/>
      </c>
      <c r="E108" s="7">
        <f>IF(OR(A108="",B108="",C108=""),"",A108&amp;"-"&amp;B108&amp;"-"&amp;TEXT(C108,"000"))</f>
        <v/>
      </c>
      <c r="F108" s="6" t="n"/>
      <c r="H108" s="21" t="n"/>
      <c r="N108" s="7">
        <f>IF(E108="","",E108&amp;"_"&amp;SUBSTITUTE(TRIM(F108)," ","-")&amp;IF(G108="","","_Rev"&amp;G108))</f>
        <v/>
      </c>
      <c r="O108" s="7">
        <f>IF(A108="","",IF(K108="Superseded","99 Archive",IFERROR(INDEX('Drive Map'!$B$4:$B$33,MATCH(A108,'Drive Map'!$A$4:$A$33,0)),"")&amp;IF(AND(A108="04",J108&lt;&gt;""),"/"&amp;J108,"")))</f>
        <v/>
      </c>
      <c r="P108" s="7">
        <f>IF(O108="","",IF(IFERROR(INDEX('Drive Map'!$G$4:$G$33,MATCH(O108,'Drive Map'!$B$4:$B$33,0))&amp;"","")="","",HYPERLINK(INDEX('Drive Map'!$G$4:$G$33,MATCH(O108,'Drive Map'!$B$4:$B$33,0)),"Open")))</f>
        <v/>
      </c>
      <c r="R108" s="6" t="n"/>
    </row>
    <row r="109">
      <c r="A109" s="31" t="n"/>
      <c r="D109" s="7">
        <f>IF(OR(A109="",B109=""),"",SUMPRODUCT(MAX((A$4:A$303=A109)*(B$4:B$303=B109)*C$4:C$303))+1)</f>
        <v/>
      </c>
      <c r="E109" s="7">
        <f>IF(OR(A109="",B109="",C109=""),"",A109&amp;"-"&amp;B109&amp;"-"&amp;TEXT(C109,"000"))</f>
        <v/>
      </c>
      <c r="F109" s="6" t="n"/>
      <c r="H109" s="21" t="n"/>
      <c r="N109" s="7">
        <f>IF(E109="","",E109&amp;"_"&amp;SUBSTITUTE(TRIM(F109)," ","-")&amp;IF(G109="","","_Rev"&amp;G109))</f>
        <v/>
      </c>
      <c r="O109" s="7">
        <f>IF(A109="","",IF(K109="Superseded","99 Archive",IFERROR(INDEX('Drive Map'!$B$4:$B$33,MATCH(A109,'Drive Map'!$A$4:$A$33,0)),"")&amp;IF(AND(A109="04",J109&lt;&gt;""),"/"&amp;J109,"")))</f>
        <v/>
      </c>
      <c r="P109" s="7">
        <f>IF(O109="","",IF(IFERROR(INDEX('Drive Map'!$G$4:$G$33,MATCH(O109,'Drive Map'!$B$4:$B$33,0))&amp;"","")="","",HYPERLINK(INDEX('Drive Map'!$G$4:$G$33,MATCH(O109,'Drive Map'!$B$4:$B$33,0)),"Open")))</f>
        <v/>
      </c>
      <c r="R109" s="6" t="n"/>
    </row>
    <row r="110">
      <c r="A110" s="31" t="n"/>
      <c r="D110" s="7">
        <f>IF(OR(A110="",B110=""),"",SUMPRODUCT(MAX((A$4:A$303=A110)*(B$4:B$303=B110)*C$4:C$303))+1)</f>
        <v/>
      </c>
      <c r="E110" s="7">
        <f>IF(OR(A110="",B110="",C110=""),"",A110&amp;"-"&amp;B110&amp;"-"&amp;TEXT(C110,"000"))</f>
        <v/>
      </c>
      <c r="F110" s="6" t="n"/>
      <c r="H110" s="21" t="n"/>
      <c r="N110" s="7">
        <f>IF(E110="","",E110&amp;"_"&amp;SUBSTITUTE(TRIM(F110)," ","-")&amp;IF(G110="","","_Rev"&amp;G110))</f>
        <v/>
      </c>
      <c r="O110" s="7">
        <f>IF(A110="","",IF(K110="Superseded","99 Archive",IFERROR(INDEX('Drive Map'!$B$4:$B$33,MATCH(A110,'Drive Map'!$A$4:$A$33,0)),"")&amp;IF(AND(A110="04",J110&lt;&gt;""),"/"&amp;J110,"")))</f>
        <v/>
      </c>
      <c r="P110" s="7">
        <f>IF(O110="","",IF(IFERROR(INDEX('Drive Map'!$G$4:$G$33,MATCH(O110,'Drive Map'!$B$4:$B$33,0))&amp;"","")="","",HYPERLINK(INDEX('Drive Map'!$G$4:$G$33,MATCH(O110,'Drive Map'!$B$4:$B$33,0)),"Open")))</f>
        <v/>
      </c>
      <c r="R110" s="6" t="n"/>
    </row>
    <row r="111">
      <c r="A111" s="31" t="n"/>
      <c r="D111" s="7">
        <f>IF(OR(A111="",B111=""),"",SUMPRODUCT(MAX((A$4:A$303=A111)*(B$4:B$303=B111)*C$4:C$303))+1)</f>
        <v/>
      </c>
      <c r="E111" s="7">
        <f>IF(OR(A111="",B111="",C111=""),"",A111&amp;"-"&amp;B111&amp;"-"&amp;TEXT(C111,"000"))</f>
        <v/>
      </c>
      <c r="F111" s="6" t="n"/>
      <c r="H111" s="21" t="n"/>
      <c r="N111" s="7">
        <f>IF(E111="","",E111&amp;"_"&amp;SUBSTITUTE(TRIM(F111)," ","-")&amp;IF(G111="","","_Rev"&amp;G111))</f>
        <v/>
      </c>
      <c r="O111" s="7">
        <f>IF(A111="","",IF(K111="Superseded","99 Archive",IFERROR(INDEX('Drive Map'!$B$4:$B$33,MATCH(A111,'Drive Map'!$A$4:$A$33,0)),"")&amp;IF(AND(A111="04",J111&lt;&gt;""),"/"&amp;J111,"")))</f>
        <v/>
      </c>
      <c r="P111" s="7">
        <f>IF(O111="","",IF(IFERROR(INDEX('Drive Map'!$G$4:$G$33,MATCH(O111,'Drive Map'!$B$4:$B$33,0))&amp;"","")="","",HYPERLINK(INDEX('Drive Map'!$G$4:$G$33,MATCH(O111,'Drive Map'!$B$4:$B$33,0)),"Open")))</f>
        <v/>
      </c>
      <c r="R111" s="6" t="n"/>
    </row>
    <row r="112">
      <c r="A112" s="31" t="n"/>
      <c r="D112" s="7">
        <f>IF(OR(A112="",B112=""),"",SUMPRODUCT(MAX((A$4:A$303=A112)*(B$4:B$303=B112)*C$4:C$303))+1)</f>
        <v/>
      </c>
      <c r="E112" s="7">
        <f>IF(OR(A112="",B112="",C112=""),"",A112&amp;"-"&amp;B112&amp;"-"&amp;TEXT(C112,"000"))</f>
        <v/>
      </c>
      <c r="F112" s="6" t="n"/>
      <c r="H112" s="21" t="n"/>
      <c r="N112" s="7">
        <f>IF(E112="","",E112&amp;"_"&amp;SUBSTITUTE(TRIM(F112)," ","-")&amp;IF(G112="","","_Rev"&amp;G112))</f>
        <v/>
      </c>
      <c r="O112" s="7">
        <f>IF(A112="","",IF(K112="Superseded","99 Archive",IFERROR(INDEX('Drive Map'!$B$4:$B$33,MATCH(A112,'Drive Map'!$A$4:$A$33,0)),"")&amp;IF(AND(A112="04",J112&lt;&gt;""),"/"&amp;J112,"")))</f>
        <v/>
      </c>
      <c r="P112" s="7">
        <f>IF(O112="","",IF(IFERROR(INDEX('Drive Map'!$G$4:$G$33,MATCH(O112,'Drive Map'!$B$4:$B$33,0))&amp;"","")="","",HYPERLINK(INDEX('Drive Map'!$G$4:$G$33,MATCH(O112,'Drive Map'!$B$4:$B$33,0)),"Open")))</f>
        <v/>
      </c>
      <c r="R112" s="6" t="n"/>
    </row>
    <row r="113">
      <c r="A113" s="31" t="n"/>
      <c r="D113" s="7">
        <f>IF(OR(A113="",B113=""),"",SUMPRODUCT(MAX((A$4:A$303=A113)*(B$4:B$303=B113)*C$4:C$303))+1)</f>
        <v/>
      </c>
      <c r="E113" s="7">
        <f>IF(OR(A113="",B113="",C113=""),"",A113&amp;"-"&amp;B113&amp;"-"&amp;TEXT(C113,"000"))</f>
        <v/>
      </c>
      <c r="F113" s="6" t="n"/>
      <c r="H113" s="21" t="n"/>
      <c r="N113" s="7">
        <f>IF(E113="","",E113&amp;"_"&amp;SUBSTITUTE(TRIM(F113)," ","-")&amp;IF(G113="","","_Rev"&amp;G113))</f>
        <v/>
      </c>
      <c r="O113" s="7">
        <f>IF(A113="","",IF(K113="Superseded","99 Archive",IFERROR(INDEX('Drive Map'!$B$4:$B$33,MATCH(A113,'Drive Map'!$A$4:$A$33,0)),"")&amp;IF(AND(A113="04",J113&lt;&gt;""),"/"&amp;J113,"")))</f>
        <v/>
      </c>
      <c r="P113" s="7">
        <f>IF(O113="","",IF(IFERROR(INDEX('Drive Map'!$G$4:$G$33,MATCH(O113,'Drive Map'!$B$4:$B$33,0))&amp;"","")="","",HYPERLINK(INDEX('Drive Map'!$G$4:$G$33,MATCH(O113,'Drive Map'!$B$4:$B$33,0)),"Open")))</f>
        <v/>
      </c>
      <c r="R113" s="6" t="n"/>
    </row>
    <row r="114">
      <c r="A114" s="31" t="n"/>
      <c r="D114" s="7">
        <f>IF(OR(A114="",B114=""),"",SUMPRODUCT(MAX((A$4:A$303=A114)*(B$4:B$303=B114)*C$4:C$303))+1)</f>
        <v/>
      </c>
      <c r="E114" s="7">
        <f>IF(OR(A114="",B114="",C114=""),"",A114&amp;"-"&amp;B114&amp;"-"&amp;TEXT(C114,"000"))</f>
        <v/>
      </c>
      <c r="F114" s="6" t="n"/>
      <c r="H114" s="21" t="n"/>
      <c r="N114" s="7">
        <f>IF(E114="","",E114&amp;"_"&amp;SUBSTITUTE(TRIM(F114)," ","-")&amp;IF(G114="","","_Rev"&amp;G114))</f>
        <v/>
      </c>
      <c r="O114" s="7">
        <f>IF(A114="","",IF(K114="Superseded","99 Archive",IFERROR(INDEX('Drive Map'!$B$4:$B$33,MATCH(A114,'Drive Map'!$A$4:$A$33,0)),"")&amp;IF(AND(A114="04",J114&lt;&gt;""),"/"&amp;J114,"")))</f>
        <v/>
      </c>
      <c r="P114" s="7">
        <f>IF(O114="","",IF(IFERROR(INDEX('Drive Map'!$G$4:$G$33,MATCH(O114,'Drive Map'!$B$4:$B$33,0))&amp;"","")="","",HYPERLINK(INDEX('Drive Map'!$G$4:$G$33,MATCH(O114,'Drive Map'!$B$4:$B$33,0)),"Open")))</f>
        <v/>
      </c>
      <c r="R114" s="6" t="n"/>
    </row>
    <row r="115">
      <c r="A115" s="31" t="n"/>
      <c r="D115" s="7">
        <f>IF(OR(A115="",B115=""),"",SUMPRODUCT(MAX((A$4:A$303=A115)*(B$4:B$303=B115)*C$4:C$303))+1)</f>
        <v/>
      </c>
      <c r="E115" s="7">
        <f>IF(OR(A115="",B115="",C115=""),"",A115&amp;"-"&amp;B115&amp;"-"&amp;TEXT(C115,"000"))</f>
        <v/>
      </c>
      <c r="F115" s="6" t="n"/>
      <c r="H115" s="21" t="n"/>
      <c r="N115" s="7">
        <f>IF(E115="","",E115&amp;"_"&amp;SUBSTITUTE(TRIM(F115)," ","-")&amp;IF(G115="","","_Rev"&amp;G115))</f>
        <v/>
      </c>
      <c r="O115" s="7">
        <f>IF(A115="","",IF(K115="Superseded","99 Archive",IFERROR(INDEX('Drive Map'!$B$4:$B$33,MATCH(A115,'Drive Map'!$A$4:$A$33,0)),"")&amp;IF(AND(A115="04",J115&lt;&gt;""),"/"&amp;J115,"")))</f>
        <v/>
      </c>
      <c r="P115" s="7">
        <f>IF(O115="","",IF(IFERROR(INDEX('Drive Map'!$G$4:$G$33,MATCH(O115,'Drive Map'!$B$4:$B$33,0))&amp;"","")="","",HYPERLINK(INDEX('Drive Map'!$G$4:$G$33,MATCH(O115,'Drive Map'!$B$4:$B$33,0)),"Open")))</f>
        <v/>
      </c>
      <c r="R115" s="6" t="n"/>
    </row>
    <row r="116">
      <c r="A116" s="31" t="n"/>
      <c r="D116" s="7">
        <f>IF(OR(A116="",B116=""),"",SUMPRODUCT(MAX((A$4:A$303=A116)*(B$4:B$303=B116)*C$4:C$303))+1)</f>
        <v/>
      </c>
      <c r="E116" s="7">
        <f>IF(OR(A116="",B116="",C116=""),"",A116&amp;"-"&amp;B116&amp;"-"&amp;TEXT(C116,"000"))</f>
        <v/>
      </c>
      <c r="F116" s="6" t="n"/>
      <c r="H116" s="21" t="n"/>
      <c r="N116" s="7">
        <f>IF(E116="","",E116&amp;"_"&amp;SUBSTITUTE(TRIM(F116)," ","-")&amp;IF(G116="","","_Rev"&amp;G116))</f>
        <v/>
      </c>
      <c r="O116" s="7">
        <f>IF(A116="","",IF(K116="Superseded","99 Archive",IFERROR(INDEX('Drive Map'!$B$4:$B$33,MATCH(A116,'Drive Map'!$A$4:$A$33,0)),"")&amp;IF(AND(A116="04",J116&lt;&gt;""),"/"&amp;J116,"")))</f>
        <v/>
      </c>
      <c r="P116" s="7">
        <f>IF(O116="","",IF(IFERROR(INDEX('Drive Map'!$G$4:$G$33,MATCH(O116,'Drive Map'!$B$4:$B$33,0))&amp;"","")="","",HYPERLINK(INDEX('Drive Map'!$G$4:$G$33,MATCH(O116,'Drive Map'!$B$4:$B$33,0)),"Open")))</f>
        <v/>
      </c>
      <c r="R116" s="6" t="n"/>
    </row>
    <row r="117">
      <c r="A117" s="31" t="n"/>
      <c r="D117" s="7">
        <f>IF(OR(A117="",B117=""),"",SUMPRODUCT(MAX((A$4:A$303=A117)*(B$4:B$303=B117)*C$4:C$303))+1)</f>
        <v/>
      </c>
      <c r="E117" s="7">
        <f>IF(OR(A117="",B117="",C117=""),"",A117&amp;"-"&amp;B117&amp;"-"&amp;TEXT(C117,"000"))</f>
        <v/>
      </c>
      <c r="F117" s="6" t="n"/>
      <c r="H117" s="21" t="n"/>
      <c r="N117" s="7">
        <f>IF(E117="","",E117&amp;"_"&amp;SUBSTITUTE(TRIM(F117)," ","-")&amp;IF(G117="","","_Rev"&amp;G117))</f>
        <v/>
      </c>
      <c r="O117" s="7">
        <f>IF(A117="","",IF(K117="Superseded","99 Archive",IFERROR(INDEX('Drive Map'!$B$4:$B$33,MATCH(A117,'Drive Map'!$A$4:$A$33,0)),"")&amp;IF(AND(A117="04",J117&lt;&gt;""),"/"&amp;J117,"")))</f>
        <v/>
      </c>
      <c r="P117" s="7">
        <f>IF(O117="","",IF(IFERROR(INDEX('Drive Map'!$G$4:$G$33,MATCH(O117,'Drive Map'!$B$4:$B$33,0))&amp;"","")="","",HYPERLINK(INDEX('Drive Map'!$G$4:$G$33,MATCH(O117,'Drive Map'!$B$4:$B$33,0)),"Open")))</f>
        <v/>
      </c>
      <c r="R117" s="6" t="n"/>
    </row>
    <row r="118">
      <c r="A118" s="31" t="n"/>
      <c r="D118" s="7">
        <f>IF(OR(A118="",B118=""),"",SUMPRODUCT(MAX((A$4:A$303=A118)*(B$4:B$303=B118)*C$4:C$303))+1)</f>
        <v/>
      </c>
      <c r="E118" s="7">
        <f>IF(OR(A118="",B118="",C118=""),"",A118&amp;"-"&amp;B118&amp;"-"&amp;TEXT(C118,"000"))</f>
        <v/>
      </c>
      <c r="F118" s="6" t="n"/>
      <c r="H118" s="21" t="n"/>
      <c r="N118" s="7">
        <f>IF(E118="","",E118&amp;"_"&amp;SUBSTITUTE(TRIM(F118)," ","-")&amp;IF(G118="","","_Rev"&amp;G118))</f>
        <v/>
      </c>
      <c r="O118" s="7">
        <f>IF(A118="","",IF(K118="Superseded","99 Archive",IFERROR(INDEX('Drive Map'!$B$4:$B$33,MATCH(A118,'Drive Map'!$A$4:$A$33,0)),"")&amp;IF(AND(A118="04",J118&lt;&gt;""),"/"&amp;J118,"")))</f>
        <v/>
      </c>
      <c r="P118" s="7">
        <f>IF(O118="","",IF(IFERROR(INDEX('Drive Map'!$G$4:$G$33,MATCH(O118,'Drive Map'!$B$4:$B$33,0))&amp;"","")="","",HYPERLINK(INDEX('Drive Map'!$G$4:$G$33,MATCH(O118,'Drive Map'!$B$4:$B$33,0)),"Open")))</f>
        <v/>
      </c>
      <c r="R118" s="6" t="n"/>
    </row>
    <row r="119">
      <c r="A119" s="31" t="n"/>
      <c r="D119" s="7">
        <f>IF(OR(A119="",B119=""),"",SUMPRODUCT(MAX((A$4:A$303=A119)*(B$4:B$303=B119)*C$4:C$303))+1)</f>
        <v/>
      </c>
      <c r="E119" s="7">
        <f>IF(OR(A119="",B119="",C119=""),"",A119&amp;"-"&amp;B119&amp;"-"&amp;TEXT(C119,"000"))</f>
        <v/>
      </c>
      <c r="F119" s="6" t="n"/>
      <c r="H119" s="21" t="n"/>
      <c r="N119" s="7">
        <f>IF(E119="","",E119&amp;"_"&amp;SUBSTITUTE(TRIM(F119)," ","-")&amp;IF(G119="","","_Rev"&amp;G119))</f>
        <v/>
      </c>
      <c r="O119" s="7">
        <f>IF(A119="","",IF(K119="Superseded","99 Archive",IFERROR(INDEX('Drive Map'!$B$4:$B$33,MATCH(A119,'Drive Map'!$A$4:$A$33,0)),"")&amp;IF(AND(A119="04",J119&lt;&gt;""),"/"&amp;J119,"")))</f>
        <v/>
      </c>
      <c r="P119" s="7">
        <f>IF(O119="","",IF(IFERROR(INDEX('Drive Map'!$G$4:$G$33,MATCH(O119,'Drive Map'!$B$4:$B$33,0))&amp;"","")="","",HYPERLINK(INDEX('Drive Map'!$G$4:$G$33,MATCH(O119,'Drive Map'!$B$4:$B$33,0)),"Open")))</f>
        <v/>
      </c>
      <c r="R119" s="6" t="n"/>
    </row>
    <row r="120">
      <c r="A120" s="31" t="n"/>
      <c r="D120" s="7">
        <f>IF(OR(A120="",B120=""),"",SUMPRODUCT(MAX((A$4:A$303=A120)*(B$4:B$303=B120)*C$4:C$303))+1)</f>
        <v/>
      </c>
      <c r="E120" s="7">
        <f>IF(OR(A120="",B120="",C120=""),"",A120&amp;"-"&amp;B120&amp;"-"&amp;TEXT(C120,"000"))</f>
        <v/>
      </c>
      <c r="F120" s="6" t="n"/>
      <c r="H120" s="21" t="n"/>
      <c r="N120" s="7">
        <f>IF(E120="","",E120&amp;"_"&amp;SUBSTITUTE(TRIM(F120)," ","-")&amp;IF(G120="","","_Rev"&amp;G120))</f>
        <v/>
      </c>
      <c r="O120" s="7">
        <f>IF(A120="","",IF(K120="Superseded","99 Archive",IFERROR(INDEX('Drive Map'!$B$4:$B$33,MATCH(A120,'Drive Map'!$A$4:$A$33,0)),"")&amp;IF(AND(A120="04",J120&lt;&gt;""),"/"&amp;J120,"")))</f>
        <v/>
      </c>
      <c r="P120" s="7">
        <f>IF(O120="","",IF(IFERROR(INDEX('Drive Map'!$G$4:$G$33,MATCH(O120,'Drive Map'!$B$4:$B$33,0))&amp;"","")="","",HYPERLINK(INDEX('Drive Map'!$G$4:$G$33,MATCH(O120,'Drive Map'!$B$4:$B$33,0)),"Open")))</f>
        <v/>
      </c>
      <c r="R120" s="6" t="n"/>
    </row>
    <row r="121">
      <c r="A121" s="31" t="n"/>
      <c r="D121" s="7">
        <f>IF(OR(A121="",B121=""),"",SUMPRODUCT(MAX((A$4:A$303=A121)*(B$4:B$303=B121)*C$4:C$303))+1)</f>
        <v/>
      </c>
      <c r="E121" s="7">
        <f>IF(OR(A121="",B121="",C121=""),"",A121&amp;"-"&amp;B121&amp;"-"&amp;TEXT(C121,"000"))</f>
        <v/>
      </c>
      <c r="F121" s="6" t="n"/>
      <c r="H121" s="21" t="n"/>
      <c r="N121" s="7">
        <f>IF(E121="","",E121&amp;"_"&amp;SUBSTITUTE(TRIM(F121)," ","-")&amp;IF(G121="","","_Rev"&amp;G121))</f>
        <v/>
      </c>
      <c r="O121" s="7">
        <f>IF(A121="","",IF(K121="Superseded","99 Archive",IFERROR(INDEX('Drive Map'!$B$4:$B$33,MATCH(A121,'Drive Map'!$A$4:$A$33,0)),"")&amp;IF(AND(A121="04",J121&lt;&gt;""),"/"&amp;J121,"")))</f>
        <v/>
      </c>
      <c r="P121" s="7">
        <f>IF(O121="","",IF(IFERROR(INDEX('Drive Map'!$G$4:$G$33,MATCH(O121,'Drive Map'!$B$4:$B$33,0))&amp;"","")="","",HYPERLINK(INDEX('Drive Map'!$G$4:$G$33,MATCH(O121,'Drive Map'!$B$4:$B$33,0)),"Open")))</f>
        <v/>
      </c>
      <c r="R121" s="6" t="n"/>
    </row>
    <row r="122">
      <c r="A122" s="31" t="n"/>
      <c r="D122" s="7">
        <f>IF(OR(A122="",B122=""),"",SUMPRODUCT(MAX((A$4:A$303=A122)*(B$4:B$303=B122)*C$4:C$303))+1)</f>
        <v/>
      </c>
      <c r="E122" s="7">
        <f>IF(OR(A122="",B122="",C122=""),"",A122&amp;"-"&amp;B122&amp;"-"&amp;TEXT(C122,"000"))</f>
        <v/>
      </c>
      <c r="F122" s="6" t="n"/>
      <c r="H122" s="21" t="n"/>
      <c r="N122" s="7">
        <f>IF(E122="","",E122&amp;"_"&amp;SUBSTITUTE(TRIM(F122)," ","-")&amp;IF(G122="","","_Rev"&amp;G122))</f>
        <v/>
      </c>
      <c r="O122" s="7">
        <f>IF(A122="","",IF(K122="Superseded","99 Archive",IFERROR(INDEX('Drive Map'!$B$4:$B$33,MATCH(A122,'Drive Map'!$A$4:$A$33,0)),"")&amp;IF(AND(A122="04",J122&lt;&gt;""),"/"&amp;J122,"")))</f>
        <v/>
      </c>
      <c r="P122" s="7">
        <f>IF(O122="","",IF(IFERROR(INDEX('Drive Map'!$G$4:$G$33,MATCH(O122,'Drive Map'!$B$4:$B$33,0))&amp;"","")="","",HYPERLINK(INDEX('Drive Map'!$G$4:$G$33,MATCH(O122,'Drive Map'!$B$4:$B$33,0)),"Open")))</f>
        <v/>
      </c>
      <c r="R122" s="6" t="n"/>
    </row>
    <row r="123">
      <c r="A123" s="31" t="n"/>
      <c r="D123" s="7">
        <f>IF(OR(A123="",B123=""),"",SUMPRODUCT(MAX((A$4:A$303=A123)*(B$4:B$303=B123)*C$4:C$303))+1)</f>
        <v/>
      </c>
      <c r="E123" s="7">
        <f>IF(OR(A123="",B123="",C123=""),"",A123&amp;"-"&amp;B123&amp;"-"&amp;TEXT(C123,"000"))</f>
        <v/>
      </c>
      <c r="F123" s="6" t="n"/>
      <c r="H123" s="21" t="n"/>
      <c r="N123" s="7">
        <f>IF(E123="","",E123&amp;"_"&amp;SUBSTITUTE(TRIM(F123)," ","-")&amp;IF(G123="","","_Rev"&amp;G123))</f>
        <v/>
      </c>
      <c r="O123" s="7">
        <f>IF(A123="","",IF(K123="Superseded","99 Archive",IFERROR(INDEX('Drive Map'!$B$4:$B$33,MATCH(A123,'Drive Map'!$A$4:$A$33,0)),"")&amp;IF(AND(A123="04",J123&lt;&gt;""),"/"&amp;J123,"")))</f>
        <v/>
      </c>
      <c r="P123" s="7">
        <f>IF(O123="","",IF(IFERROR(INDEX('Drive Map'!$G$4:$G$33,MATCH(O123,'Drive Map'!$B$4:$B$33,0))&amp;"","")="","",HYPERLINK(INDEX('Drive Map'!$G$4:$G$33,MATCH(O123,'Drive Map'!$B$4:$B$33,0)),"Open")))</f>
        <v/>
      </c>
      <c r="R123" s="6" t="n"/>
    </row>
    <row r="124">
      <c r="A124" s="31" t="n"/>
      <c r="D124" s="7">
        <f>IF(OR(A124="",B124=""),"",SUMPRODUCT(MAX((A$4:A$303=A124)*(B$4:B$303=B124)*C$4:C$303))+1)</f>
        <v/>
      </c>
      <c r="E124" s="7">
        <f>IF(OR(A124="",B124="",C124=""),"",A124&amp;"-"&amp;B124&amp;"-"&amp;TEXT(C124,"000"))</f>
        <v/>
      </c>
      <c r="F124" s="6" t="n"/>
      <c r="H124" s="21" t="n"/>
      <c r="N124" s="7">
        <f>IF(E124="","",E124&amp;"_"&amp;SUBSTITUTE(TRIM(F124)," ","-")&amp;IF(G124="","","_Rev"&amp;G124))</f>
        <v/>
      </c>
      <c r="O124" s="7">
        <f>IF(A124="","",IF(K124="Superseded","99 Archive",IFERROR(INDEX('Drive Map'!$B$4:$B$33,MATCH(A124,'Drive Map'!$A$4:$A$33,0)),"")&amp;IF(AND(A124="04",J124&lt;&gt;""),"/"&amp;J124,"")))</f>
        <v/>
      </c>
      <c r="P124" s="7">
        <f>IF(O124="","",IF(IFERROR(INDEX('Drive Map'!$G$4:$G$33,MATCH(O124,'Drive Map'!$B$4:$B$33,0))&amp;"","")="","",HYPERLINK(INDEX('Drive Map'!$G$4:$G$33,MATCH(O124,'Drive Map'!$B$4:$B$33,0)),"Open")))</f>
        <v/>
      </c>
      <c r="R124" s="6" t="n"/>
    </row>
    <row r="125">
      <c r="A125" s="31" t="n"/>
      <c r="D125" s="7">
        <f>IF(OR(A125="",B125=""),"",SUMPRODUCT(MAX((A$4:A$303=A125)*(B$4:B$303=B125)*C$4:C$303))+1)</f>
        <v/>
      </c>
      <c r="E125" s="7">
        <f>IF(OR(A125="",B125="",C125=""),"",A125&amp;"-"&amp;B125&amp;"-"&amp;TEXT(C125,"000"))</f>
        <v/>
      </c>
      <c r="F125" s="6" t="n"/>
      <c r="H125" s="21" t="n"/>
      <c r="N125" s="7">
        <f>IF(E125="","",E125&amp;"_"&amp;SUBSTITUTE(TRIM(F125)," ","-")&amp;IF(G125="","","_Rev"&amp;G125))</f>
        <v/>
      </c>
      <c r="O125" s="7">
        <f>IF(A125="","",IF(K125="Superseded","99 Archive",IFERROR(INDEX('Drive Map'!$B$4:$B$33,MATCH(A125,'Drive Map'!$A$4:$A$33,0)),"")&amp;IF(AND(A125="04",J125&lt;&gt;""),"/"&amp;J125,"")))</f>
        <v/>
      </c>
      <c r="P125" s="7">
        <f>IF(O125="","",IF(IFERROR(INDEX('Drive Map'!$G$4:$G$33,MATCH(O125,'Drive Map'!$B$4:$B$33,0))&amp;"","")="","",HYPERLINK(INDEX('Drive Map'!$G$4:$G$33,MATCH(O125,'Drive Map'!$B$4:$B$33,0)),"Open")))</f>
        <v/>
      </c>
      <c r="R125" s="6" t="n"/>
    </row>
    <row r="126">
      <c r="A126" s="31" t="n"/>
      <c r="D126" s="7">
        <f>IF(OR(A126="",B126=""),"",SUMPRODUCT(MAX((A$4:A$303=A126)*(B$4:B$303=B126)*C$4:C$303))+1)</f>
        <v/>
      </c>
      <c r="E126" s="7">
        <f>IF(OR(A126="",B126="",C126=""),"",A126&amp;"-"&amp;B126&amp;"-"&amp;TEXT(C126,"000"))</f>
        <v/>
      </c>
      <c r="F126" s="6" t="n"/>
      <c r="H126" s="21" t="n"/>
      <c r="N126" s="7">
        <f>IF(E126="","",E126&amp;"_"&amp;SUBSTITUTE(TRIM(F126)," ","-")&amp;IF(G126="","","_Rev"&amp;G126))</f>
        <v/>
      </c>
      <c r="O126" s="7">
        <f>IF(A126="","",IF(K126="Superseded","99 Archive",IFERROR(INDEX('Drive Map'!$B$4:$B$33,MATCH(A126,'Drive Map'!$A$4:$A$33,0)),"")&amp;IF(AND(A126="04",J126&lt;&gt;""),"/"&amp;J126,"")))</f>
        <v/>
      </c>
      <c r="P126" s="7">
        <f>IF(O126="","",IF(IFERROR(INDEX('Drive Map'!$G$4:$G$33,MATCH(O126,'Drive Map'!$B$4:$B$33,0))&amp;"","")="","",HYPERLINK(INDEX('Drive Map'!$G$4:$G$33,MATCH(O126,'Drive Map'!$B$4:$B$33,0)),"Open")))</f>
        <v/>
      </c>
      <c r="R126" s="6" t="n"/>
    </row>
    <row r="127">
      <c r="A127" s="31" t="n"/>
      <c r="D127" s="7">
        <f>IF(OR(A127="",B127=""),"",SUMPRODUCT(MAX((A$4:A$303=A127)*(B$4:B$303=B127)*C$4:C$303))+1)</f>
        <v/>
      </c>
      <c r="E127" s="7">
        <f>IF(OR(A127="",B127="",C127=""),"",A127&amp;"-"&amp;B127&amp;"-"&amp;TEXT(C127,"000"))</f>
        <v/>
      </c>
      <c r="F127" s="6" t="n"/>
      <c r="H127" s="21" t="n"/>
      <c r="N127" s="7">
        <f>IF(E127="","",E127&amp;"_"&amp;SUBSTITUTE(TRIM(F127)," ","-")&amp;IF(G127="","","_Rev"&amp;G127))</f>
        <v/>
      </c>
      <c r="O127" s="7">
        <f>IF(A127="","",IF(K127="Superseded","99 Archive",IFERROR(INDEX('Drive Map'!$B$4:$B$33,MATCH(A127,'Drive Map'!$A$4:$A$33,0)),"")&amp;IF(AND(A127="04",J127&lt;&gt;""),"/"&amp;J127,"")))</f>
        <v/>
      </c>
      <c r="P127" s="7">
        <f>IF(O127="","",IF(IFERROR(INDEX('Drive Map'!$G$4:$G$33,MATCH(O127,'Drive Map'!$B$4:$B$33,0))&amp;"","")="","",HYPERLINK(INDEX('Drive Map'!$G$4:$G$33,MATCH(O127,'Drive Map'!$B$4:$B$33,0)),"Open")))</f>
        <v/>
      </c>
      <c r="R127" s="6" t="n"/>
    </row>
    <row r="128">
      <c r="A128" s="31" t="n"/>
      <c r="D128" s="7">
        <f>IF(OR(A128="",B128=""),"",SUMPRODUCT(MAX((A$4:A$303=A128)*(B$4:B$303=B128)*C$4:C$303))+1)</f>
        <v/>
      </c>
      <c r="E128" s="7">
        <f>IF(OR(A128="",B128="",C128=""),"",A128&amp;"-"&amp;B128&amp;"-"&amp;TEXT(C128,"000"))</f>
        <v/>
      </c>
      <c r="F128" s="6" t="n"/>
      <c r="H128" s="21" t="n"/>
      <c r="N128" s="7">
        <f>IF(E128="","",E128&amp;"_"&amp;SUBSTITUTE(TRIM(F128)," ","-")&amp;IF(G128="","","_Rev"&amp;G128))</f>
        <v/>
      </c>
      <c r="O128" s="7">
        <f>IF(A128="","",IF(K128="Superseded","99 Archive",IFERROR(INDEX('Drive Map'!$B$4:$B$33,MATCH(A128,'Drive Map'!$A$4:$A$33,0)),"")&amp;IF(AND(A128="04",J128&lt;&gt;""),"/"&amp;J128,"")))</f>
        <v/>
      </c>
      <c r="P128" s="7">
        <f>IF(O128="","",IF(IFERROR(INDEX('Drive Map'!$G$4:$G$33,MATCH(O128,'Drive Map'!$B$4:$B$33,0))&amp;"","")="","",HYPERLINK(INDEX('Drive Map'!$G$4:$G$33,MATCH(O128,'Drive Map'!$B$4:$B$33,0)),"Open")))</f>
        <v/>
      </c>
      <c r="R128" s="6" t="n"/>
    </row>
    <row r="129">
      <c r="A129" s="31" t="n"/>
      <c r="D129" s="7">
        <f>IF(OR(A129="",B129=""),"",SUMPRODUCT(MAX((A$4:A$303=A129)*(B$4:B$303=B129)*C$4:C$303))+1)</f>
        <v/>
      </c>
      <c r="E129" s="7">
        <f>IF(OR(A129="",B129="",C129=""),"",A129&amp;"-"&amp;B129&amp;"-"&amp;TEXT(C129,"000"))</f>
        <v/>
      </c>
      <c r="F129" s="6" t="n"/>
      <c r="H129" s="21" t="n"/>
      <c r="N129" s="7">
        <f>IF(E129="","",E129&amp;"_"&amp;SUBSTITUTE(TRIM(F129)," ","-")&amp;IF(G129="","","_Rev"&amp;G129))</f>
        <v/>
      </c>
      <c r="O129" s="7">
        <f>IF(A129="","",IF(K129="Superseded","99 Archive",IFERROR(INDEX('Drive Map'!$B$4:$B$33,MATCH(A129,'Drive Map'!$A$4:$A$33,0)),"")&amp;IF(AND(A129="04",J129&lt;&gt;""),"/"&amp;J129,"")))</f>
        <v/>
      </c>
      <c r="P129" s="7">
        <f>IF(O129="","",IF(IFERROR(INDEX('Drive Map'!$G$4:$G$33,MATCH(O129,'Drive Map'!$B$4:$B$33,0))&amp;"","")="","",HYPERLINK(INDEX('Drive Map'!$G$4:$G$33,MATCH(O129,'Drive Map'!$B$4:$B$33,0)),"Open")))</f>
        <v/>
      </c>
      <c r="R129" s="6" t="n"/>
    </row>
    <row r="130">
      <c r="A130" s="31" t="n"/>
      <c r="D130" s="7">
        <f>IF(OR(A130="",B130=""),"",SUMPRODUCT(MAX((A$4:A$303=A130)*(B$4:B$303=B130)*C$4:C$303))+1)</f>
        <v/>
      </c>
      <c r="E130" s="7">
        <f>IF(OR(A130="",B130="",C130=""),"",A130&amp;"-"&amp;B130&amp;"-"&amp;TEXT(C130,"000"))</f>
        <v/>
      </c>
      <c r="F130" s="6" t="n"/>
      <c r="H130" s="21" t="n"/>
      <c r="N130" s="7">
        <f>IF(E130="","",E130&amp;"_"&amp;SUBSTITUTE(TRIM(F130)," ","-")&amp;IF(G130="","","_Rev"&amp;G130))</f>
        <v/>
      </c>
      <c r="O130" s="7">
        <f>IF(A130="","",IF(K130="Superseded","99 Archive",IFERROR(INDEX('Drive Map'!$B$4:$B$33,MATCH(A130,'Drive Map'!$A$4:$A$33,0)),"")&amp;IF(AND(A130="04",J130&lt;&gt;""),"/"&amp;J130,"")))</f>
        <v/>
      </c>
      <c r="P130" s="7">
        <f>IF(O130="","",IF(IFERROR(INDEX('Drive Map'!$G$4:$G$33,MATCH(O130,'Drive Map'!$B$4:$B$33,0))&amp;"","")="","",HYPERLINK(INDEX('Drive Map'!$G$4:$G$33,MATCH(O130,'Drive Map'!$B$4:$B$33,0)),"Open")))</f>
        <v/>
      </c>
      <c r="R130" s="6" t="n"/>
    </row>
    <row r="131">
      <c r="A131" s="31" t="n"/>
      <c r="D131" s="7">
        <f>IF(OR(A131="",B131=""),"",SUMPRODUCT(MAX((A$4:A$303=A131)*(B$4:B$303=B131)*C$4:C$303))+1)</f>
        <v/>
      </c>
      <c r="E131" s="7">
        <f>IF(OR(A131="",B131="",C131=""),"",A131&amp;"-"&amp;B131&amp;"-"&amp;TEXT(C131,"000"))</f>
        <v/>
      </c>
      <c r="F131" s="6" t="n"/>
      <c r="H131" s="21" t="n"/>
      <c r="N131" s="7">
        <f>IF(E131="","",E131&amp;"_"&amp;SUBSTITUTE(TRIM(F131)," ","-")&amp;IF(G131="","","_Rev"&amp;G131))</f>
        <v/>
      </c>
      <c r="O131" s="7">
        <f>IF(A131="","",IF(K131="Superseded","99 Archive",IFERROR(INDEX('Drive Map'!$B$4:$B$33,MATCH(A131,'Drive Map'!$A$4:$A$33,0)),"")&amp;IF(AND(A131="04",J131&lt;&gt;""),"/"&amp;J131,"")))</f>
        <v/>
      </c>
      <c r="P131" s="7">
        <f>IF(O131="","",IF(IFERROR(INDEX('Drive Map'!$G$4:$G$33,MATCH(O131,'Drive Map'!$B$4:$B$33,0))&amp;"","")="","",HYPERLINK(INDEX('Drive Map'!$G$4:$G$33,MATCH(O131,'Drive Map'!$B$4:$B$33,0)),"Open")))</f>
        <v/>
      </c>
      <c r="R131" s="6" t="n"/>
    </row>
    <row r="132">
      <c r="A132" s="31" t="n"/>
      <c r="D132" s="7">
        <f>IF(OR(A132="",B132=""),"",SUMPRODUCT(MAX((A$4:A$303=A132)*(B$4:B$303=B132)*C$4:C$303))+1)</f>
        <v/>
      </c>
      <c r="E132" s="7">
        <f>IF(OR(A132="",B132="",C132=""),"",A132&amp;"-"&amp;B132&amp;"-"&amp;TEXT(C132,"000"))</f>
        <v/>
      </c>
      <c r="F132" s="6" t="n"/>
      <c r="H132" s="21" t="n"/>
      <c r="N132" s="7">
        <f>IF(E132="","",E132&amp;"_"&amp;SUBSTITUTE(TRIM(F132)," ","-")&amp;IF(G132="","","_Rev"&amp;G132))</f>
        <v/>
      </c>
      <c r="O132" s="7">
        <f>IF(A132="","",IF(K132="Superseded","99 Archive",IFERROR(INDEX('Drive Map'!$B$4:$B$33,MATCH(A132,'Drive Map'!$A$4:$A$33,0)),"")&amp;IF(AND(A132="04",J132&lt;&gt;""),"/"&amp;J132,"")))</f>
        <v/>
      </c>
      <c r="P132" s="7">
        <f>IF(O132="","",IF(IFERROR(INDEX('Drive Map'!$G$4:$G$33,MATCH(O132,'Drive Map'!$B$4:$B$33,0))&amp;"","")="","",HYPERLINK(INDEX('Drive Map'!$G$4:$G$33,MATCH(O132,'Drive Map'!$B$4:$B$33,0)),"Open")))</f>
        <v/>
      </c>
      <c r="R132" s="6" t="n"/>
    </row>
    <row r="133">
      <c r="A133" s="31" t="n"/>
      <c r="D133" s="7">
        <f>IF(OR(A133="",B133=""),"",SUMPRODUCT(MAX((A$4:A$303=A133)*(B$4:B$303=B133)*C$4:C$303))+1)</f>
        <v/>
      </c>
      <c r="E133" s="7">
        <f>IF(OR(A133="",B133="",C133=""),"",A133&amp;"-"&amp;B133&amp;"-"&amp;TEXT(C133,"000"))</f>
        <v/>
      </c>
      <c r="F133" s="6" t="n"/>
      <c r="H133" s="21" t="n"/>
      <c r="N133" s="7">
        <f>IF(E133="","",E133&amp;"_"&amp;SUBSTITUTE(TRIM(F133)," ","-")&amp;IF(G133="","","_Rev"&amp;G133))</f>
        <v/>
      </c>
      <c r="O133" s="7">
        <f>IF(A133="","",IF(K133="Superseded","99 Archive",IFERROR(INDEX('Drive Map'!$B$4:$B$33,MATCH(A133,'Drive Map'!$A$4:$A$33,0)),"")&amp;IF(AND(A133="04",J133&lt;&gt;""),"/"&amp;J133,"")))</f>
        <v/>
      </c>
      <c r="P133" s="7">
        <f>IF(O133="","",IF(IFERROR(INDEX('Drive Map'!$G$4:$G$33,MATCH(O133,'Drive Map'!$B$4:$B$33,0))&amp;"","")="","",HYPERLINK(INDEX('Drive Map'!$G$4:$G$33,MATCH(O133,'Drive Map'!$B$4:$B$33,0)),"Open")))</f>
        <v/>
      </c>
      <c r="R133" s="6" t="n"/>
    </row>
    <row r="134">
      <c r="A134" s="31" t="n"/>
      <c r="D134" s="7">
        <f>IF(OR(A134="",B134=""),"",SUMPRODUCT(MAX((A$4:A$303=A134)*(B$4:B$303=B134)*C$4:C$303))+1)</f>
        <v/>
      </c>
      <c r="E134" s="7">
        <f>IF(OR(A134="",B134="",C134=""),"",A134&amp;"-"&amp;B134&amp;"-"&amp;TEXT(C134,"000"))</f>
        <v/>
      </c>
      <c r="F134" s="6" t="n"/>
      <c r="H134" s="21" t="n"/>
      <c r="N134" s="7">
        <f>IF(E134="","",E134&amp;"_"&amp;SUBSTITUTE(TRIM(F134)," ","-")&amp;IF(G134="","","_Rev"&amp;G134))</f>
        <v/>
      </c>
      <c r="O134" s="7">
        <f>IF(A134="","",IF(K134="Superseded","99 Archive",IFERROR(INDEX('Drive Map'!$B$4:$B$33,MATCH(A134,'Drive Map'!$A$4:$A$33,0)),"")&amp;IF(AND(A134="04",J134&lt;&gt;""),"/"&amp;J134,"")))</f>
        <v/>
      </c>
      <c r="P134" s="7">
        <f>IF(O134="","",IF(IFERROR(INDEX('Drive Map'!$G$4:$G$33,MATCH(O134,'Drive Map'!$B$4:$B$33,0))&amp;"","")="","",HYPERLINK(INDEX('Drive Map'!$G$4:$G$33,MATCH(O134,'Drive Map'!$B$4:$B$33,0)),"Open")))</f>
        <v/>
      </c>
      <c r="R134" s="6" t="n"/>
    </row>
    <row r="135">
      <c r="A135" s="31" t="n"/>
      <c r="D135" s="7">
        <f>IF(OR(A135="",B135=""),"",SUMPRODUCT(MAX((A$4:A$303=A135)*(B$4:B$303=B135)*C$4:C$303))+1)</f>
        <v/>
      </c>
      <c r="E135" s="7">
        <f>IF(OR(A135="",B135="",C135=""),"",A135&amp;"-"&amp;B135&amp;"-"&amp;TEXT(C135,"000"))</f>
        <v/>
      </c>
      <c r="F135" s="6" t="n"/>
      <c r="H135" s="21" t="n"/>
      <c r="N135" s="7">
        <f>IF(E135="","",E135&amp;"_"&amp;SUBSTITUTE(TRIM(F135)," ","-")&amp;IF(G135="","","_Rev"&amp;G135))</f>
        <v/>
      </c>
      <c r="O135" s="7">
        <f>IF(A135="","",IF(K135="Superseded","99 Archive",IFERROR(INDEX('Drive Map'!$B$4:$B$33,MATCH(A135,'Drive Map'!$A$4:$A$33,0)),"")&amp;IF(AND(A135="04",J135&lt;&gt;""),"/"&amp;J135,"")))</f>
        <v/>
      </c>
      <c r="P135" s="7">
        <f>IF(O135="","",IF(IFERROR(INDEX('Drive Map'!$G$4:$G$33,MATCH(O135,'Drive Map'!$B$4:$B$33,0))&amp;"","")="","",HYPERLINK(INDEX('Drive Map'!$G$4:$G$33,MATCH(O135,'Drive Map'!$B$4:$B$33,0)),"Open")))</f>
        <v/>
      </c>
      <c r="R135" s="6" t="n"/>
    </row>
    <row r="136">
      <c r="A136" s="31" t="n"/>
      <c r="D136" s="7">
        <f>IF(OR(A136="",B136=""),"",SUMPRODUCT(MAX((A$4:A$303=A136)*(B$4:B$303=B136)*C$4:C$303))+1)</f>
        <v/>
      </c>
      <c r="E136" s="7">
        <f>IF(OR(A136="",B136="",C136=""),"",A136&amp;"-"&amp;B136&amp;"-"&amp;TEXT(C136,"000"))</f>
        <v/>
      </c>
      <c r="F136" s="6" t="n"/>
      <c r="H136" s="21" t="n"/>
      <c r="N136" s="7">
        <f>IF(E136="","",E136&amp;"_"&amp;SUBSTITUTE(TRIM(F136)," ","-")&amp;IF(G136="","","_Rev"&amp;G136))</f>
        <v/>
      </c>
      <c r="O136" s="7">
        <f>IF(A136="","",IF(K136="Superseded","99 Archive",IFERROR(INDEX('Drive Map'!$B$4:$B$33,MATCH(A136,'Drive Map'!$A$4:$A$33,0)),"")&amp;IF(AND(A136="04",J136&lt;&gt;""),"/"&amp;J136,"")))</f>
        <v/>
      </c>
      <c r="P136" s="7">
        <f>IF(O136="","",IF(IFERROR(INDEX('Drive Map'!$G$4:$G$33,MATCH(O136,'Drive Map'!$B$4:$B$33,0))&amp;"","")="","",HYPERLINK(INDEX('Drive Map'!$G$4:$G$33,MATCH(O136,'Drive Map'!$B$4:$B$33,0)),"Open")))</f>
        <v/>
      </c>
      <c r="R136" s="6" t="n"/>
    </row>
    <row r="137">
      <c r="A137" s="31" t="n"/>
      <c r="D137" s="7">
        <f>IF(OR(A137="",B137=""),"",SUMPRODUCT(MAX((A$4:A$303=A137)*(B$4:B$303=B137)*C$4:C$303))+1)</f>
        <v/>
      </c>
      <c r="E137" s="7">
        <f>IF(OR(A137="",B137="",C137=""),"",A137&amp;"-"&amp;B137&amp;"-"&amp;TEXT(C137,"000"))</f>
        <v/>
      </c>
      <c r="F137" s="6" t="n"/>
      <c r="H137" s="21" t="n"/>
      <c r="N137" s="7">
        <f>IF(E137="","",E137&amp;"_"&amp;SUBSTITUTE(TRIM(F137)," ","-")&amp;IF(G137="","","_Rev"&amp;G137))</f>
        <v/>
      </c>
      <c r="O137" s="7">
        <f>IF(A137="","",IF(K137="Superseded","99 Archive",IFERROR(INDEX('Drive Map'!$B$4:$B$33,MATCH(A137,'Drive Map'!$A$4:$A$33,0)),"")&amp;IF(AND(A137="04",J137&lt;&gt;""),"/"&amp;J137,"")))</f>
        <v/>
      </c>
      <c r="P137" s="7">
        <f>IF(O137="","",IF(IFERROR(INDEX('Drive Map'!$G$4:$G$33,MATCH(O137,'Drive Map'!$B$4:$B$33,0))&amp;"","")="","",HYPERLINK(INDEX('Drive Map'!$G$4:$G$33,MATCH(O137,'Drive Map'!$B$4:$B$33,0)),"Open")))</f>
        <v/>
      </c>
      <c r="R137" s="6" t="n"/>
    </row>
    <row r="138">
      <c r="A138" s="31" t="n"/>
      <c r="D138" s="7">
        <f>IF(OR(A138="",B138=""),"",SUMPRODUCT(MAX((A$4:A$303=A138)*(B$4:B$303=B138)*C$4:C$303))+1)</f>
        <v/>
      </c>
      <c r="E138" s="7">
        <f>IF(OR(A138="",B138="",C138=""),"",A138&amp;"-"&amp;B138&amp;"-"&amp;TEXT(C138,"000"))</f>
        <v/>
      </c>
      <c r="F138" s="6" t="n"/>
      <c r="H138" s="21" t="n"/>
      <c r="N138" s="7">
        <f>IF(E138="","",E138&amp;"_"&amp;SUBSTITUTE(TRIM(F138)," ","-")&amp;IF(G138="","","_Rev"&amp;G138))</f>
        <v/>
      </c>
      <c r="O138" s="7">
        <f>IF(A138="","",IF(K138="Superseded","99 Archive",IFERROR(INDEX('Drive Map'!$B$4:$B$33,MATCH(A138,'Drive Map'!$A$4:$A$33,0)),"")&amp;IF(AND(A138="04",J138&lt;&gt;""),"/"&amp;J138,"")))</f>
        <v/>
      </c>
      <c r="P138" s="7">
        <f>IF(O138="","",IF(IFERROR(INDEX('Drive Map'!$G$4:$G$33,MATCH(O138,'Drive Map'!$B$4:$B$33,0))&amp;"","")="","",HYPERLINK(INDEX('Drive Map'!$G$4:$G$33,MATCH(O138,'Drive Map'!$B$4:$B$33,0)),"Open")))</f>
        <v/>
      </c>
      <c r="R138" s="6" t="n"/>
    </row>
    <row r="139">
      <c r="A139" s="31" t="n"/>
      <c r="D139" s="7">
        <f>IF(OR(A139="",B139=""),"",SUMPRODUCT(MAX((A$4:A$303=A139)*(B$4:B$303=B139)*C$4:C$303))+1)</f>
        <v/>
      </c>
      <c r="E139" s="7">
        <f>IF(OR(A139="",B139="",C139=""),"",A139&amp;"-"&amp;B139&amp;"-"&amp;TEXT(C139,"000"))</f>
        <v/>
      </c>
      <c r="F139" s="6" t="n"/>
      <c r="H139" s="21" t="n"/>
      <c r="N139" s="7">
        <f>IF(E139="","",E139&amp;"_"&amp;SUBSTITUTE(TRIM(F139)," ","-")&amp;IF(G139="","","_Rev"&amp;G139))</f>
        <v/>
      </c>
      <c r="O139" s="7">
        <f>IF(A139="","",IF(K139="Superseded","99 Archive",IFERROR(INDEX('Drive Map'!$B$4:$B$33,MATCH(A139,'Drive Map'!$A$4:$A$33,0)),"")&amp;IF(AND(A139="04",J139&lt;&gt;""),"/"&amp;J139,"")))</f>
        <v/>
      </c>
      <c r="P139" s="7">
        <f>IF(O139="","",IF(IFERROR(INDEX('Drive Map'!$G$4:$G$33,MATCH(O139,'Drive Map'!$B$4:$B$33,0))&amp;"","")="","",HYPERLINK(INDEX('Drive Map'!$G$4:$G$33,MATCH(O139,'Drive Map'!$B$4:$B$33,0)),"Open")))</f>
        <v/>
      </c>
      <c r="R139" s="6" t="n"/>
    </row>
    <row r="140">
      <c r="A140" s="31" t="n"/>
      <c r="D140" s="7">
        <f>IF(OR(A140="",B140=""),"",SUMPRODUCT(MAX((A$4:A$303=A140)*(B$4:B$303=B140)*C$4:C$303))+1)</f>
        <v/>
      </c>
      <c r="E140" s="7">
        <f>IF(OR(A140="",B140="",C140=""),"",A140&amp;"-"&amp;B140&amp;"-"&amp;TEXT(C140,"000"))</f>
        <v/>
      </c>
      <c r="F140" s="6" t="n"/>
      <c r="H140" s="21" t="n"/>
      <c r="N140" s="7">
        <f>IF(E140="","",E140&amp;"_"&amp;SUBSTITUTE(TRIM(F140)," ","-")&amp;IF(G140="","","_Rev"&amp;G140))</f>
        <v/>
      </c>
      <c r="O140" s="7">
        <f>IF(A140="","",IF(K140="Superseded","99 Archive",IFERROR(INDEX('Drive Map'!$B$4:$B$33,MATCH(A140,'Drive Map'!$A$4:$A$33,0)),"")&amp;IF(AND(A140="04",J140&lt;&gt;""),"/"&amp;J140,"")))</f>
        <v/>
      </c>
      <c r="P140" s="7">
        <f>IF(O140="","",IF(IFERROR(INDEX('Drive Map'!$G$4:$G$33,MATCH(O140,'Drive Map'!$B$4:$B$33,0))&amp;"","")="","",HYPERLINK(INDEX('Drive Map'!$G$4:$G$33,MATCH(O140,'Drive Map'!$B$4:$B$33,0)),"Open")))</f>
        <v/>
      </c>
      <c r="R140" s="6" t="n"/>
    </row>
    <row r="141">
      <c r="A141" s="31" t="n"/>
      <c r="D141" s="7">
        <f>IF(OR(A141="",B141=""),"",SUMPRODUCT(MAX((A$4:A$303=A141)*(B$4:B$303=B141)*C$4:C$303))+1)</f>
        <v/>
      </c>
      <c r="E141" s="7">
        <f>IF(OR(A141="",B141="",C141=""),"",A141&amp;"-"&amp;B141&amp;"-"&amp;TEXT(C141,"000"))</f>
        <v/>
      </c>
      <c r="F141" s="6" t="n"/>
      <c r="H141" s="21" t="n"/>
      <c r="N141" s="7">
        <f>IF(E141="","",E141&amp;"_"&amp;SUBSTITUTE(TRIM(F141)," ","-")&amp;IF(G141="","","_Rev"&amp;G141))</f>
        <v/>
      </c>
      <c r="O141" s="7">
        <f>IF(A141="","",IF(K141="Superseded","99 Archive",IFERROR(INDEX('Drive Map'!$B$4:$B$33,MATCH(A141,'Drive Map'!$A$4:$A$33,0)),"")&amp;IF(AND(A141="04",J141&lt;&gt;""),"/"&amp;J141,"")))</f>
        <v/>
      </c>
      <c r="P141" s="7">
        <f>IF(O141="","",IF(IFERROR(INDEX('Drive Map'!$G$4:$G$33,MATCH(O141,'Drive Map'!$B$4:$B$33,0))&amp;"","")="","",HYPERLINK(INDEX('Drive Map'!$G$4:$G$33,MATCH(O141,'Drive Map'!$B$4:$B$33,0)),"Open")))</f>
        <v/>
      </c>
      <c r="R141" s="6" t="n"/>
    </row>
    <row r="142">
      <c r="A142" s="31" t="n"/>
      <c r="D142" s="7">
        <f>IF(OR(A142="",B142=""),"",SUMPRODUCT(MAX((A$4:A$303=A142)*(B$4:B$303=B142)*C$4:C$303))+1)</f>
        <v/>
      </c>
      <c r="E142" s="7">
        <f>IF(OR(A142="",B142="",C142=""),"",A142&amp;"-"&amp;B142&amp;"-"&amp;TEXT(C142,"000"))</f>
        <v/>
      </c>
      <c r="F142" s="6" t="n"/>
      <c r="H142" s="21" t="n"/>
      <c r="N142" s="7">
        <f>IF(E142="","",E142&amp;"_"&amp;SUBSTITUTE(TRIM(F142)," ","-")&amp;IF(G142="","","_Rev"&amp;G142))</f>
        <v/>
      </c>
      <c r="O142" s="7">
        <f>IF(A142="","",IF(K142="Superseded","99 Archive",IFERROR(INDEX('Drive Map'!$B$4:$B$33,MATCH(A142,'Drive Map'!$A$4:$A$33,0)),"")&amp;IF(AND(A142="04",J142&lt;&gt;""),"/"&amp;J142,"")))</f>
        <v/>
      </c>
      <c r="P142" s="7">
        <f>IF(O142="","",IF(IFERROR(INDEX('Drive Map'!$G$4:$G$33,MATCH(O142,'Drive Map'!$B$4:$B$33,0))&amp;"","")="","",HYPERLINK(INDEX('Drive Map'!$G$4:$G$33,MATCH(O142,'Drive Map'!$B$4:$B$33,0)),"Open")))</f>
        <v/>
      </c>
      <c r="R142" s="6" t="n"/>
    </row>
    <row r="143">
      <c r="A143" s="31" t="n"/>
      <c r="D143" s="7">
        <f>IF(OR(A143="",B143=""),"",SUMPRODUCT(MAX((A$4:A$303=A143)*(B$4:B$303=B143)*C$4:C$303))+1)</f>
        <v/>
      </c>
      <c r="E143" s="7">
        <f>IF(OR(A143="",B143="",C143=""),"",A143&amp;"-"&amp;B143&amp;"-"&amp;TEXT(C143,"000"))</f>
        <v/>
      </c>
      <c r="F143" s="6" t="n"/>
      <c r="H143" s="21" t="n"/>
      <c r="N143" s="7">
        <f>IF(E143="","",E143&amp;"_"&amp;SUBSTITUTE(TRIM(F143)," ","-")&amp;IF(G143="","","_Rev"&amp;G143))</f>
        <v/>
      </c>
      <c r="O143" s="7">
        <f>IF(A143="","",IF(K143="Superseded","99 Archive",IFERROR(INDEX('Drive Map'!$B$4:$B$33,MATCH(A143,'Drive Map'!$A$4:$A$33,0)),"")&amp;IF(AND(A143="04",J143&lt;&gt;""),"/"&amp;J143,"")))</f>
        <v/>
      </c>
      <c r="P143" s="7">
        <f>IF(O143="","",IF(IFERROR(INDEX('Drive Map'!$G$4:$G$33,MATCH(O143,'Drive Map'!$B$4:$B$33,0))&amp;"","")="","",HYPERLINK(INDEX('Drive Map'!$G$4:$G$33,MATCH(O143,'Drive Map'!$B$4:$B$33,0)),"Open")))</f>
        <v/>
      </c>
      <c r="R143" s="6" t="n"/>
    </row>
    <row r="144">
      <c r="A144" s="31" t="n"/>
      <c r="D144" s="7">
        <f>IF(OR(A144="",B144=""),"",SUMPRODUCT(MAX((A$4:A$303=A144)*(B$4:B$303=B144)*C$4:C$303))+1)</f>
        <v/>
      </c>
      <c r="E144" s="7">
        <f>IF(OR(A144="",B144="",C144=""),"",A144&amp;"-"&amp;B144&amp;"-"&amp;TEXT(C144,"000"))</f>
        <v/>
      </c>
      <c r="F144" s="6" t="n"/>
      <c r="H144" s="21" t="n"/>
      <c r="N144" s="7">
        <f>IF(E144="","",E144&amp;"_"&amp;SUBSTITUTE(TRIM(F144)," ","-")&amp;IF(G144="","","_Rev"&amp;G144))</f>
        <v/>
      </c>
      <c r="O144" s="7">
        <f>IF(A144="","",IF(K144="Superseded","99 Archive",IFERROR(INDEX('Drive Map'!$B$4:$B$33,MATCH(A144,'Drive Map'!$A$4:$A$33,0)),"")&amp;IF(AND(A144="04",J144&lt;&gt;""),"/"&amp;J144,"")))</f>
        <v/>
      </c>
      <c r="P144" s="7">
        <f>IF(O144="","",IF(IFERROR(INDEX('Drive Map'!$G$4:$G$33,MATCH(O144,'Drive Map'!$B$4:$B$33,0))&amp;"","")="","",HYPERLINK(INDEX('Drive Map'!$G$4:$G$33,MATCH(O144,'Drive Map'!$B$4:$B$33,0)),"Open")))</f>
        <v/>
      </c>
      <c r="R144" s="6" t="n"/>
    </row>
    <row r="145">
      <c r="A145" s="31" t="n"/>
      <c r="D145" s="7">
        <f>IF(OR(A145="",B145=""),"",SUMPRODUCT(MAX((A$4:A$303=A145)*(B$4:B$303=B145)*C$4:C$303))+1)</f>
        <v/>
      </c>
      <c r="E145" s="7">
        <f>IF(OR(A145="",B145="",C145=""),"",A145&amp;"-"&amp;B145&amp;"-"&amp;TEXT(C145,"000"))</f>
        <v/>
      </c>
      <c r="F145" s="6" t="n"/>
      <c r="H145" s="21" t="n"/>
      <c r="N145" s="7">
        <f>IF(E145="","",E145&amp;"_"&amp;SUBSTITUTE(TRIM(F145)," ","-")&amp;IF(G145="","","_Rev"&amp;G145))</f>
        <v/>
      </c>
      <c r="O145" s="7">
        <f>IF(A145="","",IF(K145="Superseded","99 Archive",IFERROR(INDEX('Drive Map'!$B$4:$B$33,MATCH(A145,'Drive Map'!$A$4:$A$33,0)),"")&amp;IF(AND(A145="04",J145&lt;&gt;""),"/"&amp;J145,"")))</f>
        <v/>
      </c>
      <c r="P145" s="7">
        <f>IF(O145="","",IF(IFERROR(INDEX('Drive Map'!$G$4:$G$33,MATCH(O145,'Drive Map'!$B$4:$B$33,0))&amp;"","")="","",HYPERLINK(INDEX('Drive Map'!$G$4:$G$33,MATCH(O145,'Drive Map'!$B$4:$B$33,0)),"Open")))</f>
        <v/>
      </c>
      <c r="R145" s="6" t="n"/>
    </row>
    <row r="146">
      <c r="A146" s="31" t="n"/>
      <c r="D146" s="7">
        <f>IF(OR(A146="",B146=""),"",SUMPRODUCT(MAX((A$4:A$303=A146)*(B$4:B$303=B146)*C$4:C$303))+1)</f>
        <v/>
      </c>
      <c r="E146" s="7">
        <f>IF(OR(A146="",B146="",C146=""),"",A146&amp;"-"&amp;B146&amp;"-"&amp;TEXT(C146,"000"))</f>
        <v/>
      </c>
      <c r="F146" s="6" t="n"/>
      <c r="H146" s="21" t="n"/>
      <c r="N146" s="7">
        <f>IF(E146="","",E146&amp;"_"&amp;SUBSTITUTE(TRIM(F146)," ","-")&amp;IF(G146="","","_Rev"&amp;G146))</f>
        <v/>
      </c>
      <c r="O146" s="7">
        <f>IF(A146="","",IF(K146="Superseded","99 Archive",IFERROR(INDEX('Drive Map'!$B$4:$B$33,MATCH(A146,'Drive Map'!$A$4:$A$33,0)),"")&amp;IF(AND(A146="04",J146&lt;&gt;""),"/"&amp;J146,"")))</f>
        <v/>
      </c>
      <c r="P146" s="7">
        <f>IF(O146="","",IF(IFERROR(INDEX('Drive Map'!$G$4:$G$33,MATCH(O146,'Drive Map'!$B$4:$B$33,0))&amp;"","")="","",HYPERLINK(INDEX('Drive Map'!$G$4:$G$33,MATCH(O146,'Drive Map'!$B$4:$B$33,0)),"Open")))</f>
        <v/>
      </c>
      <c r="R146" s="6" t="n"/>
    </row>
    <row r="147">
      <c r="A147" s="31" t="n"/>
      <c r="D147" s="7">
        <f>IF(OR(A147="",B147=""),"",SUMPRODUCT(MAX((A$4:A$303=A147)*(B$4:B$303=B147)*C$4:C$303))+1)</f>
        <v/>
      </c>
      <c r="E147" s="7">
        <f>IF(OR(A147="",B147="",C147=""),"",A147&amp;"-"&amp;B147&amp;"-"&amp;TEXT(C147,"000"))</f>
        <v/>
      </c>
      <c r="F147" s="6" t="n"/>
      <c r="H147" s="21" t="n"/>
      <c r="N147" s="7">
        <f>IF(E147="","",E147&amp;"_"&amp;SUBSTITUTE(TRIM(F147)," ","-")&amp;IF(G147="","","_Rev"&amp;G147))</f>
        <v/>
      </c>
      <c r="O147" s="7">
        <f>IF(A147="","",IF(K147="Superseded","99 Archive",IFERROR(INDEX('Drive Map'!$B$4:$B$33,MATCH(A147,'Drive Map'!$A$4:$A$33,0)),"")&amp;IF(AND(A147="04",J147&lt;&gt;""),"/"&amp;J147,"")))</f>
        <v/>
      </c>
      <c r="P147" s="7">
        <f>IF(O147="","",IF(IFERROR(INDEX('Drive Map'!$G$4:$G$33,MATCH(O147,'Drive Map'!$B$4:$B$33,0))&amp;"","")="","",HYPERLINK(INDEX('Drive Map'!$G$4:$G$33,MATCH(O147,'Drive Map'!$B$4:$B$33,0)),"Open")))</f>
        <v/>
      </c>
      <c r="R147" s="6" t="n"/>
    </row>
    <row r="148">
      <c r="A148" s="31" t="n"/>
      <c r="D148" s="7">
        <f>IF(OR(A148="",B148=""),"",SUMPRODUCT(MAX((A$4:A$303=A148)*(B$4:B$303=B148)*C$4:C$303))+1)</f>
        <v/>
      </c>
      <c r="E148" s="7">
        <f>IF(OR(A148="",B148="",C148=""),"",A148&amp;"-"&amp;B148&amp;"-"&amp;TEXT(C148,"000"))</f>
        <v/>
      </c>
      <c r="F148" s="6" t="n"/>
      <c r="H148" s="21" t="n"/>
      <c r="N148" s="7">
        <f>IF(E148="","",E148&amp;"_"&amp;SUBSTITUTE(TRIM(F148)," ","-")&amp;IF(G148="","","_Rev"&amp;G148))</f>
        <v/>
      </c>
      <c r="O148" s="7">
        <f>IF(A148="","",IF(K148="Superseded","99 Archive",IFERROR(INDEX('Drive Map'!$B$4:$B$33,MATCH(A148,'Drive Map'!$A$4:$A$33,0)),"")&amp;IF(AND(A148="04",J148&lt;&gt;""),"/"&amp;J148,"")))</f>
        <v/>
      </c>
      <c r="P148" s="7">
        <f>IF(O148="","",IF(IFERROR(INDEX('Drive Map'!$G$4:$G$33,MATCH(O148,'Drive Map'!$B$4:$B$33,0))&amp;"","")="","",HYPERLINK(INDEX('Drive Map'!$G$4:$G$33,MATCH(O148,'Drive Map'!$B$4:$B$33,0)),"Open")))</f>
        <v/>
      </c>
      <c r="R148" s="6" t="n"/>
    </row>
    <row r="149">
      <c r="A149" s="31" t="n"/>
      <c r="D149" s="7">
        <f>IF(OR(A149="",B149=""),"",SUMPRODUCT(MAX((A$4:A$303=A149)*(B$4:B$303=B149)*C$4:C$303))+1)</f>
        <v/>
      </c>
      <c r="E149" s="7">
        <f>IF(OR(A149="",B149="",C149=""),"",A149&amp;"-"&amp;B149&amp;"-"&amp;TEXT(C149,"000"))</f>
        <v/>
      </c>
      <c r="F149" s="6" t="n"/>
      <c r="H149" s="21" t="n"/>
      <c r="N149" s="7">
        <f>IF(E149="","",E149&amp;"_"&amp;SUBSTITUTE(TRIM(F149)," ","-")&amp;IF(G149="","","_Rev"&amp;G149))</f>
        <v/>
      </c>
      <c r="O149" s="7">
        <f>IF(A149="","",IF(K149="Superseded","99 Archive",IFERROR(INDEX('Drive Map'!$B$4:$B$33,MATCH(A149,'Drive Map'!$A$4:$A$33,0)),"")&amp;IF(AND(A149="04",J149&lt;&gt;""),"/"&amp;J149,"")))</f>
        <v/>
      </c>
      <c r="P149" s="7">
        <f>IF(O149="","",IF(IFERROR(INDEX('Drive Map'!$G$4:$G$33,MATCH(O149,'Drive Map'!$B$4:$B$33,0))&amp;"","")="","",HYPERLINK(INDEX('Drive Map'!$G$4:$G$33,MATCH(O149,'Drive Map'!$B$4:$B$33,0)),"Open")))</f>
        <v/>
      </c>
      <c r="R149" s="6" t="n"/>
    </row>
    <row r="150">
      <c r="A150" s="31" t="n"/>
      <c r="D150" s="7">
        <f>IF(OR(A150="",B150=""),"",SUMPRODUCT(MAX((A$4:A$303=A150)*(B$4:B$303=B150)*C$4:C$303))+1)</f>
        <v/>
      </c>
      <c r="E150" s="7">
        <f>IF(OR(A150="",B150="",C150=""),"",A150&amp;"-"&amp;B150&amp;"-"&amp;TEXT(C150,"000"))</f>
        <v/>
      </c>
      <c r="F150" s="6" t="n"/>
      <c r="H150" s="21" t="n"/>
      <c r="N150" s="7">
        <f>IF(E150="","",E150&amp;"_"&amp;SUBSTITUTE(TRIM(F150)," ","-")&amp;IF(G150="","","_Rev"&amp;G150))</f>
        <v/>
      </c>
      <c r="O150" s="7">
        <f>IF(A150="","",IF(K150="Superseded","99 Archive",IFERROR(INDEX('Drive Map'!$B$4:$B$33,MATCH(A150,'Drive Map'!$A$4:$A$33,0)),"")&amp;IF(AND(A150="04",J150&lt;&gt;""),"/"&amp;J150,"")))</f>
        <v/>
      </c>
      <c r="P150" s="7">
        <f>IF(O150="","",IF(IFERROR(INDEX('Drive Map'!$G$4:$G$33,MATCH(O150,'Drive Map'!$B$4:$B$33,0))&amp;"","")="","",HYPERLINK(INDEX('Drive Map'!$G$4:$G$33,MATCH(O150,'Drive Map'!$B$4:$B$33,0)),"Open")))</f>
        <v/>
      </c>
      <c r="R150" s="6" t="n"/>
    </row>
    <row r="151">
      <c r="A151" s="31" t="n"/>
      <c r="D151" s="7">
        <f>IF(OR(A151="",B151=""),"",SUMPRODUCT(MAX((A$4:A$303=A151)*(B$4:B$303=B151)*C$4:C$303))+1)</f>
        <v/>
      </c>
      <c r="E151" s="7">
        <f>IF(OR(A151="",B151="",C151=""),"",A151&amp;"-"&amp;B151&amp;"-"&amp;TEXT(C151,"000"))</f>
        <v/>
      </c>
      <c r="F151" s="6" t="n"/>
      <c r="H151" s="21" t="n"/>
      <c r="N151" s="7">
        <f>IF(E151="","",E151&amp;"_"&amp;SUBSTITUTE(TRIM(F151)," ","-")&amp;IF(G151="","","_Rev"&amp;G151))</f>
        <v/>
      </c>
      <c r="O151" s="7">
        <f>IF(A151="","",IF(K151="Superseded","99 Archive",IFERROR(INDEX('Drive Map'!$B$4:$B$33,MATCH(A151,'Drive Map'!$A$4:$A$33,0)),"")&amp;IF(AND(A151="04",J151&lt;&gt;""),"/"&amp;J151,"")))</f>
        <v/>
      </c>
      <c r="P151" s="7">
        <f>IF(O151="","",IF(IFERROR(INDEX('Drive Map'!$G$4:$G$33,MATCH(O151,'Drive Map'!$B$4:$B$33,0))&amp;"","")="","",HYPERLINK(INDEX('Drive Map'!$G$4:$G$33,MATCH(O151,'Drive Map'!$B$4:$B$33,0)),"Open")))</f>
        <v/>
      </c>
      <c r="R151" s="6" t="n"/>
    </row>
    <row r="152">
      <c r="A152" s="31" t="n"/>
      <c r="D152" s="7">
        <f>IF(OR(A152="",B152=""),"",SUMPRODUCT(MAX((A$4:A$303=A152)*(B$4:B$303=B152)*C$4:C$303))+1)</f>
        <v/>
      </c>
      <c r="E152" s="7">
        <f>IF(OR(A152="",B152="",C152=""),"",A152&amp;"-"&amp;B152&amp;"-"&amp;TEXT(C152,"000"))</f>
        <v/>
      </c>
      <c r="F152" s="6" t="n"/>
      <c r="H152" s="21" t="n"/>
      <c r="N152" s="7">
        <f>IF(E152="","",E152&amp;"_"&amp;SUBSTITUTE(TRIM(F152)," ","-")&amp;IF(G152="","","_Rev"&amp;G152))</f>
        <v/>
      </c>
      <c r="O152" s="7">
        <f>IF(A152="","",IF(K152="Superseded","99 Archive",IFERROR(INDEX('Drive Map'!$B$4:$B$33,MATCH(A152,'Drive Map'!$A$4:$A$33,0)),"")&amp;IF(AND(A152="04",J152&lt;&gt;""),"/"&amp;J152,"")))</f>
        <v/>
      </c>
      <c r="P152" s="7">
        <f>IF(O152="","",IF(IFERROR(INDEX('Drive Map'!$G$4:$G$33,MATCH(O152,'Drive Map'!$B$4:$B$33,0))&amp;"","")="","",HYPERLINK(INDEX('Drive Map'!$G$4:$G$33,MATCH(O152,'Drive Map'!$B$4:$B$33,0)),"Open")))</f>
        <v/>
      </c>
      <c r="R152" s="6" t="n"/>
    </row>
    <row r="153">
      <c r="A153" s="31" t="n"/>
      <c r="D153" s="7">
        <f>IF(OR(A153="",B153=""),"",SUMPRODUCT(MAX((A$4:A$303=A153)*(B$4:B$303=B153)*C$4:C$303))+1)</f>
        <v/>
      </c>
      <c r="E153" s="7">
        <f>IF(OR(A153="",B153="",C153=""),"",A153&amp;"-"&amp;B153&amp;"-"&amp;TEXT(C153,"000"))</f>
        <v/>
      </c>
      <c r="F153" s="6" t="n"/>
      <c r="H153" s="21" t="n"/>
      <c r="N153" s="7">
        <f>IF(E153="","",E153&amp;"_"&amp;SUBSTITUTE(TRIM(F153)," ","-")&amp;IF(G153="","","_Rev"&amp;G153))</f>
        <v/>
      </c>
      <c r="O153" s="7">
        <f>IF(A153="","",IF(K153="Superseded","99 Archive",IFERROR(INDEX('Drive Map'!$B$4:$B$33,MATCH(A153,'Drive Map'!$A$4:$A$33,0)),"")&amp;IF(AND(A153="04",J153&lt;&gt;""),"/"&amp;J153,"")))</f>
        <v/>
      </c>
      <c r="P153" s="7">
        <f>IF(O153="","",IF(IFERROR(INDEX('Drive Map'!$G$4:$G$33,MATCH(O153,'Drive Map'!$B$4:$B$33,0))&amp;"","")="","",HYPERLINK(INDEX('Drive Map'!$G$4:$G$33,MATCH(O153,'Drive Map'!$B$4:$B$33,0)),"Open")))</f>
        <v/>
      </c>
      <c r="R153" s="6" t="n"/>
    </row>
    <row r="154">
      <c r="A154" s="31" t="n"/>
      <c r="D154" s="7">
        <f>IF(OR(A154="",B154=""),"",SUMPRODUCT(MAX((A$4:A$303=A154)*(B$4:B$303=B154)*C$4:C$303))+1)</f>
        <v/>
      </c>
      <c r="E154" s="7">
        <f>IF(OR(A154="",B154="",C154=""),"",A154&amp;"-"&amp;B154&amp;"-"&amp;TEXT(C154,"000"))</f>
        <v/>
      </c>
      <c r="F154" s="6" t="n"/>
      <c r="H154" s="21" t="n"/>
      <c r="N154" s="7">
        <f>IF(E154="","",E154&amp;"_"&amp;SUBSTITUTE(TRIM(F154)," ","-")&amp;IF(G154="","","_Rev"&amp;G154))</f>
        <v/>
      </c>
      <c r="O154" s="7">
        <f>IF(A154="","",IF(K154="Superseded","99 Archive",IFERROR(INDEX('Drive Map'!$B$4:$B$33,MATCH(A154,'Drive Map'!$A$4:$A$33,0)),"")&amp;IF(AND(A154="04",J154&lt;&gt;""),"/"&amp;J154,"")))</f>
        <v/>
      </c>
      <c r="P154" s="7">
        <f>IF(O154="","",IF(IFERROR(INDEX('Drive Map'!$G$4:$G$33,MATCH(O154,'Drive Map'!$B$4:$B$33,0))&amp;"","")="","",HYPERLINK(INDEX('Drive Map'!$G$4:$G$33,MATCH(O154,'Drive Map'!$B$4:$B$33,0)),"Open")))</f>
        <v/>
      </c>
      <c r="R154" s="6" t="n"/>
    </row>
    <row r="155">
      <c r="A155" s="31" t="n"/>
      <c r="D155" s="7">
        <f>IF(OR(A155="",B155=""),"",SUMPRODUCT(MAX((A$4:A$303=A155)*(B$4:B$303=B155)*C$4:C$303))+1)</f>
        <v/>
      </c>
      <c r="E155" s="7">
        <f>IF(OR(A155="",B155="",C155=""),"",A155&amp;"-"&amp;B155&amp;"-"&amp;TEXT(C155,"000"))</f>
        <v/>
      </c>
      <c r="F155" s="6" t="n"/>
      <c r="H155" s="21" t="n"/>
      <c r="N155" s="7">
        <f>IF(E155="","",E155&amp;"_"&amp;SUBSTITUTE(TRIM(F155)," ","-")&amp;IF(G155="","","_Rev"&amp;G155))</f>
        <v/>
      </c>
      <c r="O155" s="7">
        <f>IF(A155="","",IF(K155="Superseded","99 Archive",IFERROR(INDEX('Drive Map'!$B$4:$B$33,MATCH(A155,'Drive Map'!$A$4:$A$33,0)),"")&amp;IF(AND(A155="04",J155&lt;&gt;""),"/"&amp;J155,"")))</f>
        <v/>
      </c>
      <c r="P155" s="7">
        <f>IF(O155="","",IF(IFERROR(INDEX('Drive Map'!$G$4:$G$33,MATCH(O155,'Drive Map'!$B$4:$B$33,0))&amp;"","")="","",HYPERLINK(INDEX('Drive Map'!$G$4:$G$33,MATCH(O155,'Drive Map'!$B$4:$B$33,0)),"Open")))</f>
        <v/>
      </c>
      <c r="R155" s="6" t="n"/>
    </row>
    <row r="156">
      <c r="A156" s="31" t="n"/>
      <c r="D156" s="7">
        <f>IF(OR(A156="",B156=""),"",SUMPRODUCT(MAX((A$4:A$303=A156)*(B$4:B$303=B156)*C$4:C$303))+1)</f>
        <v/>
      </c>
      <c r="E156" s="7">
        <f>IF(OR(A156="",B156="",C156=""),"",A156&amp;"-"&amp;B156&amp;"-"&amp;TEXT(C156,"000"))</f>
        <v/>
      </c>
      <c r="F156" s="6" t="n"/>
      <c r="H156" s="21" t="n"/>
      <c r="N156" s="7">
        <f>IF(E156="","",E156&amp;"_"&amp;SUBSTITUTE(TRIM(F156)," ","-")&amp;IF(G156="","","_Rev"&amp;G156))</f>
        <v/>
      </c>
      <c r="O156" s="7">
        <f>IF(A156="","",IF(K156="Superseded","99 Archive",IFERROR(INDEX('Drive Map'!$B$4:$B$33,MATCH(A156,'Drive Map'!$A$4:$A$33,0)),"")&amp;IF(AND(A156="04",J156&lt;&gt;""),"/"&amp;J156,"")))</f>
        <v/>
      </c>
      <c r="P156" s="7">
        <f>IF(O156="","",IF(IFERROR(INDEX('Drive Map'!$G$4:$G$33,MATCH(O156,'Drive Map'!$B$4:$B$33,0))&amp;"","")="","",HYPERLINK(INDEX('Drive Map'!$G$4:$G$33,MATCH(O156,'Drive Map'!$B$4:$B$33,0)),"Open")))</f>
        <v/>
      </c>
      <c r="R156" s="6" t="n"/>
    </row>
    <row r="157">
      <c r="A157" s="31" t="n"/>
      <c r="D157" s="7">
        <f>IF(OR(A157="",B157=""),"",SUMPRODUCT(MAX((A$4:A$303=A157)*(B$4:B$303=B157)*C$4:C$303))+1)</f>
        <v/>
      </c>
      <c r="E157" s="7">
        <f>IF(OR(A157="",B157="",C157=""),"",A157&amp;"-"&amp;B157&amp;"-"&amp;TEXT(C157,"000"))</f>
        <v/>
      </c>
      <c r="F157" s="6" t="n"/>
      <c r="H157" s="21" t="n"/>
      <c r="N157" s="7">
        <f>IF(E157="","",E157&amp;"_"&amp;SUBSTITUTE(TRIM(F157)," ","-")&amp;IF(G157="","","_Rev"&amp;G157))</f>
        <v/>
      </c>
      <c r="O157" s="7">
        <f>IF(A157="","",IF(K157="Superseded","99 Archive",IFERROR(INDEX('Drive Map'!$B$4:$B$33,MATCH(A157,'Drive Map'!$A$4:$A$33,0)),"")&amp;IF(AND(A157="04",J157&lt;&gt;""),"/"&amp;J157,"")))</f>
        <v/>
      </c>
      <c r="P157" s="7">
        <f>IF(O157="","",IF(IFERROR(INDEX('Drive Map'!$G$4:$G$33,MATCH(O157,'Drive Map'!$B$4:$B$33,0))&amp;"","")="","",HYPERLINK(INDEX('Drive Map'!$G$4:$G$33,MATCH(O157,'Drive Map'!$B$4:$B$33,0)),"Open")))</f>
        <v/>
      </c>
      <c r="R157" s="6" t="n"/>
    </row>
    <row r="158">
      <c r="A158" s="31" t="n"/>
      <c r="D158" s="7">
        <f>IF(OR(A158="",B158=""),"",SUMPRODUCT(MAX((A$4:A$303=A158)*(B$4:B$303=B158)*C$4:C$303))+1)</f>
        <v/>
      </c>
      <c r="E158" s="7">
        <f>IF(OR(A158="",B158="",C158=""),"",A158&amp;"-"&amp;B158&amp;"-"&amp;TEXT(C158,"000"))</f>
        <v/>
      </c>
      <c r="F158" s="6" t="n"/>
      <c r="H158" s="21" t="n"/>
      <c r="N158" s="7">
        <f>IF(E158="","",E158&amp;"_"&amp;SUBSTITUTE(TRIM(F158)," ","-")&amp;IF(G158="","","_Rev"&amp;G158))</f>
        <v/>
      </c>
      <c r="O158" s="7">
        <f>IF(A158="","",IF(K158="Superseded","99 Archive",IFERROR(INDEX('Drive Map'!$B$4:$B$33,MATCH(A158,'Drive Map'!$A$4:$A$33,0)),"")&amp;IF(AND(A158="04",J158&lt;&gt;""),"/"&amp;J158,"")))</f>
        <v/>
      </c>
      <c r="P158" s="7">
        <f>IF(O158="","",IF(IFERROR(INDEX('Drive Map'!$G$4:$G$33,MATCH(O158,'Drive Map'!$B$4:$B$33,0))&amp;"","")="","",HYPERLINK(INDEX('Drive Map'!$G$4:$G$33,MATCH(O158,'Drive Map'!$B$4:$B$33,0)),"Open")))</f>
        <v/>
      </c>
      <c r="R158" s="6" t="n"/>
    </row>
    <row r="159">
      <c r="A159" s="31" t="n"/>
      <c r="D159" s="7">
        <f>IF(OR(A159="",B159=""),"",SUMPRODUCT(MAX((A$4:A$303=A159)*(B$4:B$303=B159)*C$4:C$303))+1)</f>
        <v/>
      </c>
      <c r="E159" s="7">
        <f>IF(OR(A159="",B159="",C159=""),"",A159&amp;"-"&amp;B159&amp;"-"&amp;TEXT(C159,"000"))</f>
        <v/>
      </c>
      <c r="F159" s="6" t="n"/>
      <c r="H159" s="21" t="n"/>
      <c r="N159" s="7">
        <f>IF(E159="","",E159&amp;"_"&amp;SUBSTITUTE(TRIM(F159)," ","-")&amp;IF(G159="","","_Rev"&amp;G159))</f>
        <v/>
      </c>
      <c r="O159" s="7">
        <f>IF(A159="","",IF(K159="Superseded","99 Archive",IFERROR(INDEX('Drive Map'!$B$4:$B$33,MATCH(A159,'Drive Map'!$A$4:$A$33,0)),"")&amp;IF(AND(A159="04",J159&lt;&gt;""),"/"&amp;J159,"")))</f>
        <v/>
      </c>
      <c r="P159" s="7">
        <f>IF(O159="","",IF(IFERROR(INDEX('Drive Map'!$G$4:$G$33,MATCH(O159,'Drive Map'!$B$4:$B$33,0))&amp;"","")="","",HYPERLINK(INDEX('Drive Map'!$G$4:$G$33,MATCH(O159,'Drive Map'!$B$4:$B$33,0)),"Open")))</f>
        <v/>
      </c>
      <c r="R159" s="6" t="n"/>
    </row>
    <row r="160">
      <c r="A160" s="31" t="n"/>
      <c r="D160" s="7">
        <f>IF(OR(A160="",B160=""),"",SUMPRODUCT(MAX((A$4:A$303=A160)*(B$4:B$303=B160)*C$4:C$303))+1)</f>
        <v/>
      </c>
      <c r="E160" s="7">
        <f>IF(OR(A160="",B160="",C160=""),"",A160&amp;"-"&amp;B160&amp;"-"&amp;TEXT(C160,"000"))</f>
        <v/>
      </c>
      <c r="F160" s="6" t="n"/>
      <c r="H160" s="21" t="n"/>
      <c r="N160" s="7">
        <f>IF(E160="","",E160&amp;"_"&amp;SUBSTITUTE(TRIM(F160)," ","-")&amp;IF(G160="","","_Rev"&amp;G160))</f>
        <v/>
      </c>
      <c r="O160" s="7">
        <f>IF(A160="","",IF(K160="Superseded","99 Archive",IFERROR(INDEX('Drive Map'!$B$4:$B$33,MATCH(A160,'Drive Map'!$A$4:$A$33,0)),"")&amp;IF(AND(A160="04",J160&lt;&gt;""),"/"&amp;J160,"")))</f>
        <v/>
      </c>
      <c r="P160" s="7">
        <f>IF(O160="","",IF(IFERROR(INDEX('Drive Map'!$G$4:$G$33,MATCH(O160,'Drive Map'!$B$4:$B$33,0))&amp;"","")="","",HYPERLINK(INDEX('Drive Map'!$G$4:$G$33,MATCH(O160,'Drive Map'!$B$4:$B$33,0)),"Open")))</f>
        <v/>
      </c>
      <c r="R160" s="6" t="n"/>
    </row>
    <row r="161">
      <c r="A161" s="31" t="n"/>
      <c r="D161" s="7">
        <f>IF(OR(A161="",B161=""),"",SUMPRODUCT(MAX((A$4:A$303=A161)*(B$4:B$303=B161)*C$4:C$303))+1)</f>
        <v/>
      </c>
      <c r="E161" s="7">
        <f>IF(OR(A161="",B161="",C161=""),"",A161&amp;"-"&amp;B161&amp;"-"&amp;TEXT(C161,"000"))</f>
        <v/>
      </c>
      <c r="F161" s="6" t="n"/>
      <c r="H161" s="21" t="n"/>
      <c r="N161" s="7">
        <f>IF(E161="","",E161&amp;"_"&amp;SUBSTITUTE(TRIM(F161)," ","-")&amp;IF(G161="","","_Rev"&amp;G161))</f>
        <v/>
      </c>
      <c r="O161" s="7">
        <f>IF(A161="","",IF(K161="Superseded","99 Archive",IFERROR(INDEX('Drive Map'!$B$4:$B$33,MATCH(A161,'Drive Map'!$A$4:$A$33,0)),"")&amp;IF(AND(A161="04",J161&lt;&gt;""),"/"&amp;J161,"")))</f>
        <v/>
      </c>
      <c r="P161" s="7">
        <f>IF(O161="","",IF(IFERROR(INDEX('Drive Map'!$G$4:$G$33,MATCH(O161,'Drive Map'!$B$4:$B$33,0))&amp;"","")="","",HYPERLINK(INDEX('Drive Map'!$G$4:$G$33,MATCH(O161,'Drive Map'!$B$4:$B$33,0)),"Open")))</f>
        <v/>
      </c>
      <c r="R161" s="6" t="n"/>
    </row>
    <row r="162">
      <c r="A162" s="31" t="n"/>
      <c r="D162" s="7">
        <f>IF(OR(A162="",B162=""),"",SUMPRODUCT(MAX((A$4:A$303=A162)*(B$4:B$303=B162)*C$4:C$303))+1)</f>
        <v/>
      </c>
      <c r="E162" s="7">
        <f>IF(OR(A162="",B162="",C162=""),"",A162&amp;"-"&amp;B162&amp;"-"&amp;TEXT(C162,"000"))</f>
        <v/>
      </c>
      <c r="F162" s="6" t="n"/>
      <c r="H162" s="21" t="n"/>
      <c r="N162" s="7">
        <f>IF(E162="","",E162&amp;"_"&amp;SUBSTITUTE(TRIM(F162)," ","-")&amp;IF(G162="","","_Rev"&amp;G162))</f>
        <v/>
      </c>
      <c r="O162" s="7">
        <f>IF(A162="","",IF(K162="Superseded","99 Archive",IFERROR(INDEX('Drive Map'!$B$4:$B$33,MATCH(A162,'Drive Map'!$A$4:$A$33,0)),"")&amp;IF(AND(A162="04",J162&lt;&gt;""),"/"&amp;J162,"")))</f>
        <v/>
      </c>
      <c r="P162" s="7">
        <f>IF(O162="","",IF(IFERROR(INDEX('Drive Map'!$G$4:$G$33,MATCH(O162,'Drive Map'!$B$4:$B$33,0))&amp;"","")="","",HYPERLINK(INDEX('Drive Map'!$G$4:$G$33,MATCH(O162,'Drive Map'!$B$4:$B$33,0)),"Open")))</f>
        <v/>
      </c>
      <c r="R162" s="6" t="n"/>
    </row>
    <row r="163">
      <c r="A163" s="31" t="n"/>
      <c r="D163" s="7">
        <f>IF(OR(A163="",B163=""),"",SUMPRODUCT(MAX((A$4:A$303=A163)*(B$4:B$303=B163)*C$4:C$303))+1)</f>
        <v/>
      </c>
      <c r="E163" s="7">
        <f>IF(OR(A163="",B163="",C163=""),"",A163&amp;"-"&amp;B163&amp;"-"&amp;TEXT(C163,"000"))</f>
        <v/>
      </c>
      <c r="F163" s="6" t="n"/>
      <c r="H163" s="21" t="n"/>
      <c r="N163" s="7">
        <f>IF(E163="","",E163&amp;"_"&amp;SUBSTITUTE(TRIM(F163)," ","-")&amp;IF(G163="","","_Rev"&amp;G163))</f>
        <v/>
      </c>
      <c r="O163" s="7">
        <f>IF(A163="","",IF(K163="Superseded","99 Archive",IFERROR(INDEX('Drive Map'!$B$4:$B$33,MATCH(A163,'Drive Map'!$A$4:$A$33,0)),"")&amp;IF(AND(A163="04",J163&lt;&gt;""),"/"&amp;J163,"")))</f>
        <v/>
      </c>
      <c r="P163" s="7">
        <f>IF(O163="","",IF(IFERROR(INDEX('Drive Map'!$G$4:$G$33,MATCH(O163,'Drive Map'!$B$4:$B$33,0))&amp;"","")="","",HYPERLINK(INDEX('Drive Map'!$G$4:$G$33,MATCH(O163,'Drive Map'!$B$4:$B$33,0)),"Open")))</f>
        <v/>
      </c>
      <c r="R163" s="6" t="n"/>
    </row>
    <row r="164">
      <c r="A164" s="31" t="n"/>
      <c r="D164" s="7">
        <f>IF(OR(A164="",B164=""),"",SUMPRODUCT(MAX((A$4:A$303=A164)*(B$4:B$303=B164)*C$4:C$303))+1)</f>
        <v/>
      </c>
      <c r="E164" s="7">
        <f>IF(OR(A164="",B164="",C164=""),"",A164&amp;"-"&amp;B164&amp;"-"&amp;TEXT(C164,"000"))</f>
        <v/>
      </c>
      <c r="F164" s="6" t="n"/>
      <c r="H164" s="21" t="n"/>
      <c r="N164" s="7">
        <f>IF(E164="","",E164&amp;"_"&amp;SUBSTITUTE(TRIM(F164)," ","-")&amp;IF(G164="","","_Rev"&amp;G164))</f>
        <v/>
      </c>
      <c r="O164" s="7">
        <f>IF(A164="","",IF(K164="Superseded","99 Archive",IFERROR(INDEX('Drive Map'!$B$4:$B$33,MATCH(A164,'Drive Map'!$A$4:$A$33,0)),"")&amp;IF(AND(A164="04",J164&lt;&gt;""),"/"&amp;J164,"")))</f>
        <v/>
      </c>
      <c r="P164" s="7">
        <f>IF(O164="","",IF(IFERROR(INDEX('Drive Map'!$G$4:$G$33,MATCH(O164,'Drive Map'!$B$4:$B$33,0))&amp;"","")="","",HYPERLINK(INDEX('Drive Map'!$G$4:$G$33,MATCH(O164,'Drive Map'!$B$4:$B$33,0)),"Open")))</f>
        <v/>
      </c>
      <c r="R164" s="6" t="n"/>
    </row>
    <row r="165">
      <c r="A165" s="31" t="n"/>
      <c r="D165" s="7">
        <f>IF(OR(A165="",B165=""),"",SUMPRODUCT(MAX((A$4:A$303=A165)*(B$4:B$303=B165)*C$4:C$303))+1)</f>
        <v/>
      </c>
      <c r="E165" s="7">
        <f>IF(OR(A165="",B165="",C165=""),"",A165&amp;"-"&amp;B165&amp;"-"&amp;TEXT(C165,"000"))</f>
        <v/>
      </c>
      <c r="F165" s="6" t="n"/>
      <c r="H165" s="21" t="n"/>
      <c r="N165" s="7">
        <f>IF(E165="","",E165&amp;"_"&amp;SUBSTITUTE(TRIM(F165)," ","-")&amp;IF(G165="","","_Rev"&amp;G165))</f>
        <v/>
      </c>
      <c r="O165" s="7">
        <f>IF(A165="","",IF(K165="Superseded","99 Archive",IFERROR(INDEX('Drive Map'!$B$4:$B$33,MATCH(A165,'Drive Map'!$A$4:$A$33,0)),"")&amp;IF(AND(A165="04",J165&lt;&gt;""),"/"&amp;J165,"")))</f>
        <v/>
      </c>
      <c r="P165" s="7">
        <f>IF(O165="","",IF(IFERROR(INDEX('Drive Map'!$G$4:$G$33,MATCH(O165,'Drive Map'!$B$4:$B$33,0))&amp;"","")="","",HYPERLINK(INDEX('Drive Map'!$G$4:$G$33,MATCH(O165,'Drive Map'!$B$4:$B$33,0)),"Open")))</f>
        <v/>
      </c>
      <c r="R165" s="6" t="n"/>
    </row>
    <row r="166">
      <c r="A166" s="31" t="n"/>
      <c r="D166" s="7">
        <f>IF(OR(A166="",B166=""),"",SUMPRODUCT(MAX((A$4:A$303=A166)*(B$4:B$303=B166)*C$4:C$303))+1)</f>
        <v/>
      </c>
      <c r="E166" s="7">
        <f>IF(OR(A166="",B166="",C166=""),"",A166&amp;"-"&amp;B166&amp;"-"&amp;TEXT(C166,"000"))</f>
        <v/>
      </c>
      <c r="F166" s="6" t="n"/>
      <c r="H166" s="21" t="n"/>
      <c r="N166" s="7">
        <f>IF(E166="","",E166&amp;"_"&amp;SUBSTITUTE(TRIM(F166)," ","-")&amp;IF(G166="","","_Rev"&amp;G166))</f>
        <v/>
      </c>
      <c r="O166" s="7">
        <f>IF(A166="","",IF(K166="Superseded","99 Archive",IFERROR(INDEX('Drive Map'!$B$4:$B$33,MATCH(A166,'Drive Map'!$A$4:$A$33,0)),"")&amp;IF(AND(A166="04",J166&lt;&gt;""),"/"&amp;J166,"")))</f>
        <v/>
      </c>
      <c r="P166" s="7">
        <f>IF(O166="","",IF(IFERROR(INDEX('Drive Map'!$G$4:$G$33,MATCH(O166,'Drive Map'!$B$4:$B$33,0))&amp;"","")="","",HYPERLINK(INDEX('Drive Map'!$G$4:$G$33,MATCH(O166,'Drive Map'!$B$4:$B$33,0)),"Open")))</f>
        <v/>
      </c>
      <c r="R166" s="6" t="n"/>
    </row>
    <row r="167">
      <c r="A167" s="31" t="n"/>
      <c r="D167" s="7">
        <f>IF(OR(A167="",B167=""),"",SUMPRODUCT(MAX((A$4:A$303=A167)*(B$4:B$303=B167)*C$4:C$303))+1)</f>
        <v/>
      </c>
      <c r="E167" s="7">
        <f>IF(OR(A167="",B167="",C167=""),"",A167&amp;"-"&amp;B167&amp;"-"&amp;TEXT(C167,"000"))</f>
        <v/>
      </c>
      <c r="F167" s="6" t="n"/>
      <c r="H167" s="21" t="n"/>
      <c r="N167" s="7">
        <f>IF(E167="","",E167&amp;"_"&amp;SUBSTITUTE(TRIM(F167)," ","-")&amp;IF(G167="","","_Rev"&amp;G167))</f>
        <v/>
      </c>
      <c r="O167" s="7">
        <f>IF(A167="","",IF(K167="Superseded","99 Archive",IFERROR(INDEX('Drive Map'!$B$4:$B$33,MATCH(A167,'Drive Map'!$A$4:$A$33,0)),"")&amp;IF(AND(A167="04",J167&lt;&gt;""),"/"&amp;J167,"")))</f>
        <v/>
      </c>
      <c r="P167" s="7">
        <f>IF(O167="","",IF(IFERROR(INDEX('Drive Map'!$G$4:$G$33,MATCH(O167,'Drive Map'!$B$4:$B$33,0))&amp;"","")="","",HYPERLINK(INDEX('Drive Map'!$G$4:$G$33,MATCH(O167,'Drive Map'!$B$4:$B$33,0)),"Open")))</f>
        <v/>
      </c>
      <c r="R167" s="6" t="n"/>
    </row>
    <row r="168">
      <c r="A168" s="31" t="n"/>
      <c r="D168" s="7">
        <f>IF(OR(A168="",B168=""),"",SUMPRODUCT(MAX((A$4:A$303=A168)*(B$4:B$303=B168)*C$4:C$303))+1)</f>
        <v/>
      </c>
      <c r="E168" s="7">
        <f>IF(OR(A168="",B168="",C168=""),"",A168&amp;"-"&amp;B168&amp;"-"&amp;TEXT(C168,"000"))</f>
        <v/>
      </c>
      <c r="F168" s="6" t="n"/>
      <c r="H168" s="21" t="n"/>
      <c r="N168" s="7">
        <f>IF(E168="","",E168&amp;"_"&amp;SUBSTITUTE(TRIM(F168)," ","-")&amp;IF(G168="","","_Rev"&amp;G168))</f>
        <v/>
      </c>
      <c r="O168" s="7">
        <f>IF(A168="","",IF(K168="Superseded","99 Archive",IFERROR(INDEX('Drive Map'!$B$4:$B$33,MATCH(A168,'Drive Map'!$A$4:$A$33,0)),"")&amp;IF(AND(A168="04",J168&lt;&gt;""),"/"&amp;J168,"")))</f>
        <v/>
      </c>
      <c r="P168" s="7">
        <f>IF(O168="","",IF(IFERROR(INDEX('Drive Map'!$G$4:$G$33,MATCH(O168,'Drive Map'!$B$4:$B$33,0))&amp;"","")="","",HYPERLINK(INDEX('Drive Map'!$G$4:$G$33,MATCH(O168,'Drive Map'!$B$4:$B$33,0)),"Open")))</f>
        <v/>
      </c>
      <c r="R168" s="6" t="n"/>
    </row>
    <row r="169">
      <c r="A169" s="31" t="n"/>
      <c r="D169" s="7">
        <f>IF(OR(A169="",B169=""),"",SUMPRODUCT(MAX((A$4:A$303=A169)*(B$4:B$303=B169)*C$4:C$303))+1)</f>
        <v/>
      </c>
      <c r="E169" s="7">
        <f>IF(OR(A169="",B169="",C169=""),"",A169&amp;"-"&amp;B169&amp;"-"&amp;TEXT(C169,"000"))</f>
        <v/>
      </c>
      <c r="F169" s="6" t="n"/>
      <c r="H169" s="21" t="n"/>
      <c r="N169" s="7">
        <f>IF(E169="","",E169&amp;"_"&amp;SUBSTITUTE(TRIM(F169)," ","-")&amp;IF(G169="","","_Rev"&amp;G169))</f>
        <v/>
      </c>
      <c r="O169" s="7">
        <f>IF(A169="","",IF(K169="Superseded","99 Archive",IFERROR(INDEX('Drive Map'!$B$4:$B$33,MATCH(A169,'Drive Map'!$A$4:$A$33,0)),"")&amp;IF(AND(A169="04",J169&lt;&gt;""),"/"&amp;J169,"")))</f>
        <v/>
      </c>
      <c r="P169" s="7">
        <f>IF(O169="","",IF(IFERROR(INDEX('Drive Map'!$G$4:$G$33,MATCH(O169,'Drive Map'!$B$4:$B$33,0))&amp;"","")="","",HYPERLINK(INDEX('Drive Map'!$G$4:$G$33,MATCH(O169,'Drive Map'!$B$4:$B$33,0)),"Open")))</f>
        <v/>
      </c>
      <c r="R169" s="6" t="n"/>
    </row>
    <row r="170">
      <c r="A170" s="31" t="n"/>
      <c r="D170" s="7">
        <f>IF(OR(A170="",B170=""),"",SUMPRODUCT(MAX((A$4:A$303=A170)*(B$4:B$303=B170)*C$4:C$303))+1)</f>
        <v/>
      </c>
      <c r="E170" s="7">
        <f>IF(OR(A170="",B170="",C170=""),"",A170&amp;"-"&amp;B170&amp;"-"&amp;TEXT(C170,"000"))</f>
        <v/>
      </c>
      <c r="F170" s="6" t="n"/>
      <c r="H170" s="21" t="n"/>
      <c r="N170" s="7">
        <f>IF(E170="","",E170&amp;"_"&amp;SUBSTITUTE(TRIM(F170)," ","-")&amp;IF(G170="","","_Rev"&amp;G170))</f>
        <v/>
      </c>
      <c r="O170" s="7">
        <f>IF(A170="","",IF(K170="Superseded","99 Archive",IFERROR(INDEX('Drive Map'!$B$4:$B$33,MATCH(A170,'Drive Map'!$A$4:$A$33,0)),"")&amp;IF(AND(A170="04",J170&lt;&gt;""),"/"&amp;J170,"")))</f>
        <v/>
      </c>
      <c r="P170" s="7">
        <f>IF(O170="","",IF(IFERROR(INDEX('Drive Map'!$G$4:$G$33,MATCH(O170,'Drive Map'!$B$4:$B$33,0))&amp;"","")="","",HYPERLINK(INDEX('Drive Map'!$G$4:$G$33,MATCH(O170,'Drive Map'!$B$4:$B$33,0)),"Open")))</f>
        <v/>
      </c>
      <c r="R170" s="6" t="n"/>
    </row>
    <row r="171">
      <c r="A171" s="31" t="n"/>
      <c r="D171" s="7">
        <f>IF(OR(A171="",B171=""),"",SUMPRODUCT(MAX((A$4:A$303=A171)*(B$4:B$303=B171)*C$4:C$303))+1)</f>
        <v/>
      </c>
      <c r="E171" s="7">
        <f>IF(OR(A171="",B171="",C171=""),"",A171&amp;"-"&amp;B171&amp;"-"&amp;TEXT(C171,"000"))</f>
        <v/>
      </c>
      <c r="F171" s="6" t="n"/>
      <c r="H171" s="21" t="n"/>
      <c r="N171" s="7">
        <f>IF(E171="","",E171&amp;"_"&amp;SUBSTITUTE(TRIM(F171)," ","-")&amp;IF(G171="","","_Rev"&amp;G171))</f>
        <v/>
      </c>
      <c r="O171" s="7">
        <f>IF(A171="","",IF(K171="Superseded","99 Archive",IFERROR(INDEX('Drive Map'!$B$4:$B$33,MATCH(A171,'Drive Map'!$A$4:$A$33,0)),"")&amp;IF(AND(A171="04",J171&lt;&gt;""),"/"&amp;J171,"")))</f>
        <v/>
      </c>
      <c r="P171" s="7">
        <f>IF(O171="","",IF(IFERROR(INDEX('Drive Map'!$G$4:$G$33,MATCH(O171,'Drive Map'!$B$4:$B$33,0))&amp;"","")="","",HYPERLINK(INDEX('Drive Map'!$G$4:$G$33,MATCH(O171,'Drive Map'!$B$4:$B$33,0)),"Open")))</f>
        <v/>
      </c>
      <c r="R171" s="6" t="n"/>
    </row>
    <row r="172">
      <c r="A172" s="31" t="n"/>
      <c r="D172" s="7">
        <f>IF(OR(A172="",B172=""),"",SUMPRODUCT(MAX((A$4:A$303=A172)*(B$4:B$303=B172)*C$4:C$303))+1)</f>
        <v/>
      </c>
      <c r="E172" s="7">
        <f>IF(OR(A172="",B172="",C172=""),"",A172&amp;"-"&amp;B172&amp;"-"&amp;TEXT(C172,"000"))</f>
        <v/>
      </c>
      <c r="F172" s="6" t="n"/>
      <c r="H172" s="21" t="n"/>
      <c r="N172" s="7">
        <f>IF(E172="","",E172&amp;"_"&amp;SUBSTITUTE(TRIM(F172)," ","-")&amp;IF(G172="","","_Rev"&amp;G172))</f>
        <v/>
      </c>
      <c r="O172" s="7">
        <f>IF(A172="","",IF(K172="Superseded","99 Archive",IFERROR(INDEX('Drive Map'!$B$4:$B$33,MATCH(A172,'Drive Map'!$A$4:$A$33,0)),"")&amp;IF(AND(A172="04",J172&lt;&gt;""),"/"&amp;J172,"")))</f>
        <v/>
      </c>
      <c r="P172" s="7">
        <f>IF(O172="","",IF(IFERROR(INDEX('Drive Map'!$G$4:$G$33,MATCH(O172,'Drive Map'!$B$4:$B$33,0))&amp;"","")="","",HYPERLINK(INDEX('Drive Map'!$G$4:$G$33,MATCH(O172,'Drive Map'!$B$4:$B$33,0)),"Open")))</f>
        <v/>
      </c>
      <c r="R172" s="6" t="n"/>
    </row>
    <row r="173">
      <c r="A173" s="31" t="n"/>
      <c r="D173" s="7">
        <f>IF(OR(A173="",B173=""),"",SUMPRODUCT(MAX((A$4:A$303=A173)*(B$4:B$303=B173)*C$4:C$303))+1)</f>
        <v/>
      </c>
      <c r="E173" s="7">
        <f>IF(OR(A173="",B173="",C173=""),"",A173&amp;"-"&amp;B173&amp;"-"&amp;TEXT(C173,"000"))</f>
        <v/>
      </c>
      <c r="F173" s="6" t="n"/>
      <c r="H173" s="21" t="n"/>
      <c r="N173" s="7">
        <f>IF(E173="","",E173&amp;"_"&amp;SUBSTITUTE(TRIM(F173)," ","-")&amp;IF(G173="","","_Rev"&amp;G173))</f>
        <v/>
      </c>
      <c r="O173" s="7">
        <f>IF(A173="","",IF(K173="Superseded","99 Archive",IFERROR(INDEX('Drive Map'!$B$4:$B$33,MATCH(A173,'Drive Map'!$A$4:$A$33,0)),"")&amp;IF(AND(A173="04",J173&lt;&gt;""),"/"&amp;J173,"")))</f>
        <v/>
      </c>
      <c r="P173" s="7">
        <f>IF(O173="","",IF(IFERROR(INDEX('Drive Map'!$G$4:$G$33,MATCH(O173,'Drive Map'!$B$4:$B$33,0))&amp;"","")="","",HYPERLINK(INDEX('Drive Map'!$G$4:$G$33,MATCH(O173,'Drive Map'!$B$4:$B$33,0)),"Open")))</f>
        <v/>
      </c>
      <c r="R173" s="6" t="n"/>
    </row>
    <row r="174">
      <c r="A174" s="31" t="n"/>
      <c r="D174" s="7">
        <f>IF(OR(A174="",B174=""),"",SUMPRODUCT(MAX((A$4:A$303=A174)*(B$4:B$303=B174)*C$4:C$303))+1)</f>
        <v/>
      </c>
      <c r="E174" s="7">
        <f>IF(OR(A174="",B174="",C174=""),"",A174&amp;"-"&amp;B174&amp;"-"&amp;TEXT(C174,"000"))</f>
        <v/>
      </c>
      <c r="F174" s="6" t="n"/>
      <c r="H174" s="21" t="n"/>
      <c r="N174" s="7">
        <f>IF(E174="","",E174&amp;"_"&amp;SUBSTITUTE(TRIM(F174)," ","-")&amp;IF(G174="","","_Rev"&amp;G174))</f>
        <v/>
      </c>
      <c r="O174" s="7">
        <f>IF(A174="","",IF(K174="Superseded","99 Archive",IFERROR(INDEX('Drive Map'!$B$4:$B$33,MATCH(A174,'Drive Map'!$A$4:$A$33,0)),"")&amp;IF(AND(A174="04",J174&lt;&gt;""),"/"&amp;J174,"")))</f>
        <v/>
      </c>
      <c r="P174" s="7">
        <f>IF(O174="","",IF(IFERROR(INDEX('Drive Map'!$G$4:$G$33,MATCH(O174,'Drive Map'!$B$4:$B$33,0))&amp;"","")="","",HYPERLINK(INDEX('Drive Map'!$G$4:$G$33,MATCH(O174,'Drive Map'!$B$4:$B$33,0)),"Open")))</f>
        <v/>
      </c>
      <c r="R174" s="6" t="n"/>
    </row>
    <row r="175">
      <c r="A175" s="31" t="n"/>
      <c r="D175" s="7">
        <f>IF(OR(A175="",B175=""),"",SUMPRODUCT(MAX((A$4:A$303=A175)*(B$4:B$303=B175)*C$4:C$303))+1)</f>
        <v/>
      </c>
      <c r="E175" s="7">
        <f>IF(OR(A175="",B175="",C175=""),"",A175&amp;"-"&amp;B175&amp;"-"&amp;TEXT(C175,"000"))</f>
        <v/>
      </c>
      <c r="F175" s="6" t="n"/>
      <c r="H175" s="21" t="n"/>
      <c r="N175" s="7">
        <f>IF(E175="","",E175&amp;"_"&amp;SUBSTITUTE(TRIM(F175)," ","-")&amp;IF(G175="","","_Rev"&amp;G175))</f>
        <v/>
      </c>
      <c r="O175" s="7">
        <f>IF(A175="","",IF(K175="Superseded","99 Archive",IFERROR(INDEX('Drive Map'!$B$4:$B$33,MATCH(A175,'Drive Map'!$A$4:$A$33,0)),"")&amp;IF(AND(A175="04",J175&lt;&gt;""),"/"&amp;J175,"")))</f>
        <v/>
      </c>
      <c r="P175" s="7">
        <f>IF(O175="","",IF(IFERROR(INDEX('Drive Map'!$G$4:$G$33,MATCH(O175,'Drive Map'!$B$4:$B$33,0))&amp;"","")="","",HYPERLINK(INDEX('Drive Map'!$G$4:$G$33,MATCH(O175,'Drive Map'!$B$4:$B$33,0)),"Open")))</f>
        <v/>
      </c>
      <c r="R175" s="6" t="n"/>
    </row>
    <row r="176">
      <c r="A176" s="31" t="n"/>
      <c r="D176" s="7">
        <f>IF(OR(A176="",B176=""),"",SUMPRODUCT(MAX((A$4:A$303=A176)*(B$4:B$303=B176)*C$4:C$303))+1)</f>
        <v/>
      </c>
      <c r="E176" s="7">
        <f>IF(OR(A176="",B176="",C176=""),"",A176&amp;"-"&amp;B176&amp;"-"&amp;TEXT(C176,"000"))</f>
        <v/>
      </c>
      <c r="F176" s="6" t="n"/>
      <c r="H176" s="21" t="n"/>
      <c r="N176" s="7">
        <f>IF(E176="","",E176&amp;"_"&amp;SUBSTITUTE(TRIM(F176)," ","-")&amp;IF(G176="","","_Rev"&amp;G176))</f>
        <v/>
      </c>
      <c r="O176" s="7">
        <f>IF(A176="","",IF(K176="Superseded","99 Archive",IFERROR(INDEX('Drive Map'!$B$4:$B$33,MATCH(A176,'Drive Map'!$A$4:$A$33,0)),"")&amp;IF(AND(A176="04",J176&lt;&gt;""),"/"&amp;J176,"")))</f>
        <v/>
      </c>
      <c r="P176" s="7">
        <f>IF(O176="","",IF(IFERROR(INDEX('Drive Map'!$G$4:$G$33,MATCH(O176,'Drive Map'!$B$4:$B$33,0))&amp;"","")="","",HYPERLINK(INDEX('Drive Map'!$G$4:$G$33,MATCH(O176,'Drive Map'!$B$4:$B$33,0)),"Open")))</f>
        <v/>
      </c>
      <c r="R176" s="6" t="n"/>
    </row>
    <row r="177">
      <c r="A177" s="31" t="n"/>
      <c r="D177" s="7">
        <f>IF(OR(A177="",B177=""),"",SUMPRODUCT(MAX((A$4:A$303=A177)*(B$4:B$303=B177)*C$4:C$303))+1)</f>
        <v/>
      </c>
      <c r="E177" s="7">
        <f>IF(OR(A177="",B177="",C177=""),"",A177&amp;"-"&amp;B177&amp;"-"&amp;TEXT(C177,"000"))</f>
        <v/>
      </c>
      <c r="F177" s="6" t="n"/>
      <c r="H177" s="21" t="n"/>
      <c r="N177" s="7">
        <f>IF(E177="","",E177&amp;"_"&amp;SUBSTITUTE(TRIM(F177)," ","-")&amp;IF(G177="","","_Rev"&amp;G177))</f>
        <v/>
      </c>
      <c r="O177" s="7">
        <f>IF(A177="","",IF(K177="Superseded","99 Archive",IFERROR(INDEX('Drive Map'!$B$4:$B$33,MATCH(A177,'Drive Map'!$A$4:$A$33,0)),"")&amp;IF(AND(A177="04",J177&lt;&gt;""),"/"&amp;J177,"")))</f>
        <v/>
      </c>
      <c r="P177" s="7">
        <f>IF(O177="","",IF(IFERROR(INDEX('Drive Map'!$G$4:$G$33,MATCH(O177,'Drive Map'!$B$4:$B$33,0))&amp;"","")="","",HYPERLINK(INDEX('Drive Map'!$G$4:$G$33,MATCH(O177,'Drive Map'!$B$4:$B$33,0)),"Open")))</f>
        <v/>
      </c>
      <c r="R177" s="6" t="n"/>
    </row>
    <row r="178">
      <c r="A178" s="31" t="n"/>
      <c r="D178" s="7">
        <f>IF(OR(A178="",B178=""),"",SUMPRODUCT(MAX((A$4:A$303=A178)*(B$4:B$303=B178)*C$4:C$303))+1)</f>
        <v/>
      </c>
      <c r="E178" s="7">
        <f>IF(OR(A178="",B178="",C178=""),"",A178&amp;"-"&amp;B178&amp;"-"&amp;TEXT(C178,"000"))</f>
        <v/>
      </c>
      <c r="F178" s="6" t="n"/>
      <c r="H178" s="21" t="n"/>
      <c r="N178" s="7">
        <f>IF(E178="","",E178&amp;"_"&amp;SUBSTITUTE(TRIM(F178)," ","-")&amp;IF(G178="","","_Rev"&amp;G178))</f>
        <v/>
      </c>
      <c r="O178" s="7">
        <f>IF(A178="","",IF(K178="Superseded","99 Archive",IFERROR(INDEX('Drive Map'!$B$4:$B$33,MATCH(A178,'Drive Map'!$A$4:$A$33,0)),"")&amp;IF(AND(A178="04",J178&lt;&gt;""),"/"&amp;J178,"")))</f>
        <v/>
      </c>
      <c r="P178" s="7">
        <f>IF(O178="","",IF(IFERROR(INDEX('Drive Map'!$G$4:$G$33,MATCH(O178,'Drive Map'!$B$4:$B$33,0))&amp;"","")="","",HYPERLINK(INDEX('Drive Map'!$G$4:$G$33,MATCH(O178,'Drive Map'!$B$4:$B$33,0)),"Open")))</f>
        <v/>
      </c>
      <c r="R178" s="6" t="n"/>
    </row>
    <row r="179">
      <c r="A179" s="31" t="n"/>
      <c r="D179" s="7">
        <f>IF(OR(A179="",B179=""),"",SUMPRODUCT(MAX((A$4:A$303=A179)*(B$4:B$303=B179)*C$4:C$303))+1)</f>
        <v/>
      </c>
      <c r="E179" s="7">
        <f>IF(OR(A179="",B179="",C179=""),"",A179&amp;"-"&amp;B179&amp;"-"&amp;TEXT(C179,"000"))</f>
        <v/>
      </c>
      <c r="F179" s="6" t="n"/>
      <c r="H179" s="21" t="n"/>
      <c r="N179" s="7">
        <f>IF(E179="","",E179&amp;"_"&amp;SUBSTITUTE(TRIM(F179)," ","-")&amp;IF(G179="","","_Rev"&amp;G179))</f>
        <v/>
      </c>
      <c r="O179" s="7">
        <f>IF(A179="","",IF(K179="Superseded","99 Archive",IFERROR(INDEX('Drive Map'!$B$4:$B$33,MATCH(A179,'Drive Map'!$A$4:$A$33,0)),"")&amp;IF(AND(A179="04",J179&lt;&gt;""),"/"&amp;J179,"")))</f>
        <v/>
      </c>
      <c r="P179" s="7">
        <f>IF(O179="","",IF(IFERROR(INDEX('Drive Map'!$G$4:$G$33,MATCH(O179,'Drive Map'!$B$4:$B$33,0))&amp;"","")="","",HYPERLINK(INDEX('Drive Map'!$G$4:$G$33,MATCH(O179,'Drive Map'!$B$4:$B$33,0)),"Open")))</f>
        <v/>
      </c>
      <c r="R179" s="6" t="n"/>
    </row>
    <row r="180">
      <c r="A180" s="31" t="n"/>
      <c r="D180" s="7">
        <f>IF(OR(A180="",B180=""),"",SUMPRODUCT(MAX((A$4:A$303=A180)*(B$4:B$303=B180)*C$4:C$303))+1)</f>
        <v/>
      </c>
      <c r="E180" s="7">
        <f>IF(OR(A180="",B180="",C180=""),"",A180&amp;"-"&amp;B180&amp;"-"&amp;TEXT(C180,"000"))</f>
        <v/>
      </c>
      <c r="F180" s="6" t="n"/>
      <c r="H180" s="21" t="n"/>
      <c r="N180" s="7">
        <f>IF(E180="","",E180&amp;"_"&amp;SUBSTITUTE(TRIM(F180)," ","-")&amp;IF(G180="","","_Rev"&amp;G180))</f>
        <v/>
      </c>
      <c r="O180" s="7">
        <f>IF(A180="","",IF(K180="Superseded","99 Archive",IFERROR(INDEX('Drive Map'!$B$4:$B$33,MATCH(A180,'Drive Map'!$A$4:$A$33,0)),"")&amp;IF(AND(A180="04",J180&lt;&gt;""),"/"&amp;J180,"")))</f>
        <v/>
      </c>
      <c r="P180" s="7">
        <f>IF(O180="","",IF(IFERROR(INDEX('Drive Map'!$G$4:$G$33,MATCH(O180,'Drive Map'!$B$4:$B$33,0))&amp;"","")="","",HYPERLINK(INDEX('Drive Map'!$G$4:$G$33,MATCH(O180,'Drive Map'!$B$4:$B$33,0)),"Open")))</f>
        <v/>
      </c>
      <c r="R180" s="6" t="n"/>
    </row>
    <row r="181">
      <c r="A181" s="31" t="n"/>
      <c r="D181" s="7">
        <f>IF(OR(A181="",B181=""),"",SUMPRODUCT(MAX((A$4:A$303=A181)*(B$4:B$303=B181)*C$4:C$303))+1)</f>
        <v/>
      </c>
      <c r="E181" s="7">
        <f>IF(OR(A181="",B181="",C181=""),"",A181&amp;"-"&amp;B181&amp;"-"&amp;TEXT(C181,"000"))</f>
        <v/>
      </c>
      <c r="F181" s="6" t="n"/>
      <c r="H181" s="21" t="n"/>
      <c r="N181" s="7">
        <f>IF(E181="","",E181&amp;"_"&amp;SUBSTITUTE(TRIM(F181)," ","-")&amp;IF(G181="","","_Rev"&amp;G181))</f>
        <v/>
      </c>
      <c r="O181" s="7">
        <f>IF(A181="","",IF(K181="Superseded","99 Archive",IFERROR(INDEX('Drive Map'!$B$4:$B$33,MATCH(A181,'Drive Map'!$A$4:$A$33,0)),"")&amp;IF(AND(A181="04",J181&lt;&gt;""),"/"&amp;J181,"")))</f>
        <v/>
      </c>
      <c r="P181" s="7">
        <f>IF(O181="","",IF(IFERROR(INDEX('Drive Map'!$G$4:$G$33,MATCH(O181,'Drive Map'!$B$4:$B$33,0))&amp;"","")="","",HYPERLINK(INDEX('Drive Map'!$G$4:$G$33,MATCH(O181,'Drive Map'!$B$4:$B$33,0)),"Open")))</f>
        <v/>
      </c>
      <c r="R181" s="6" t="n"/>
    </row>
    <row r="182">
      <c r="A182" s="31" t="n"/>
      <c r="D182" s="7">
        <f>IF(OR(A182="",B182=""),"",SUMPRODUCT(MAX((A$4:A$303=A182)*(B$4:B$303=B182)*C$4:C$303))+1)</f>
        <v/>
      </c>
      <c r="E182" s="7">
        <f>IF(OR(A182="",B182="",C182=""),"",A182&amp;"-"&amp;B182&amp;"-"&amp;TEXT(C182,"000"))</f>
        <v/>
      </c>
      <c r="F182" s="6" t="n"/>
      <c r="H182" s="21" t="n"/>
      <c r="N182" s="7">
        <f>IF(E182="","",E182&amp;"_"&amp;SUBSTITUTE(TRIM(F182)," ","-")&amp;IF(G182="","","_Rev"&amp;G182))</f>
        <v/>
      </c>
      <c r="O182" s="7">
        <f>IF(A182="","",IF(K182="Superseded","99 Archive",IFERROR(INDEX('Drive Map'!$B$4:$B$33,MATCH(A182,'Drive Map'!$A$4:$A$33,0)),"")&amp;IF(AND(A182="04",J182&lt;&gt;""),"/"&amp;J182,"")))</f>
        <v/>
      </c>
      <c r="P182" s="7">
        <f>IF(O182="","",IF(IFERROR(INDEX('Drive Map'!$G$4:$G$33,MATCH(O182,'Drive Map'!$B$4:$B$33,0))&amp;"","")="","",HYPERLINK(INDEX('Drive Map'!$G$4:$G$33,MATCH(O182,'Drive Map'!$B$4:$B$33,0)),"Open")))</f>
        <v/>
      </c>
      <c r="R182" s="6" t="n"/>
    </row>
    <row r="183">
      <c r="A183" s="31" t="n"/>
      <c r="D183" s="7">
        <f>IF(OR(A183="",B183=""),"",SUMPRODUCT(MAX((A$4:A$303=A183)*(B$4:B$303=B183)*C$4:C$303))+1)</f>
        <v/>
      </c>
      <c r="E183" s="7">
        <f>IF(OR(A183="",B183="",C183=""),"",A183&amp;"-"&amp;B183&amp;"-"&amp;TEXT(C183,"000"))</f>
        <v/>
      </c>
      <c r="F183" s="6" t="n"/>
      <c r="H183" s="21" t="n"/>
      <c r="N183" s="7">
        <f>IF(E183="","",E183&amp;"_"&amp;SUBSTITUTE(TRIM(F183)," ","-")&amp;IF(G183="","","_Rev"&amp;G183))</f>
        <v/>
      </c>
      <c r="O183" s="7">
        <f>IF(A183="","",IF(K183="Superseded","99 Archive",IFERROR(INDEX('Drive Map'!$B$4:$B$33,MATCH(A183,'Drive Map'!$A$4:$A$33,0)),"")&amp;IF(AND(A183="04",J183&lt;&gt;""),"/"&amp;J183,"")))</f>
        <v/>
      </c>
      <c r="P183" s="7">
        <f>IF(O183="","",IF(IFERROR(INDEX('Drive Map'!$G$4:$G$33,MATCH(O183,'Drive Map'!$B$4:$B$33,0))&amp;"","")="","",HYPERLINK(INDEX('Drive Map'!$G$4:$G$33,MATCH(O183,'Drive Map'!$B$4:$B$33,0)),"Open")))</f>
        <v/>
      </c>
      <c r="R183" s="6" t="n"/>
    </row>
    <row r="184">
      <c r="A184" s="31" t="n"/>
      <c r="D184" s="7">
        <f>IF(OR(A184="",B184=""),"",SUMPRODUCT(MAX((A$4:A$303=A184)*(B$4:B$303=B184)*C$4:C$303))+1)</f>
        <v/>
      </c>
      <c r="E184" s="7">
        <f>IF(OR(A184="",B184="",C184=""),"",A184&amp;"-"&amp;B184&amp;"-"&amp;TEXT(C184,"000"))</f>
        <v/>
      </c>
      <c r="F184" s="6" t="n"/>
      <c r="H184" s="21" t="n"/>
      <c r="N184" s="7">
        <f>IF(E184="","",E184&amp;"_"&amp;SUBSTITUTE(TRIM(F184)," ","-")&amp;IF(G184="","","_Rev"&amp;G184))</f>
        <v/>
      </c>
      <c r="O184" s="7">
        <f>IF(A184="","",IF(K184="Superseded","99 Archive",IFERROR(INDEX('Drive Map'!$B$4:$B$33,MATCH(A184,'Drive Map'!$A$4:$A$33,0)),"")&amp;IF(AND(A184="04",J184&lt;&gt;""),"/"&amp;J184,"")))</f>
        <v/>
      </c>
      <c r="P184" s="7">
        <f>IF(O184="","",IF(IFERROR(INDEX('Drive Map'!$G$4:$G$33,MATCH(O184,'Drive Map'!$B$4:$B$33,0))&amp;"","")="","",HYPERLINK(INDEX('Drive Map'!$G$4:$G$33,MATCH(O184,'Drive Map'!$B$4:$B$33,0)),"Open")))</f>
        <v/>
      </c>
      <c r="R184" s="6" t="n"/>
    </row>
    <row r="185">
      <c r="A185" s="31" t="n"/>
      <c r="D185" s="7">
        <f>IF(OR(A185="",B185=""),"",SUMPRODUCT(MAX((A$4:A$303=A185)*(B$4:B$303=B185)*C$4:C$303))+1)</f>
        <v/>
      </c>
      <c r="E185" s="7">
        <f>IF(OR(A185="",B185="",C185=""),"",A185&amp;"-"&amp;B185&amp;"-"&amp;TEXT(C185,"000"))</f>
        <v/>
      </c>
      <c r="F185" s="6" t="n"/>
      <c r="H185" s="21" t="n"/>
      <c r="N185" s="7">
        <f>IF(E185="","",E185&amp;"_"&amp;SUBSTITUTE(TRIM(F185)," ","-")&amp;IF(G185="","","_Rev"&amp;G185))</f>
        <v/>
      </c>
      <c r="O185" s="7">
        <f>IF(A185="","",IF(K185="Superseded","99 Archive",IFERROR(INDEX('Drive Map'!$B$4:$B$33,MATCH(A185,'Drive Map'!$A$4:$A$33,0)),"")&amp;IF(AND(A185="04",J185&lt;&gt;""),"/"&amp;J185,"")))</f>
        <v/>
      </c>
      <c r="P185" s="7">
        <f>IF(O185="","",IF(IFERROR(INDEX('Drive Map'!$G$4:$G$33,MATCH(O185,'Drive Map'!$B$4:$B$33,0))&amp;"","")="","",HYPERLINK(INDEX('Drive Map'!$G$4:$G$33,MATCH(O185,'Drive Map'!$B$4:$B$33,0)),"Open")))</f>
        <v/>
      </c>
      <c r="R185" s="6" t="n"/>
    </row>
    <row r="186">
      <c r="A186" s="31" t="n"/>
      <c r="D186" s="7">
        <f>IF(OR(A186="",B186=""),"",SUMPRODUCT(MAX((A$4:A$303=A186)*(B$4:B$303=B186)*C$4:C$303))+1)</f>
        <v/>
      </c>
      <c r="E186" s="7">
        <f>IF(OR(A186="",B186="",C186=""),"",A186&amp;"-"&amp;B186&amp;"-"&amp;TEXT(C186,"000"))</f>
        <v/>
      </c>
      <c r="F186" s="6" t="n"/>
      <c r="H186" s="21" t="n"/>
      <c r="N186" s="7">
        <f>IF(E186="","",E186&amp;"_"&amp;SUBSTITUTE(TRIM(F186)," ","-")&amp;IF(G186="","","_Rev"&amp;G186))</f>
        <v/>
      </c>
      <c r="O186" s="7">
        <f>IF(A186="","",IF(K186="Superseded","99 Archive",IFERROR(INDEX('Drive Map'!$B$4:$B$33,MATCH(A186,'Drive Map'!$A$4:$A$33,0)),"")&amp;IF(AND(A186="04",J186&lt;&gt;""),"/"&amp;J186,"")))</f>
        <v/>
      </c>
      <c r="P186" s="7">
        <f>IF(O186="","",IF(IFERROR(INDEX('Drive Map'!$G$4:$G$33,MATCH(O186,'Drive Map'!$B$4:$B$33,0))&amp;"","")="","",HYPERLINK(INDEX('Drive Map'!$G$4:$G$33,MATCH(O186,'Drive Map'!$B$4:$B$33,0)),"Open")))</f>
        <v/>
      </c>
      <c r="R186" s="6" t="n"/>
    </row>
    <row r="187">
      <c r="A187" s="31" t="n"/>
      <c r="D187" s="7">
        <f>IF(OR(A187="",B187=""),"",SUMPRODUCT(MAX((A$4:A$303=A187)*(B$4:B$303=B187)*C$4:C$303))+1)</f>
        <v/>
      </c>
      <c r="E187" s="7">
        <f>IF(OR(A187="",B187="",C187=""),"",A187&amp;"-"&amp;B187&amp;"-"&amp;TEXT(C187,"000"))</f>
        <v/>
      </c>
      <c r="F187" s="6" t="n"/>
      <c r="H187" s="21" t="n"/>
      <c r="N187" s="7">
        <f>IF(E187="","",E187&amp;"_"&amp;SUBSTITUTE(TRIM(F187)," ","-")&amp;IF(G187="","","_Rev"&amp;G187))</f>
        <v/>
      </c>
      <c r="O187" s="7">
        <f>IF(A187="","",IF(K187="Superseded","99 Archive",IFERROR(INDEX('Drive Map'!$B$4:$B$33,MATCH(A187,'Drive Map'!$A$4:$A$33,0)),"")&amp;IF(AND(A187="04",J187&lt;&gt;""),"/"&amp;J187,"")))</f>
        <v/>
      </c>
      <c r="P187" s="7">
        <f>IF(O187="","",IF(IFERROR(INDEX('Drive Map'!$G$4:$G$33,MATCH(O187,'Drive Map'!$B$4:$B$33,0))&amp;"","")="","",HYPERLINK(INDEX('Drive Map'!$G$4:$G$33,MATCH(O187,'Drive Map'!$B$4:$B$33,0)),"Open")))</f>
        <v/>
      </c>
      <c r="R187" s="6" t="n"/>
    </row>
    <row r="188">
      <c r="A188" s="31" t="n"/>
      <c r="D188" s="7">
        <f>IF(OR(A188="",B188=""),"",SUMPRODUCT(MAX((A$4:A$303=A188)*(B$4:B$303=B188)*C$4:C$303))+1)</f>
        <v/>
      </c>
      <c r="E188" s="7">
        <f>IF(OR(A188="",B188="",C188=""),"",A188&amp;"-"&amp;B188&amp;"-"&amp;TEXT(C188,"000"))</f>
        <v/>
      </c>
      <c r="F188" s="6" t="n"/>
      <c r="H188" s="21" t="n"/>
      <c r="N188" s="7">
        <f>IF(E188="","",E188&amp;"_"&amp;SUBSTITUTE(TRIM(F188)," ","-")&amp;IF(G188="","","_Rev"&amp;G188))</f>
        <v/>
      </c>
      <c r="O188" s="7">
        <f>IF(A188="","",IF(K188="Superseded","99 Archive",IFERROR(INDEX('Drive Map'!$B$4:$B$33,MATCH(A188,'Drive Map'!$A$4:$A$33,0)),"")&amp;IF(AND(A188="04",J188&lt;&gt;""),"/"&amp;J188,"")))</f>
        <v/>
      </c>
      <c r="P188" s="7">
        <f>IF(O188="","",IF(IFERROR(INDEX('Drive Map'!$G$4:$G$33,MATCH(O188,'Drive Map'!$B$4:$B$33,0))&amp;"","")="","",HYPERLINK(INDEX('Drive Map'!$G$4:$G$33,MATCH(O188,'Drive Map'!$B$4:$B$33,0)),"Open")))</f>
        <v/>
      </c>
      <c r="R188" s="6" t="n"/>
    </row>
    <row r="189">
      <c r="A189" s="31" t="n"/>
      <c r="D189" s="7">
        <f>IF(OR(A189="",B189=""),"",SUMPRODUCT(MAX((A$4:A$303=A189)*(B$4:B$303=B189)*C$4:C$303))+1)</f>
        <v/>
      </c>
      <c r="E189" s="7">
        <f>IF(OR(A189="",B189="",C189=""),"",A189&amp;"-"&amp;B189&amp;"-"&amp;TEXT(C189,"000"))</f>
        <v/>
      </c>
      <c r="F189" s="6" t="n"/>
      <c r="H189" s="21" t="n"/>
      <c r="N189" s="7">
        <f>IF(E189="","",E189&amp;"_"&amp;SUBSTITUTE(TRIM(F189)," ","-")&amp;IF(G189="","","_Rev"&amp;G189))</f>
        <v/>
      </c>
      <c r="O189" s="7">
        <f>IF(A189="","",IF(K189="Superseded","99 Archive",IFERROR(INDEX('Drive Map'!$B$4:$B$33,MATCH(A189,'Drive Map'!$A$4:$A$33,0)),"")&amp;IF(AND(A189="04",J189&lt;&gt;""),"/"&amp;J189,"")))</f>
        <v/>
      </c>
      <c r="P189" s="7">
        <f>IF(O189="","",IF(IFERROR(INDEX('Drive Map'!$G$4:$G$33,MATCH(O189,'Drive Map'!$B$4:$B$33,0))&amp;"","")="","",HYPERLINK(INDEX('Drive Map'!$G$4:$G$33,MATCH(O189,'Drive Map'!$B$4:$B$33,0)),"Open")))</f>
        <v/>
      </c>
      <c r="R189" s="6" t="n"/>
    </row>
    <row r="190">
      <c r="A190" s="31" t="n"/>
      <c r="D190" s="7">
        <f>IF(OR(A190="",B190=""),"",SUMPRODUCT(MAX((A$4:A$303=A190)*(B$4:B$303=B190)*C$4:C$303))+1)</f>
        <v/>
      </c>
      <c r="E190" s="7">
        <f>IF(OR(A190="",B190="",C190=""),"",A190&amp;"-"&amp;B190&amp;"-"&amp;TEXT(C190,"000"))</f>
        <v/>
      </c>
      <c r="F190" s="6" t="n"/>
      <c r="H190" s="21" t="n"/>
      <c r="N190" s="7">
        <f>IF(E190="","",E190&amp;"_"&amp;SUBSTITUTE(TRIM(F190)," ","-")&amp;IF(G190="","","_Rev"&amp;G190))</f>
        <v/>
      </c>
      <c r="O190" s="7">
        <f>IF(A190="","",IF(K190="Superseded","99 Archive",IFERROR(INDEX('Drive Map'!$B$4:$B$33,MATCH(A190,'Drive Map'!$A$4:$A$33,0)),"")&amp;IF(AND(A190="04",J190&lt;&gt;""),"/"&amp;J190,"")))</f>
        <v/>
      </c>
      <c r="P190" s="7">
        <f>IF(O190="","",IF(IFERROR(INDEX('Drive Map'!$G$4:$G$33,MATCH(O190,'Drive Map'!$B$4:$B$33,0))&amp;"","")="","",HYPERLINK(INDEX('Drive Map'!$G$4:$G$33,MATCH(O190,'Drive Map'!$B$4:$B$33,0)),"Open")))</f>
        <v/>
      </c>
      <c r="R190" s="6" t="n"/>
    </row>
    <row r="191">
      <c r="A191" s="31" t="n"/>
      <c r="D191" s="7">
        <f>IF(OR(A191="",B191=""),"",SUMPRODUCT(MAX((A$4:A$303=A191)*(B$4:B$303=B191)*C$4:C$303))+1)</f>
        <v/>
      </c>
      <c r="E191" s="7">
        <f>IF(OR(A191="",B191="",C191=""),"",A191&amp;"-"&amp;B191&amp;"-"&amp;TEXT(C191,"000"))</f>
        <v/>
      </c>
      <c r="F191" s="6" t="n"/>
      <c r="H191" s="21" t="n"/>
      <c r="N191" s="7">
        <f>IF(E191="","",E191&amp;"_"&amp;SUBSTITUTE(TRIM(F191)," ","-")&amp;IF(G191="","","_Rev"&amp;G191))</f>
        <v/>
      </c>
      <c r="O191" s="7">
        <f>IF(A191="","",IF(K191="Superseded","99 Archive",IFERROR(INDEX('Drive Map'!$B$4:$B$33,MATCH(A191,'Drive Map'!$A$4:$A$33,0)),"")&amp;IF(AND(A191="04",J191&lt;&gt;""),"/"&amp;J191,"")))</f>
        <v/>
      </c>
      <c r="P191" s="7">
        <f>IF(O191="","",IF(IFERROR(INDEX('Drive Map'!$G$4:$G$33,MATCH(O191,'Drive Map'!$B$4:$B$33,0))&amp;"","")="","",HYPERLINK(INDEX('Drive Map'!$G$4:$G$33,MATCH(O191,'Drive Map'!$B$4:$B$33,0)),"Open")))</f>
        <v/>
      </c>
      <c r="R191" s="6" t="n"/>
    </row>
    <row r="192">
      <c r="A192" s="31" t="n"/>
      <c r="D192" s="7">
        <f>IF(OR(A192="",B192=""),"",SUMPRODUCT(MAX((A$4:A$303=A192)*(B$4:B$303=B192)*C$4:C$303))+1)</f>
        <v/>
      </c>
      <c r="E192" s="7">
        <f>IF(OR(A192="",B192="",C192=""),"",A192&amp;"-"&amp;B192&amp;"-"&amp;TEXT(C192,"000"))</f>
        <v/>
      </c>
      <c r="F192" s="6" t="n"/>
      <c r="H192" s="21" t="n"/>
      <c r="N192" s="7">
        <f>IF(E192="","",E192&amp;"_"&amp;SUBSTITUTE(TRIM(F192)," ","-")&amp;IF(G192="","","_Rev"&amp;G192))</f>
        <v/>
      </c>
      <c r="O192" s="7">
        <f>IF(A192="","",IF(K192="Superseded","99 Archive",IFERROR(INDEX('Drive Map'!$B$4:$B$33,MATCH(A192,'Drive Map'!$A$4:$A$33,0)),"")&amp;IF(AND(A192="04",J192&lt;&gt;""),"/"&amp;J192,"")))</f>
        <v/>
      </c>
      <c r="P192" s="7">
        <f>IF(O192="","",IF(IFERROR(INDEX('Drive Map'!$G$4:$G$33,MATCH(O192,'Drive Map'!$B$4:$B$33,0))&amp;"","")="","",HYPERLINK(INDEX('Drive Map'!$G$4:$G$33,MATCH(O192,'Drive Map'!$B$4:$B$33,0)),"Open")))</f>
        <v/>
      </c>
      <c r="R192" s="6" t="n"/>
    </row>
    <row r="193">
      <c r="A193" s="31" t="n"/>
      <c r="D193" s="7">
        <f>IF(OR(A193="",B193=""),"",SUMPRODUCT(MAX((A$4:A$303=A193)*(B$4:B$303=B193)*C$4:C$303))+1)</f>
        <v/>
      </c>
      <c r="E193" s="7">
        <f>IF(OR(A193="",B193="",C193=""),"",A193&amp;"-"&amp;B193&amp;"-"&amp;TEXT(C193,"000"))</f>
        <v/>
      </c>
      <c r="F193" s="6" t="n"/>
      <c r="H193" s="21" t="n"/>
      <c r="N193" s="7">
        <f>IF(E193="","",E193&amp;"_"&amp;SUBSTITUTE(TRIM(F193)," ","-")&amp;IF(G193="","","_Rev"&amp;G193))</f>
        <v/>
      </c>
      <c r="O193" s="7">
        <f>IF(A193="","",IF(K193="Superseded","99 Archive",IFERROR(INDEX('Drive Map'!$B$4:$B$33,MATCH(A193,'Drive Map'!$A$4:$A$33,0)),"")&amp;IF(AND(A193="04",J193&lt;&gt;""),"/"&amp;J193,"")))</f>
        <v/>
      </c>
      <c r="P193" s="7">
        <f>IF(O193="","",IF(IFERROR(INDEX('Drive Map'!$G$4:$G$33,MATCH(O193,'Drive Map'!$B$4:$B$33,0))&amp;"","")="","",HYPERLINK(INDEX('Drive Map'!$G$4:$G$33,MATCH(O193,'Drive Map'!$B$4:$B$33,0)),"Open")))</f>
        <v/>
      </c>
      <c r="R193" s="6" t="n"/>
    </row>
    <row r="194">
      <c r="A194" s="31" t="n"/>
      <c r="D194" s="7">
        <f>IF(OR(A194="",B194=""),"",SUMPRODUCT(MAX((A$4:A$303=A194)*(B$4:B$303=B194)*C$4:C$303))+1)</f>
        <v/>
      </c>
      <c r="E194" s="7">
        <f>IF(OR(A194="",B194="",C194=""),"",A194&amp;"-"&amp;B194&amp;"-"&amp;TEXT(C194,"000"))</f>
        <v/>
      </c>
      <c r="F194" s="6" t="n"/>
      <c r="H194" s="21" t="n"/>
      <c r="N194" s="7">
        <f>IF(E194="","",E194&amp;"_"&amp;SUBSTITUTE(TRIM(F194)," ","-")&amp;IF(G194="","","_Rev"&amp;G194))</f>
        <v/>
      </c>
      <c r="O194" s="7">
        <f>IF(A194="","",IF(K194="Superseded","99 Archive",IFERROR(INDEX('Drive Map'!$B$4:$B$33,MATCH(A194,'Drive Map'!$A$4:$A$33,0)),"")&amp;IF(AND(A194="04",J194&lt;&gt;""),"/"&amp;J194,"")))</f>
        <v/>
      </c>
      <c r="P194" s="7">
        <f>IF(O194="","",IF(IFERROR(INDEX('Drive Map'!$G$4:$G$33,MATCH(O194,'Drive Map'!$B$4:$B$33,0))&amp;"","")="","",HYPERLINK(INDEX('Drive Map'!$G$4:$G$33,MATCH(O194,'Drive Map'!$B$4:$B$33,0)),"Open")))</f>
        <v/>
      </c>
      <c r="R194" s="6" t="n"/>
    </row>
    <row r="195">
      <c r="A195" s="31" t="n"/>
      <c r="D195" s="7">
        <f>IF(OR(A195="",B195=""),"",SUMPRODUCT(MAX((A$4:A$303=A195)*(B$4:B$303=B195)*C$4:C$303))+1)</f>
        <v/>
      </c>
      <c r="E195" s="7">
        <f>IF(OR(A195="",B195="",C195=""),"",A195&amp;"-"&amp;B195&amp;"-"&amp;TEXT(C195,"000"))</f>
        <v/>
      </c>
      <c r="F195" s="6" t="n"/>
      <c r="H195" s="21" t="n"/>
      <c r="N195" s="7">
        <f>IF(E195="","",E195&amp;"_"&amp;SUBSTITUTE(TRIM(F195)," ","-")&amp;IF(G195="","","_Rev"&amp;G195))</f>
        <v/>
      </c>
      <c r="O195" s="7">
        <f>IF(A195="","",IF(K195="Superseded","99 Archive",IFERROR(INDEX('Drive Map'!$B$4:$B$33,MATCH(A195,'Drive Map'!$A$4:$A$33,0)),"")&amp;IF(AND(A195="04",J195&lt;&gt;""),"/"&amp;J195,"")))</f>
        <v/>
      </c>
      <c r="P195" s="7">
        <f>IF(O195="","",IF(IFERROR(INDEX('Drive Map'!$G$4:$G$33,MATCH(O195,'Drive Map'!$B$4:$B$33,0))&amp;"","")="","",HYPERLINK(INDEX('Drive Map'!$G$4:$G$33,MATCH(O195,'Drive Map'!$B$4:$B$33,0)),"Open")))</f>
        <v/>
      </c>
      <c r="R195" s="6" t="n"/>
    </row>
    <row r="196">
      <c r="A196" s="31" t="n"/>
      <c r="D196" s="7">
        <f>IF(OR(A196="",B196=""),"",SUMPRODUCT(MAX((A$4:A$303=A196)*(B$4:B$303=B196)*C$4:C$303))+1)</f>
        <v/>
      </c>
      <c r="E196" s="7">
        <f>IF(OR(A196="",B196="",C196=""),"",A196&amp;"-"&amp;B196&amp;"-"&amp;TEXT(C196,"000"))</f>
        <v/>
      </c>
      <c r="F196" s="6" t="n"/>
      <c r="H196" s="21" t="n"/>
      <c r="N196" s="7">
        <f>IF(E196="","",E196&amp;"_"&amp;SUBSTITUTE(TRIM(F196)," ","-")&amp;IF(G196="","","_Rev"&amp;G196))</f>
        <v/>
      </c>
      <c r="O196" s="7">
        <f>IF(A196="","",IF(K196="Superseded","99 Archive",IFERROR(INDEX('Drive Map'!$B$4:$B$33,MATCH(A196,'Drive Map'!$A$4:$A$33,0)),"")&amp;IF(AND(A196="04",J196&lt;&gt;""),"/"&amp;J196,"")))</f>
        <v/>
      </c>
      <c r="P196" s="7">
        <f>IF(O196="","",IF(IFERROR(INDEX('Drive Map'!$G$4:$G$33,MATCH(O196,'Drive Map'!$B$4:$B$33,0))&amp;"","")="","",HYPERLINK(INDEX('Drive Map'!$G$4:$G$33,MATCH(O196,'Drive Map'!$B$4:$B$33,0)),"Open")))</f>
        <v/>
      </c>
      <c r="R196" s="6" t="n"/>
    </row>
    <row r="197">
      <c r="A197" s="31" t="n"/>
      <c r="D197" s="7">
        <f>IF(OR(A197="",B197=""),"",SUMPRODUCT(MAX((A$4:A$303=A197)*(B$4:B$303=B197)*C$4:C$303))+1)</f>
        <v/>
      </c>
      <c r="E197" s="7">
        <f>IF(OR(A197="",B197="",C197=""),"",A197&amp;"-"&amp;B197&amp;"-"&amp;TEXT(C197,"000"))</f>
        <v/>
      </c>
      <c r="F197" s="6" t="n"/>
      <c r="H197" s="21" t="n"/>
      <c r="N197" s="7">
        <f>IF(E197="","",E197&amp;"_"&amp;SUBSTITUTE(TRIM(F197)," ","-")&amp;IF(G197="","","_Rev"&amp;G197))</f>
        <v/>
      </c>
      <c r="O197" s="7">
        <f>IF(A197="","",IF(K197="Superseded","99 Archive",IFERROR(INDEX('Drive Map'!$B$4:$B$33,MATCH(A197,'Drive Map'!$A$4:$A$33,0)),"")&amp;IF(AND(A197="04",J197&lt;&gt;""),"/"&amp;J197,"")))</f>
        <v/>
      </c>
      <c r="P197" s="7">
        <f>IF(O197="","",IF(IFERROR(INDEX('Drive Map'!$G$4:$G$33,MATCH(O197,'Drive Map'!$B$4:$B$33,0))&amp;"","")="","",HYPERLINK(INDEX('Drive Map'!$G$4:$G$33,MATCH(O197,'Drive Map'!$B$4:$B$33,0)),"Open")))</f>
        <v/>
      </c>
      <c r="R197" s="6" t="n"/>
    </row>
    <row r="198">
      <c r="A198" s="31" t="n"/>
      <c r="D198" s="7">
        <f>IF(OR(A198="",B198=""),"",SUMPRODUCT(MAX((A$4:A$303=A198)*(B$4:B$303=B198)*C$4:C$303))+1)</f>
        <v/>
      </c>
      <c r="E198" s="7">
        <f>IF(OR(A198="",B198="",C198=""),"",A198&amp;"-"&amp;B198&amp;"-"&amp;TEXT(C198,"000"))</f>
        <v/>
      </c>
      <c r="F198" s="6" t="n"/>
      <c r="H198" s="21" t="n"/>
      <c r="N198" s="7">
        <f>IF(E198="","",E198&amp;"_"&amp;SUBSTITUTE(TRIM(F198)," ","-")&amp;IF(G198="","","_Rev"&amp;G198))</f>
        <v/>
      </c>
      <c r="O198" s="7">
        <f>IF(A198="","",IF(K198="Superseded","99 Archive",IFERROR(INDEX('Drive Map'!$B$4:$B$33,MATCH(A198,'Drive Map'!$A$4:$A$33,0)),"")&amp;IF(AND(A198="04",J198&lt;&gt;""),"/"&amp;J198,"")))</f>
        <v/>
      </c>
      <c r="P198" s="7">
        <f>IF(O198="","",IF(IFERROR(INDEX('Drive Map'!$G$4:$G$33,MATCH(O198,'Drive Map'!$B$4:$B$33,0))&amp;"","")="","",HYPERLINK(INDEX('Drive Map'!$G$4:$G$33,MATCH(O198,'Drive Map'!$B$4:$B$33,0)),"Open")))</f>
        <v/>
      </c>
      <c r="R198" s="6" t="n"/>
    </row>
    <row r="199">
      <c r="A199" s="31" t="n"/>
      <c r="D199" s="7">
        <f>IF(OR(A199="",B199=""),"",SUMPRODUCT(MAX((A$4:A$303=A199)*(B$4:B$303=B199)*C$4:C$303))+1)</f>
        <v/>
      </c>
      <c r="E199" s="7">
        <f>IF(OR(A199="",B199="",C199=""),"",A199&amp;"-"&amp;B199&amp;"-"&amp;TEXT(C199,"000"))</f>
        <v/>
      </c>
      <c r="F199" s="6" t="n"/>
      <c r="H199" s="21" t="n"/>
      <c r="N199" s="7">
        <f>IF(E199="","",E199&amp;"_"&amp;SUBSTITUTE(TRIM(F199)," ","-")&amp;IF(G199="","","_Rev"&amp;G199))</f>
        <v/>
      </c>
      <c r="O199" s="7">
        <f>IF(A199="","",IF(K199="Superseded","99 Archive",IFERROR(INDEX('Drive Map'!$B$4:$B$33,MATCH(A199,'Drive Map'!$A$4:$A$33,0)),"")&amp;IF(AND(A199="04",J199&lt;&gt;""),"/"&amp;J199,"")))</f>
        <v/>
      </c>
      <c r="P199" s="7">
        <f>IF(O199="","",IF(IFERROR(INDEX('Drive Map'!$G$4:$G$33,MATCH(O199,'Drive Map'!$B$4:$B$33,0))&amp;"","")="","",HYPERLINK(INDEX('Drive Map'!$G$4:$G$33,MATCH(O199,'Drive Map'!$B$4:$B$33,0)),"Open")))</f>
        <v/>
      </c>
      <c r="R199" s="6" t="n"/>
    </row>
    <row r="200">
      <c r="A200" s="31" t="n"/>
      <c r="D200" s="7">
        <f>IF(OR(A200="",B200=""),"",SUMPRODUCT(MAX((A$4:A$303=A200)*(B$4:B$303=B200)*C$4:C$303))+1)</f>
        <v/>
      </c>
      <c r="E200" s="7">
        <f>IF(OR(A200="",B200="",C200=""),"",A200&amp;"-"&amp;B200&amp;"-"&amp;TEXT(C200,"000"))</f>
        <v/>
      </c>
      <c r="F200" s="6" t="n"/>
      <c r="H200" s="21" t="n"/>
      <c r="N200" s="7">
        <f>IF(E200="","",E200&amp;"_"&amp;SUBSTITUTE(TRIM(F200)," ","-")&amp;IF(G200="","","_Rev"&amp;G200))</f>
        <v/>
      </c>
      <c r="O200" s="7">
        <f>IF(A200="","",IF(K200="Superseded","99 Archive",IFERROR(INDEX('Drive Map'!$B$4:$B$33,MATCH(A200,'Drive Map'!$A$4:$A$33,0)),"")&amp;IF(AND(A200="04",J200&lt;&gt;""),"/"&amp;J200,"")))</f>
        <v/>
      </c>
      <c r="P200" s="7">
        <f>IF(O200="","",IF(IFERROR(INDEX('Drive Map'!$G$4:$G$33,MATCH(O200,'Drive Map'!$B$4:$B$33,0))&amp;"","")="","",HYPERLINK(INDEX('Drive Map'!$G$4:$G$33,MATCH(O200,'Drive Map'!$B$4:$B$33,0)),"Open")))</f>
        <v/>
      </c>
      <c r="R200" s="6" t="n"/>
    </row>
    <row r="201">
      <c r="A201" s="31" t="n"/>
      <c r="D201" s="7">
        <f>IF(OR(A201="",B201=""),"",SUMPRODUCT(MAX((A$4:A$303=A201)*(B$4:B$303=B201)*C$4:C$303))+1)</f>
        <v/>
      </c>
      <c r="E201" s="7">
        <f>IF(OR(A201="",B201="",C201=""),"",A201&amp;"-"&amp;B201&amp;"-"&amp;TEXT(C201,"000"))</f>
        <v/>
      </c>
      <c r="F201" s="6" t="n"/>
      <c r="H201" s="21" t="n"/>
      <c r="N201" s="7">
        <f>IF(E201="","",E201&amp;"_"&amp;SUBSTITUTE(TRIM(F201)," ","-")&amp;IF(G201="","","_Rev"&amp;G201))</f>
        <v/>
      </c>
      <c r="O201" s="7">
        <f>IF(A201="","",IF(K201="Superseded","99 Archive",IFERROR(INDEX('Drive Map'!$B$4:$B$33,MATCH(A201,'Drive Map'!$A$4:$A$33,0)),"")&amp;IF(AND(A201="04",J201&lt;&gt;""),"/"&amp;J201,"")))</f>
        <v/>
      </c>
      <c r="P201" s="7">
        <f>IF(O201="","",IF(IFERROR(INDEX('Drive Map'!$G$4:$G$33,MATCH(O201,'Drive Map'!$B$4:$B$33,0))&amp;"","")="","",HYPERLINK(INDEX('Drive Map'!$G$4:$G$33,MATCH(O201,'Drive Map'!$B$4:$B$33,0)),"Open")))</f>
        <v/>
      </c>
      <c r="R201" s="6" t="n"/>
    </row>
    <row r="202">
      <c r="A202" s="31" t="n"/>
      <c r="D202" s="7">
        <f>IF(OR(A202="",B202=""),"",SUMPRODUCT(MAX((A$4:A$303=A202)*(B$4:B$303=B202)*C$4:C$303))+1)</f>
        <v/>
      </c>
      <c r="E202" s="7">
        <f>IF(OR(A202="",B202="",C202=""),"",A202&amp;"-"&amp;B202&amp;"-"&amp;TEXT(C202,"000"))</f>
        <v/>
      </c>
      <c r="F202" s="6" t="n"/>
      <c r="H202" s="21" t="n"/>
      <c r="N202" s="7">
        <f>IF(E202="","",E202&amp;"_"&amp;SUBSTITUTE(TRIM(F202)," ","-")&amp;IF(G202="","","_Rev"&amp;G202))</f>
        <v/>
      </c>
      <c r="O202" s="7">
        <f>IF(A202="","",IF(K202="Superseded","99 Archive",IFERROR(INDEX('Drive Map'!$B$4:$B$33,MATCH(A202,'Drive Map'!$A$4:$A$33,0)),"")&amp;IF(AND(A202="04",J202&lt;&gt;""),"/"&amp;J202,"")))</f>
        <v/>
      </c>
      <c r="P202" s="7">
        <f>IF(O202="","",IF(IFERROR(INDEX('Drive Map'!$G$4:$G$33,MATCH(O202,'Drive Map'!$B$4:$B$33,0))&amp;"","")="","",HYPERLINK(INDEX('Drive Map'!$G$4:$G$33,MATCH(O202,'Drive Map'!$B$4:$B$33,0)),"Open")))</f>
        <v/>
      </c>
      <c r="R202" s="6" t="n"/>
    </row>
    <row r="203">
      <c r="A203" s="31" t="n"/>
      <c r="D203" s="7">
        <f>IF(OR(A203="",B203=""),"",SUMPRODUCT(MAX((A$4:A$303=A203)*(B$4:B$303=B203)*C$4:C$303))+1)</f>
        <v/>
      </c>
      <c r="E203" s="7">
        <f>IF(OR(A203="",B203="",C203=""),"",A203&amp;"-"&amp;B203&amp;"-"&amp;TEXT(C203,"000"))</f>
        <v/>
      </c>
      <c r="F203" s="6" t="n"/>
      <c r="H203" s="21" t="n"/>
      <c r="N203" s="7">
        <f>IF(E203="","",E203&amp;"_"&amp;SUBSTITUTE(TRIM(F203)," ","-")&amp;IF(G203="","","_Rev"&amp;G203))</f>
        <v/>
      </c>
      <c r="O203" s="7">
        <f>IF(A203="","",IF(K203="Superseded","99 Archive",IFERROR(INDEX('Drive Map'!$B$4:$B$33,MATCH(A203,'Drive Map'!$A$4:$A$33,0)),"")&amp;IF(AND(A203="04",J203&lt;&gt;""),"/"&amp;J203,"")))</f>
        <v/>
      </c>
      <c r="P203" s="7">
        <f>IF(O203="","",IF(IFERROR(INDEX('Drive Map'!$G$4:$G$33,MATCH(O203,'Drive Map'!$B$4:$B$33,0))&amp;"","")="","",HYPERLINK(INDEX('Drive Map'!$G$4:$G$33,MATCH(O203,'Drive Map'!$B$4:$B$33,0)),"Open")))</f>
        <v/>
      </c>
      <c r="R203" s="6" t="n"/>
    </row>
    <row r="204">
      <c r="A204" s="31" t="n"/>
      <c r="D204" s="7">
        <f>IF(OR(A204="",B204=""),"",SUMPRODUCT(MAX((A$4:A$303=A204)*(B$4:B$303=B204)*C$4:C$303))+1)</f>
        <v/>
      </c>
      <c r="E204" s="7">
        <f>IF(OR(A204="",B204="",C204=""),"",A204&amp;"-"&amp;B204&amp;"-"&amp;TEXT(C204,"000"))</f>
        <v/>
      </c>
      <c r="F204" s="6" t="n"/>
      <c r="H204" s="21" t="n"/>
      <c r="N204" s="7">
        <f>IF(E204="","",E204&amp;"_"&amp;SUBSTITUTE(TRIM(F204)," ","-")&amp;IF(G204="","","_Rev"&amp;G204))</f>
        <v/>
      </c>
      <c r="O204" s="7">
        <f>IF(A204="","",IF(K204="Superseded","99 Archive",IFERROR(INDEX('Drive Map'!$B$4:$B$33,MATCH(A204,'Drive Map'!$A$4:$A$33,0)),"")&amp;IF(AND(A204="04",J204&lt;&gt;""),"/"&amp;J204,"")))</f>
        <v/>
      </c>
      <c r="P204" s="7">
        <f>IF(O204="","",IF(IFERROR(INDEX('Drive Map'!$G$4:$G$33,MATCH(O204,'Drive Map'!$B$4:$B$33,0))&amp;"","")="","",HYPERLINK(INDEX('Drive Map'!$G$4:$G$33,MATCH(O204,'Drive Map'!$B$4:$B$33,0)),"Open")))</f>
        <v/>
      </c>
      <c r="R204" s="6" t="n"/>
    </row>
    <row r="205">
      <c r="A205" s="31" t="n"/>
      <c r="D205" s="7">
        <f>IF(OR(A205="",B205=""),"",SUMPRODUCT(MAX((A$4:A$303=A205)*(B$4:B$303=B205)*C$4:C$303))+1)</f>
        <v/>
      </c>
      <c r="E205" s="7">
        <f>IF(OR(A205="",B205="",C205=""),"",A205&amp;"-"&amp;B205&amp;"-"&amp;TEXT(C205,"000"))</f>
        <v/>
      </c>
      <c r="F205" s="6" t="n"/>
      <c r="H205" s="21" t="n"/>
      <c r="N205" s="7">
        <f>IF(E205="","",E205&amp;"_"&amp;SUBSTITUTE(TRIM(F205)," ","-")&amp;IF(G205="","","_Rev"&amp;G205))</f>
        <v/>
      </c>
      <c r="O205" s="7">
        <f>IF(A205="","",IF(K205="Superseded","99 Archive",IFERROR(INDEX('Drive Map'!$B$4:$B$33,MATCH(A205,'Drive Map'!$A$4:$A$33,0)),"")&amp;IF(AND(A205="04",J205&lt;&gt;""),"/"&amp;J205,"")))</f>
        <v/>
      </c>
      <c r="P205" s="7">
        <f>IF(O205="","",IF(IFERROR(INDEX('Drive Map'!$G$4:$G$33,MATCH(O205,'Drive Map'!$B$4:$B$33,0))&amp;"","")="","",HYPERLINK(INDEX('Drive Map'!$G$4:$G$33,MATCH(O205,'Drive Map'!$B$4:$B$33,0)),"Open")))</f>
        <v/>
      </c>
      <c r="R205" s="6" t="n"/>
    </row>
    <row r="206">
      <c r="A206" s="31" t="n"/>
      <c r="D206" s="7">
        <f>IF(OR(A206="",B206=""),"",SUMPRODUCT(MAX((A$4:A$303=A206)*(B$4:B$303=B206)*C$4:C$303))+1)</f>
        <v/>
      </c>
      <c r="E206" s="7">
        <f>IF(OR(A206="",B206="",C206=""),"",A206&amp;"-"&amp;B206&amp;"-"&amp;TEXT(C206,"000"))</f>
        <v/>
      </c>
      <c r="F206" s="6" t="n"/>
      <c r="H206" s="21" t="n"/>
      <c r="N206" s="7">
        <f>IF(E206="","",E206&amp;"_"&amp;SUBSTITUTE(TRIM(F206)," ","-")&amp;IF(G206="","","_Rev"&amp;G206))</f>
        <v/>
      </c>
      <c r="O206" s="7">
        <f>IF(A206="","",IF(K206="Superseded","99 Archive",IFERROR(INDEX('Drive Map'!$B$4:$B$33,MATCH(A206,'Drive Map'!$A$4:$A$33,0)),"")&amp;IF(AND(A206="04",J206&lt;&gt;""),"/"&amp;J206,"")))</f>
        <v/>
      </c>
      <c r="P206" s="7">
        <f>IF(O206="","",IF(IFERROR(INDEX('Drive Map'!$G$4:$G$33,MATCH(O206,'Drive Map'!$B$4:$B$33,0))&amp;"","")="","",HYPERLINK(INDEX('Drive Map'!$G$4:$G$33,MATCH(O206,'Drive Map'!$B$4:$B$33,0)),"Open")))</f>
        <v/>
      </c>
      <c r="R206" s="6" t="n"/>
    </row>
    <row r="207">
      <c r="A207" s="31" t="n"/>
      <c r="D207" s="7">
        <f>IF(OR(A207="",B207=""),"",SUMPRODUCT(MAX((A$4:A$303=A207)*(B$4:B$303=B207)*C$4:C$303))+1)</f>
        <v/>
      </c>
      <c r="E207" s="7">
        <f>IF(OR(A207="",B207="",C207=""),"",A207&amp;"-"&amp;B207&amp;"-"&amp;TEXT(C207,"000"))</f>
        <v/>
      </c>
      <c r="F207" s="6" t="n"/>
      <c r="H207" s="21" t="n"/>
      <c r="N207" s="7">
        <f>IF(E207="","",E207&amp;"_"&amp;SUBSTITUTE(TRIM(F207)," ","-")&amp;IF(G207="","","_Rev"&amp;G207))</f>
        <v/>
      </c>
      <c r="O207" s="7">
        <f>IF(A207="","",IF(K207="Superseded","99 Archive",IFERROR(INDEX('Drive Map'!$B$4:$B$33,MATCH(A207,'Drive Map'!$A$4:$A$33,0)),"")&amp;IF(AND(A207="04",J207&lt;&gt;""),"/"&amp;J207,"")))</f>
        <v/>
      </c>
      <c r="P207" s="7">
        <f>IF(O207="","",IF(IFERROR(INDEX('Drive Map'!$G$4:$G$33,MATCH(O207,'Drive Map'!$B$4:$B$33,0))&amp;"","")="","",HYPERLINK(INDEX('Drive Map'!$G$4:$G$33,MATCH(O207,'Drive Map'!$B$4:$B$33,0)),"Open")))</f>
        <v/>
      </c>
      <c r="R207" s="6" t="n"/>
    </row>
    <row r="208">
      <c r="A208" s="31" t="n"/>
      <c r="D208" s="7">
        <f>IF(OR(A208="",B208=""),"",SUMPRODUCT(MAX((A$4:A$303=A208)*(B$4:B$303=B208)*C$4:C$303))+1)</f>
        <v/>
      </c>
      <c r="E208" s="7">
        <f>IF(OR(A208="",B208="",C208=""),"",A208&amp;"-"&amp;B208&amp;"-"&amp;TEXT(C208,"000"))</f>
        <v/>
      </c>
      <c r="F208" s="6" t="n"/>
      <c r="H208" s="21" t="n"/>
      <c r="N208" s="7">
        <f>IF(E208="","",E208&amp;"_"&amp;SUBSTITUTE(TRIM(F208)," ","-")&amp;IF(G208="","","_Rev"&amp;G208))</f>
        <v/>
      </c>
      <c r="O208" s="7">
        <f>IF(A208="","",IF(K208="Superseded","99 Archive",IFERROR(INDEX('Drive Map'!$B$4:$B$33,MATCH(A208,'Drive Map'!$A$4:$A$33,0)),"")&amp;IF(AND(A208="04",J208&lt;&gt;""),"/"&amp;J208,"")))</f>
        <v/>
      </c>
      <c r="P208" s="7">
        <f>IF(O208="","",IF(IFERROR(INDEX('Drive Map'!$G$4:$G$33,MATCH(O208,'Drive Map'!$B$4:$B$33,0))&amp;"","")="","",HYPERLINK(INDEX('Drive Map'!$G$4:$G$33,MATCH(O208,'Drive Map'!$B$4:$B$33,0)),"Open")))</f>
        <v/>
      </c>
      <c r="R208" s="6" t="n"/>
    </row>
    <row r="209">
      <c r="A209" s="31" t="n"/>
      <c r="D209" s="7">
        <f>IF(OR(A209="",B209=""),"",SUMPRODUCT(MAX((A$4:A$303=A209)*(B$4:B$303=B209)*C$4:C$303))+1)</f>
        <v/>
      </c>
      <c r="E209" s="7">
        <f>IF(OR(A209="",B209="",C209=""),"",A209&amp;"-"&amp;B209&amp;"-"&amp;TEXT(C209,"000"))</f>
        <v/>
      </c>
      <c r="F209" s="6" t="n"/>
      <c r="H209" s="21" t="n"/>
      <c r="N209" s="7">
        <f>IF(E209="","",E209&amp;"_"&amp;SUBSTITUTE(TRIM(F209)," ","-")&amp;IF(G209="","","_Rev"&amp;G209))</f>
        <v/>
      </c>
      <c r="O209" s="7">
        <f>IF(A209="","",IF(K209="Superseded","99 Archive",IFERROR(INDEX('Drive Map'!$B$4:$B$33,MATCH(A209,'Drive Map'!$A$4:$A$33,0)),"")&amp;IF(AND(A209="04",J209&lt;&gt;""),"/"&amp;J209,"")))</f>
        <v/>
      </c>
      <c r="P209" s="7">
        <f>IF(O209="","",IF(IFERROR(INDEX('Drive Map'!$G$4:$G$33,MATCH(O209,'Drive Map'!$B$4:$B$33,0))&amp;"","")="","",HYPERLINK(INDEX('Drive Map'!$G$4:$G$33,MATCH(O209,'Drive Map'!$B$4:$B$33,0)),"Open")))</f>
        <v/>
      </c>
      <c r="R209" s="6" t="n"/>
    </row>
    <row r="210">
      <c r="A210" s="31" t="n"/>
      <c r="D210" s="7">
        <f>IF(OR(A210="",B210=""),"",SUMPRODUCT(MAX((A$4:A$303=A210)*(B$4:B$303=B210)*C$4:C$303))+1)</f>
        <v/>
      </c>
      <c r="E210" s="7">
        <f>IF(OR(A210="",B210="",C210=""),"",A210&amp;"-"&amp;B210&amp;"-"&amp;TEXT(C210,"000"))</f>
        <v/>
      </c>
      <c r="F210" s="6" t="n"/>
      <c r="H210" s="21" t="n"/>
      <c r="N210" s="7">
        <f>IF(E210="","",E210&amp;"_"&amp;SUBSTITUTE(TRIM(F210)," ","-")&amp;IF(G210="","","_Rev"&amp;G210))</f>
        <v/>
      </c>
      <c r="O210" s="7">
        <f>IF(A210="","",IF(K210="Superseded","99 Archive",IFERROR(INDEX('Drive Map'!$B$4:$B$33,MATCH(A210,'Drive Map'!$A$4:$A$33,0)),"")&amp;IF(AND(A210="04",J210&lt;&gt;""),"/"&amp;J210,"")))</f>
        <v/>
      </c>
      <c r="P210" s="7">
        <f>IF(O210="","",IF(IFERROR(INDEX('Drive Map'!$G$4:$G$33,MATCH(O210,'Drive Map'!$B$4:$B$33,0))&amp;"","")="","",HYPERLINK(INDEX('Drive Map'!$G$4:$G$33,MATCH(O210,'Drive Map'!$B$4:$B$33,0)),"Open")))</f>
        <v/>
      </c>
      <c r="R210" s="6" t="n"/>
    </row>
    <row r="211">
      <c r="A211" s="31" t="n"/>
      <c r="D211" s="7">
        <f>IF(OR(A211="",B211=""),"",SUMPRODUCT(MAX((A$4:A$303=A211)*(B$4:B$303=B211)*C$4:C$303))+1)</f>
        <v/>
      </c>
      <c r="E211" s="7">
        <f>IF(OR(A211="",B211="",C211=""),"",A211&amp;"-"&amp;B211&amp;"-"&amp;TEXT(C211,"000"))</f>
        <v/>
      </c>
      <c r="F211" s="6" t="n"/>
      <c r="H211" s="21" t="n"/>
      <c r="N211" s="7">
        <f>IF(E211="","",E211&amp;"_"&amp;SUBSTITUTE(TRIM(F211)," ","-")&amp;IF(G211="","","_Rev"&amp;G211))</f>
        <v/>
      </c>
      <c r="O211" s="7">
        <f>IF(A211="","",IF(K211="Superseded","99 Archive",IFERROR(INDEX('Drive Map'!$B$4:$B$33,MATCH(A211,'Drive Map'!$A$4:$A$33,0)),"")&amp;IF(AND(A211="04",J211&lt;&gt;""),"/"&amp;J211,"")))</f>
        <v/>
      </c>
      <c r="P211" s="7">
        <f>IF(O211="","",IF(IFERROR(INDEX('Drive Map'!$G$4:$G$33,MATCH(O211,'Drive Map'!$B$4:$B$33,0))&amp;"","")="","",HYPERLINK(INDEX('Drive Map'!$G$4:$G$33,MATCH(O211,'Drive Map'!$B$4:$B$33,0)),"Open")))</f>
        <v/>
      </c>
      <c r="R211" s="6" t="n"/>
    </row>
    <row r="212">
      <c r="A212" s="31" t="n"/>
      <c r="D212" s="7">
        <f>IF(OR(A212="",B212=""),"",SUMPRODUCT(MAX((A$4:A$303=A212)*(B$4:B$303=B212)*C$4:C$303))+1)</f>
        <v/>
      </c>
      <c r="E212" s="7">
        <f>IF(OR(A212="",B212="",C212=""),"",A212&amp;"-"&amp;B212&amp;"-"&amp;TEXT(C212,"000"))</f>
        <v/>
      </c>
      <c r="F212" s="6" t="n"/>
      <c r="H212" s="21" t="n"/>
      <c r="N212" s="7">
        <f>IF(E212="","",E212&amp;"_"&amp;SUBSTITUTE(TRIM(F212)," ","-")&amp;IF(G212="","","_Rev"&amp;G212))</f>
        <v/>
      </c>
      <c r="O212" s="7">
        <f>IF(A212="","",IF(K212="Superseded","99 Archive",IFERROR(INDEX('Drive Map'!$B$4:$B$33,MATCH(A212,'Drive Map'!$A$4:$A$33,0)),"")&amp;IF(AND(A212="04",J212&lt;&gt;""),"/"&amp;J212,"")))</f>
        <v/>
      </c>
      <c r="P212" s="7">
        <f>IF(O212="","",IF(IFERROR(INDEX('Drive Map'!$G$4:$G$33,MATCH(O212,'Drive Map'!$B$4:$B$33,0))&amp;"","")="","",HYPERLINK(INDEX('Drive Map'!$G$4:$G$33,MATCH(O212,'Drive Map'!$B$4:$B$33,0)),"Open")))</f>
        <v/>
      </c>
      <c r="R212" s="6" t="n"/>
    </row>
    <row r="213">
      <c r="A213" s="31" t="n"/>
      <c r="D213" s="7">
        <f>IF(OR(A213="",B213=""),"",SUMPRODUCT(MAX((A$4:A$303=A213)*(B$4:B$303=B213)*C$4:C$303))+1)</f>
        <v/>
      </c>
      <c r="E213" s="7">
        <f>IF(OR(A213="",B213="",C213=""),"",A213&amp;"-"&amp;B213&amp;"-"&amp;TEXT(C213,"000"))</f>
        <v/>
      </c>
      <c r="F213" s="6" t="n"/>
      <c r="H213" s="21" t="n"/>
      <c r="N213" s="7">
        <f>IF(E213="","",E213&amp;"_"&amp;SUBSTITUTE(TRIM(F213)," ","-")&amp;IF(G213="","","_Rev"&amp;G213))</f>
        <v/>
      </c>
      <c r="O213" s="7">
        <f>IF(A213="","",IF(K213="Superseded","99 Archive",IFERROR(INDEX('Drive Map'!$B$4:$B$33,MATCH(A213,'Drive Map'!$A$4:$A$33,0)),"")&amp;IF(AND(A213="04",J213&lt;&gt;""),"/"&amp;J213,"")))</f>
        <v/>
      </c>
      <c r="P213" s="7">
        <f>IF(O213="","",IF(IFERROR(INDEX('Drive Map'!$G$4:$G$33,MATCH(O213,'Drive Map'!$B$4:$B$33,0))&amp;"","")="","",HYPERLINK(INDEX('Drive Map'!$G$4:$G$33,MATCH(O213,'Drive Map'!$B$4:$B$33,0)),"Open")))</f>
        <v/>
      </c>
      <c r="R213" s="6" t="n"/>
    </row>
    <row r="214">
      <c r="A214" s="31" t="n"/>
      <c r="D214" s="7">
        <f>IF(OR(A214="",B214=""),"",SUMPRODUCT(MAX((A$4:A$303=A214)*(B$4:B$303=B214)*C$4:C$303))+1)</f>
        <v/>
      </c>
      <c r="E214" s="7">
        <f>IF(OR(A214="",B214="",C214=""),"",A214&amp;"-"&amp;B214&amp;"-"&amp;TEXT(C214,"000"))</f>
        <v/>
      </c>
      <c r="F214" s="6" t="n"/>
      <c r="H214" s="21" t="n"/>
      <c r="N214" s="7">
        <f>IF(E214="","",E214&amp;"_"&amp;SUBSTITUTE(TRIM(F214)," ","-")&amp;IF(G214="","","_Rev"&amp;G214))</f>
        <v/>
      </c>
      <c r="O214" s="7">
        <f>IF(A214="","",IF(K214="Superseded","99 Archive",IFERROR(INDEX('Drive Map'!$B$4:$B$33,MATCH(A214,'Drive Map'!$A$4:$A$33,0)),"")&amp;IF(AND(A214="04",J214&lt;&gt;""),"/"&amp;J214,"")))</f>
        <v/>
      </c>
      <c r="P214" s="7">
        <f>IF(O214="","",IF(IFERROR(INDEX('Drive Map'!$G$4:$G$33,MATCH(O214,'Drive Map'!$B$4:$B$33,0))&amp;"","")="","",HYPERLINK(INDEX('Drive Map'!$G$4:$G$33,MATCH(O214,'Drive Map'!$B$4:$B$33,0)),"Open")))</f>
        <v/>
      </c>
      <c r="R214" s="6" t="n"/>
    </row>
    <row r="215">
      <c r="A215" s="31" t="n"/>
      <c r="D215" s="7">
        <f>IF(OR(A215="",B215=""),"",SUMPRODUCT(MAX((A$4:A$303=A215)*(B$4:B$303=B215)*C$4:C$303))+1)</f>
        <v/>
      </c>
      <c r="E215" s="7">
        <f>IF(OR(A215="",B215="",C215=""),"",A215&amp;"-"&amp;B215&amp;"-"&amp;TEXT(C215,"000"))</f>
        <v/>
      </c>
      <c r="F215" s="6" t="n"/>
      <c r="H215" s="21" t="n"/>
      <c r="N215" s="7">
        <f>IF(E215="","",E215&amp;"_"&amp;SUBSTITUTE(TRIM(F215)," ","-")&amp;IF(G215="","","_Rev"&amp;G215))</f>
        <v/>
      </c>
      <c r="O215" s="7">
        <f>IF(A215="","",IF(K215="Superseded","99 Archive",IFERROR(INDEX('Drive Map'!$B$4:$B$33,MATCH(A215,'Drive Map'!$A$4:$A$33,0)),"")&amp;IF(AND(A215="04",J215&lt;&gt;""),"/"&amp;J215,"")))</f>
        <v/>
      </c>
      <c r="P215" s="7">
        <f>IF(O215="","",IF(IFERROR(INDEX('Drive Map'!$G$4:$G$33,MATCH(O215,'Drive Map'!$B$4:$B$33,0))&amp;"","")="","",HYPERLINK(INDEX('Drive Map'!$G$4:$G$33,MATCH(O215,'Drive Map'!$B$4:$B$33,0)),"Open")))</f>
        <v/>
      </c>
      <c r="R215" s="6" t="n"/>
    </row>
    <row r="216">
      <c r="A216" s="31" t="n"/>
      <c r="D216" s="7">
        <f>IF(OR(A216="",B216=""),"",SUMPRODUCT(MAX((A$4:A$303=A216)*(B$4:B$303=B216)*C$4:C$303))+1)</f>
        <v/>
      </c>
      <c r="E216" s="7">
        <f>IF(OR(A216="",B216="",C216=""),"",A216&amp;"-"&amp;B216&amp;"-"&amp;TEXT(C216,"000"))</f>
        <v/>
      </c>
      <c r="F216" s="6" t="n"/>
      <c r="H216" s="21" t="n"/>
      <c r="N216" s="7">
        <f>IF(E216="","",E216&amp;"_"&amp;SUBSTITUTE(TRIM(F216)," ","-")&amp;IF(G216="","","_Rev"&amp;G216))</f>
        <v/>
      </c>
      <c r="O216" s="7">
        <f>IF(A216="","",IF(K216="Superseded","99 Archive",IFERROR(INDEX('Drive Map'!$B$4:$B$33,MATCH(A216,'Drive Map'!$A$4:$A$33,0)),"")&amp;IF(AND(A216="04",J216&lt;&gt;""),"/"&amp;J216,"")))</f>
        <v/>
      </c>
      <c r="P216" s="7">
        <f>IF(O216="","",IF(IFERROR(INDEX('Drive Map'!$G$4:$G$33,MATCH(O216,'Drive Map'!$B$4:$B$33,0))&amp;"","")="","",HYPERLINK(INDEX('Drive Map'!$G$4:$G$33,MATCH(O216,'Drive Map'!$B$4:$B$33,0)),"Open")))</f>
        <v/>
      </c>
      <c r="R216" s="6" t="n"/>
    </row>
    <row r="217">
      <c r="A217" s="31" t="n"/>
      <c r="D217" s="7">
        <f>IF(OR(A217="",B217=""),"",SUMPRODUCT(MAX((A$4:A$303=A217)*(B$4:B$303=B217)*C$4:C$303))+1)</f>
        <v/>
      </c>
      <c r="E217" s="7">
        <f>IF(OR(A217="",B217="",C217=""),"",A217&amp;"-"&amp;B217&amp;"-"&amp;TEXT(C217,"000"))</f>
        <v/>
      </c>
      <c r="F217" s="6" t="n"/>
      <c r="H217" s="21" t="n"/>
      <c r="N217" s="7">
        <f>IF(E217="","",E217&amp;"_"&amp;SUBSTITUTE(TRIM(F217)," ","-")&amp;IF(G217="","","_Rev"&amp;G217))</f>
        <v/>
      </c>
      <c r="O217" s="7">
        <f>IF(A217="","",IF(K217="Superseded","99 Archive",IFERROR(INDEX('Drive Map'!$B$4:$B$33,MATCH(A217,'Drive Map'!$A$4:$A$33,0)),"")&amp;IF(AND(A217="04",J217&lt;&gt;""),"/"&amp;J217,"")))</f>
        <v/>
      </c>
      <c r="P217" s="7">
        <f>IF(O217="","",IF(IFERROR(INDEX('Drive Map'!$G$4:$G$33,MATCH(O217,'Drive Map'!$B$4:$B$33,0))&amp;"","")="","",HYPERLINK(INDEX('Drive Map'!$G$4:$G$33,MATCH(O217,'Drive Map'!$B$4:$B$33,0)),"Open")))</f>
        <v/>
      </c>
      <c r="R217" s="6" t="n"/>
    </row>
    <row r="218">
      <c r="A218" s="31" t="n"/>
      <c r="D218" s="7">
        <f>IF(OR(A218="",B218=""),"",SUMPRODUCT(MAX((A$4:A$303=A218)*(B$4:B$303=B218)*C$4:C$303))+1)</f>
        <v/>
      </c>
      <c r="E218" s="7">
        <f>IF(OR(A218="",B218="",C218=""),"",A218&amp;"-"&amp;B218&amp;"-"&amp;TEXT(C218,"000"))</f>
        <v/>
      </c>
      <c r="F218" s="6" t="n"/>
      <c r="H218" s="21" t="n"/>
      <c r="N218" s="7">
        <f>IF(E218="","",E218&amp;"_"&amp;SUBSTITUTE(TRIM(F218)," ","-")&amp;IF(G218="","","_Rev"&amp;G218))</f>
        <v/>
      </c>
      <c r="O218" s="7">
        <f>IF(A218="","",IF(K218="Superseded","99 Archive",IFERROR(INDEX('Drive Map'!$B$4:$B$33,MATCH(A218,'Drive Map'!$A$4:$A$33,0)),"")&amp;IF(AND(A218="04",J218&lt;&gt;""),"/"&amp;J218,"")))</f>
        <v/>
      </c>
      <c r="P218" s="7">
        <f>IF(O218="","",IF(IFERROR(INDEX('Drive Map'!$G$4:$G$33,MATCH(O218,'Drive Map'!$B$4:$B$33,0))&amp;"","")="","",HYPERLINK(INDEX('Drive Map'!$G$4:$G$33,MATCH(O218,'Drive Map'!$B$4:$B$33,0)),"Open")))</f>
        <v/>
      </c>
      <c r="R218" s="6" t="n"/>
    </row>
    <row r="219">
      <c r="A219" s="31" t="n"/>
      <c r="D219" s="7">
        <f>IF(OR(A219="",B219=""),"",SUMPRODUCT(MAX((A$4:A$303=A219)*(B$4:B$303=B219)*C$4:C$303))+1)</f>
        <v/>
      </c>
      <c r="E219" s="7">
        <f>IF(OR(A219="",B219="",C219=""),"",A219&amp;"-"&amp;B219&amp;"-"&amp;TEXT(C219,"000"))</f>
        <v/>
      </c>
      <c r="F219" s="6" t="n"/>
      <c r="H219" s="21" t="n"/>
      <c r="N219" s="7">
        <f>IF(E219="","",E219&amp;"_"&amp;SUBSTITUTE(TRIM(F219)," ","-")&amp;IF(G219="","","_Rev"&amp;G219))</f>
        <v/>
      </c>
      <c r="O219" s="7">
        <f>IF(A219="","",IF(K219="Superseded","99 Archive",IFERROR(INDEX('Drive Map'!$B$4:$B$33,MATCH(A219,'Drive Map'!$A$4:$A$33,0)),"")&amp;IF(AND(A219="04",J219&lt;&gt;""),"/"&amp;J219,"")))</f>
        <v/>
      </c>
      <c r="P219" s="7">
        <f>IF(O219="","",IF(IFERROR(INDEX('Drive Map'!$G$4:$G$33,MATCH(O219,'Drive Map'!$B$4:$B$33,0))&amp;"","")="","",HYPERLINK(INDEX('Drive Map'!$G$4:$G$33,MATCH(O219,'Drive Map'!$B$4:$B$33,0)),"Open")))</f>
        <v/>
      </c>
      <c r="R219" s="6" t="n"/>
    </row>
    <row r="220">
      <c r="A220" s="31" t="n"/>
      <c r="D220" s="7">
        <f>IF(OR(A220="",B220=""),"",SUMPRODUCT(MAX((A$4:A$303=A220)*(B$4:B$303=B220)*C$4:C$303))+1)</f>
        <v/>
      </c>
      <c r="E220" s="7">
        <f>IF(OR(A220="",B220="",C220=""),"",A220&amp;"-"&amp;B220&amp;"-"&amp;TEXT(C220,"000"))</f>
        <v/>
      </c>
      <c r="F220" s="6" t="n"/>
      <c r="H220" s="21" t="n"/>
      <c r="N220" s="7">
        <f>IF(E220="","",E220&amp;"_"&amp;SUBSTITUTE(TRIM(F220)," ","-")&amp;IF(G220="","","_Rev"&amp;G220))</f>
        <v/>
      </c>
      <c r="O220" s="7">
        <f>IF(A220="","",IF(K220="Superseded","99 Archive",IFERROR(INDEX('Drive Map'!$B$4:$B$33,MATCH(A220,'Drive Map'!$A$4:$A$33,0)),"")&amp;IF(AND(A220="04",J220&lt;&gt;""),"/"&amp;J220,"")))</f>
        <v/>
      </c>
      <c r="P220" s="7">
        <f>IF(O220="","",IF(IFERROR(INDEX('Drive Map'!$G$4:$G$33,MATCH(O220,'Drive Map'!$B$4:$B$33,0))&amp;"","")="","",HYPERLINK(INDEX('Drive Map'!$G$4:$G$33,MATCH(O220,'Drive Map'!$B$4:$B$33,0)),"Open")))</f>
        <v/>
      </c>
      <c r="R220" s="6" t="n"/>
    </row>
    <row r="221">
      <c r="A221" s="31" t="n"/>
      <c r="D221" s="7">
        <f>IF(OR(A221="",B221=""),"",SUMPRODUCT(MAX((A$4:A$303=A221)*(B$4:B$303=B221)*C$4:C$303))+1)</f>
        <v/>
      </c>
      <c r="E221" s="7">
        <f>IF(OR(A221="",B221="",C221=""),"",A221&amp;"-"&amp;B221&amp;"-"&amp;TEXT(C221,"000"))</f>
        <v/>
      </c>
      <c r="F221" s="6" t="n"/>
      <c r="H221" s="21" t="n"/>
      <c r="N221" s="7">
        <f>IF(E221="","",E221&amp;"_"&amp;SUBSTITUTE(TRIM(F221)," ","-")&amp;IF(G221="","","_Rev"&amp;G221))</f>
        <v/>
      </c>
      <c r="O221" s="7">
        <f>IF(A221="","",IF(K221="Superseded","99 Archive",IFERROR(INDEX('Drive Map'!$B$4:$B$33,MATCH(A221,'Drive Map'!$A$4:$A$33,0)),"")&amp;IF(AND(A221="04",J221&lt;&gt;""),"/"&amp;J221,"")))</f>
        <v/>
      </c>
      <c r="P221" s="7">
        <f>IF(O221="","",IF(IFERROR(INDEX('Drive Map'!$G$4:$G$33,MATCH(O221,'Drive Map'!$B$4:$B$33,0))&amp;"","")="","",HYPERLINK(INDEX('Drive Map'!$G$4:$G$33,MATCH(O221,'Drive Map'!$B$4:$B$33,0)),"Open")))</f>
        <v/>
      </c>
      <c r="R221" s="6" t="n"/>
    </row>
    <row r="222">
      <c r="A222" s="31" t="n"/>
      <c r="D222" s="7">
        <f>IF(OR(A222="",B222=""),"",SUMPRODUCT(MAX((A$4:A$303=A222)*(B$4:B$303=B222)*C$4:C$303))+1)</f>
        <v/>
      </c>
      <c r="E222" s="7">
        <f>IF(OR(A222="",B222="",C222=""),"",A222&amp;"-"&amp;B222&amp;"-"&amp;TEXT(C222,"000"))</f>
        <v/>
      </c>
      <c r="F222" s="6" t="n"/>
      <c r="H222" s="21" t="n"/>
      <c r="N222" s="7">
        <f>IF(E222="","",E222&amp;"_"&amp;SUBSTITUTE(TRIM(F222)," ","-")&amp;IF(G222="","","_Rev"&amp;G222))</f>
        <v/>
      </c>
      <c r="O222" s="7">
        <f>IF(A222="","",IF(K222="Superseded","99 Archive",IFERROR(INDEX('Drive Map'!$B$4:$B$33,MATCH(A222,'Drive Map'!$A$4:$A$33,0)),"")&amp;IF(AND(A222="04",J222&lt;&gt;""),"/"&amp;J222,"")))</f>
        <v/>
      </c>
      <c r="P222" s="7">
        <f>IF(O222="","",IF(IFERROR(INDEX('Drive Map'!$G$4:$G$33,MATCH(O222,'Drive Map'!$B$4:$B$33,0))&amp;"","")="","",HYPERLINK(INDEX('Drive Map'!$G$4:$G$33,MATCH(O222,'Drive Map'!$B$4:$B$33,0)),"Open")))</f>
        <v/>
      </c>
      <c r="R222" s="6" t="n"/>
    </row>
    <row r="223">
      <c r="A223" s="31" t="n"/>
      <c r="D223" s="7">
        <f>IF(OR(A223="",B223=""),"",SUMPRODUCT(MAX((A$4:A$303=A223)*(B$4:B$303=B223)*C$4:C$303))+1)</f>
        <v/>
      </c>
      <c r="E223" s="7">
        <f>IF(OR(A223="",B223="",C223=""),"",A223&amp;"-"&amp;B223&amp;"-"&amp;TEXT(C223,"000"))</f>
        <v/>
      </c>
      <c r="F223" s="6" t="n"/>
      <c r="H223" s="21" t="n"/>
      <c r="N223" s="7">
        <f>IF(E223="","",E223&amp;"_"&amp;SUBSTITUTE(TRIM(F223)," ","-")&amp;IF(G223="","","_Rev"&amp;G223))</f>
        <v/>
      </c>
      <c r="O223" s="7">
        <f>IF(A223="","",IF(K223="Superseded","99 Archive",IFERROR(INDEX('Drive Map'!$B$4:$B$33,MATCH(A223,'Drive Map'!$A$4:$A$33,0)),"")&amp;IF(AND(A223="04",J223&lt;&gt;""),"/"&amp;J223,"")))</f>
        <v/>
      </c>
      <c r="P223" s="7">
        <f>IF(O223="","",IF(IFERROR(INDEX('Drive Map'!$G$4:$G$33,MATCH(O223,'Drive Map'!$B$4:$B$33,0))&amp;"","")="","",HYPERLINK(INDEX('Drive Map'!$G$4:$G$33,MATCH(O223,'Drive Map'!$B$4:$B$33,0)),"Open")))</f>
        <v/>
      </c>
      <c r="R223" s="6" t="n"/>
    </row>
    <row r="224">
      <c r="A224" s="31" t="n"/>
      <c r="D224" s="7">
        <f>IF(OR(A224="",B224=""),"",SUMPRODUCT(MAX((A$4:A$303=A224)*(B$4:B$303=B224)*C$4:C$303))+1)</f>
        <v/>
      </c>
      <c r="E224" s="7">
        <f>IF(OR(A224="",B224="",C224=""),"",A224&amp;"-"&amp;B224&amp;"-"&amp;TEXT(C224,"000"))</f>
        <v/>
      </c>
      <c r="F224" s="6" t="n"/>
      <c r="H224" s="21" t="n"/>
      <c r="N224" s="7">
        <f>IF(E224="","",E224&amp;"_"&amp;SUBSTITUTE(TRIM(F224)," ","-")&amp;IF(G224="","","_Rev"&amp;G224))</f>
        <v/>
      </c>
      <c r="O224" s="7">
        <f>IF(A224="","",IF(K224="Superseded","99 Archive",IFERROR(INDEX('Drive Map'!$B$4:$B$33,MATCH(A224,'Drive Map'!$A$4:$A$33,0)),"")&amp;IF(AND(A224="04",J224&lt;&gt;""),"/"&amp;J224,"")))</f>
        <v/>
      </c>
      <c r="P224" s="7">
        <f>IF(O224="","",IF(IFERROR(INDEX('Drive Map'!$G$4:$G$33,MATCH(O224,'Drive Map'!$B$4:$B$33,0))&amp;"","")="","",HYPERLINK(INDEX('Drive Map'!$G$4:$G$33,MATCH(O224,'Drive Map'!$B$4:$B$33,0)),"Open")))</f>
        <v/>
      </c>
      <c r="R224" s="6" t="n"/>
    </row>
    <row r="225">
      <c r="A225" s="31" t="n"/>
      <c r="D225" s="7">
        <f>IF(OR(A225="",B225=""),"",SUMPRODUCT(MAX((A$4:A$303=A225)*(B$4:B$303=B225)*C$4:C$303))+1)</f>
        <v/>
      </c>
      <c r="E225" s="7">
        <f>IF(OR(A225="",B225="",C225=""),"",A225&amp;"-"&amp;B225&amp;"-"&amp;TEXT(C225,"000"))</f>
        <v/>
      </c>
      <c r="F225" s="6" t="n"/>
      <c r="H225" s="21" t="n"/>
      <c r="N225" s="7">
        <f>IF(E225="","",E225&amp;"_"&amp;SUBSTITUTE(TRIM(F225)," ","-")&amp;IF(G225="","","_Rev"&amp;G225))</f>
        <v/>
      </c>
      <c r="O225" s="7">
        <f>IF(A225="","",IF(K225="Superseded","99 Archive",IFERROR(INDEX('Drive Map'!$B$4:$B$33,MATCH(A225,'Drive Map'!$A$4:$A$33,0)),"")&amp;IF(AND(A225="04",J225&lt;&gt;""),"/"&amp;J225,"")))</f>
        <v/>
      </c>
      <c r="P225" s="7">
        <f>IF(O225="","",IF(IFERROR(INDEX('Drive Map'!$G$4:$G$33,MATCH(O225,'Drive Map'!$B$4:$B$33,0))&amp;"","")="","",HYPERLINK(INDEX('Drive Map'!$G$4:$G$33,MATCH(O225,'Drive Map'!$B$4:$B$33,0)),"Open")))</f>
        <v/>
      </c>
      <c r="R225" s="6" t="n"/>
    </row>
    <row r="226">
      <c r="A226" s="31" t="n"/>
      <c r="D226" s="7">
        <f>IF(OR(A226="",B226=""),"",SUMPRODUCT(MAX((A$4:A$303=A226)*(B$4:B$303=B226)*C$4:C$303))+1)</f>
        <v/>
      </c>
      <c r="E226" s="7">
        <f>IF(OR(A226="",B226="",C226=""),"",A226&amp;"-"&amp;B226&amp;"-"&amp;TEXT(C226,"000"))</f>
        <v/>
      </c>
      <c r="F226" s="6" t="n"/>
      <c r="H226" s="21" t="n"/>
      <c r="N226" s="7">
        <f>IF(E226="","",E226&amp;"_"&amp;SUBSTITUTE(TRIM(F226)," ","-")&amp;IF(G226="","","_Rev"&amp;G226))</f>
        <v/>
      </c>
      <c r="O226" s="7">
        <f>IF(A226="","",IF(K226="Superseded","99 Archive",IFERROR(INDEX('Drive Map'!$B$4:$B$33,MATCH(A226,'Drive Map'!$A$4:$A$33,0)),"")&amp;IF(AND(A226="04",J226&lt;&gt;""),"/"&amp;J226,"")))</f>
        <v/>
      </c>
      <c r="P226" s="7">
        <f>IF(O226="","",IF(IFERROR(INDEX('Drive Map'!$G$4:$G$33,MATCH(O226,'Drive Map'!$B$4:$B$33,0))&amp;"","")="","",HYPERLINK(INDEX('Drive Map'!$G$4:$G$33,MATCH(O226,'Drive Map'!$B$4:$B$33,0)),"Open")))</f>
        <v/>
      </c>
      <c r="R226" s="6" t="n"/>
    </row>
    <row r="227">
      <c r="A227" s="31" t="n"/>
      <c r="D227" s="7">
        <f>IF(OR(A227="",B227=""),"",SUMPRODUCT(MAX((A$4:A$303=A227)*(B$4:B$303=B227)*C$4:C$303))+1)</f>
        <v/>
      </c>
      <c r="E227" s="7">
        <f>IF(OR(A227="",B227="",C227=""),"",A227&amp;"-"&amp;B227&amp;"-"&amp;TEXT(C227,"000"))</f>
        <v/>
      </c>
      <c r="F227" s="6" t="n"/>
      <c r="H227" s="21" t="n"/>
      <c r="N227" s="7">
        <f>IF(E227="","",E227&amp;"_"&amp;SUBSTITUTE(TRIM(F227)," ","-")&amp;IF(G227="","","_Rev"&amp;G227))</f>
        <v/>
      </c>
      <c r="O227" s="7">
        <f>IF(A227="","",IF(K227="Superseded","99 Archive",IFERROR(INDEX('Drive Map'!$B$4:$B$33,MATCH(A227,'Drive Map'!$A$4:$A$33,0)),"")&amp;IF(AND(A227="04",J227&lt;&gt;""),"/"&amp;J227,"")))</f>
        <v/>
      </c>
      <c r="P227" s="7">
        <f>IF(O227="","",IF(IFERROR(INDEX('Drive Map'!$G$4:$G$33,MATCH(O227,'Drive Map'!$B$4:$B$33,0))&amp;"","")="","",HYPERLINK(INDEX('Drive Map'!$G$4:$G$33,MATCH(O227,'Drive Map'!$B$4:$B$33,0)),"Open")))</f>
        <v/>
      </c>
      <c r="R227" s="6" t="n"/>
    </row>
    <row r="228">
      <c r="A228" s="31" t="n"/>
      <c r="D228" s="7">
        <f>IF(OR(A228="",B228=""),"",SUMPRODUCT(MAX((A$4:A$303=A228)*(B$4:B$303=B228)*C$4:C$303))+1)</f>
        <v/>
      </c>
      <c r="E228" s="7">
        <f>IF(OR(A228="",B228="",C228=""),"",A228&amp;"-"&amp;B228&amp;"-"&amp;TEXT(C228,"000"))</f>
        <v/>
      </c>
      <c r="F228" s="6" t="n"/>
      <c r="H228" s="21" t="n"/>
      <c r="N228" s="7">
        <f>IF(E228="","",E228&amp;"_"&amp;SUBSTITUTE(TRIM(F228)," ","-")&amp;IF(G228="","","_Rev"&amp;G228))</f>
        <v/>
      </c>
      <c r="O228" s="7">
        <f>IF(A228="","",IF(K228="Superseded","99 Archive",IFERROR(INDEX('Drive Map'!$B$4:$B$33,MATCH(A228,'Drive Map'!$A$4:$A$33,0)),"")&amp;IF(AND(A228="04",J228&lt;&gt;""),"/"&amp;J228,"")))</f>
        <v/>
      </c>
      <c r="P228" s="7">
        <f>IF(O228="","",IF(IFERROR(INDEX('Drive Map'!$G$4:$G$33,MATCH(O228,'Drive Map'!$B$4:$B$33,0))&amp;"","")="","",HYPERLINK(INDEX('Drive Map'!$G$4:$G$33,MATCH(O228,'Drive Map'!$B$4:$B$33,0)),"Open")))</f>
        <v/>
      </c>
      <c r="R228" s="6" t="n"/>
    </row>
    <row r="229">
      <c r="A229" s="31" t="n"/>
      <c r="D229" s="7">
        <f>IF(OR(A229="",B229=""),"",SUMPRODUCT(MAX((A$4:A$303=A229)*(B$4:B$303=B229)*C$4:C$303))+1)</f>
        <v/>
      </c>
      <c r="E229" s="7">
        <f>IF(OR(A229="",B229="",C229=""),"",A229&amp;"-"&amp;B229&amp;"-"&amp;TEXT(C229,"000"))</f>
        <v/>
      </c>
      <c r="F229" s="6" t="n"/>
      <c r="H229" s="21" t="n"/>
      <c r="N229" s="7">
        <f>IF(E229="","",E229&amp;"_"&amp;SUBSTITUTE(TRIM(F229)," ","-")&amp;IF(G229="","","_Rev"&amp;G229))</f>
        <v/>
      </c>
      <c r="O229" s="7">
        <f>IF(A229="","",IF(K229="Superseded","99 Archive",IFERROR(INDEX('Drive Map'!$B$4:$B$33,MATCH(A229,'Drive Map'!$A$4:$A$33,0)),"")&amp;IF(AND(A229="04",J229&lt;&gt;""),"/"&amp;J229,"")))</f>
        <v/>
      </c>
      <c r="P229" s="7">
        <f>IF(O229="","",IF(IFERROR(INDEX('Drive Map'!$G$4:$G$33,MATCH(O229,'Drive Map'!$B$4:$B$33,0))&amp;"","")="","",HYPERLINK(INDEX('Drive Map'!$G$4:$G$33,MATCH(O229,'Drive Map'!$B$4:$B$33,0)),"Open")))</f>
        <v/>
      </c>
      <c r="R229" s="6" t="n"/>
    </row>
    <row r="230">
      <c r="A230" s="31" t="n"/>
      <c r="D230" s="7">
        <f>IF(OR(A230="",B230=""),"",SUMPRODUCT(MAX((A$4:A$303=A230)*(B$4:B$303=B230)*C$4:C$303))+1)</f>
        <v/>
      </c>
      <c r="E230" s="7">
        <f>IF(OR(A230="",B230="",C230=""),"",A230&amp;"-"&amp;B230&amp;"-"&amp;TEXT(C230,"000"))</f>
        <v/>
      </c>
      <c r="F230" s="6" t="n"/>
      <c r="H230" s="21" t="n"/>
      <c r="N230" s="7">
        <f>IF(E230="","",E230&amp;"_"&amp;SUBSTITUTE(TRIM(F230)," ","-")&amp;IF(G230="","","_Rev"&amp;G230))</f>
        <v/>
      </c>
      <c r="O230" s="7">
        <f>IF(A230="","",IF(K230="Superseded","99 Archive",IFERROR(INDEX('Drive Map'!$B$4:$B$33,MATCH(A230,'Drive Map'!$A$4:$A$33,0)),"")&amp;IF(AND(A230="04",J230&lt;&gt;""),"/"&amp;J230,"")))</f>
        <v/>
      </c>
      <c r="P230" s="7">
        <f>IF(O230="","",IF(IFERROR(INDEX('Drive Map'!$G$4:$G$33,MATCH(O230,'Drive Map'!$B$4:$B$33,0))&amp;"","")="","",HYPERLINK(INDEX('Drive Map'!$G$4:$G$33,MATCH(O230,'Drive Map'!$B$4:$B$33,0)),"Open")))</f>
        <v/>
      </c>
      <c r="R230" s="6" t="n"/>
    </row>
    <row r="231">
      <c r="A231" s="31" t="n"/>
      <c r="D231" s="7">
        <f>IF(OR(A231="",B231=""),"",SUMPRODUCT(MAX((A$4:A$303=A231)*(B$4:B$303=B231)*C$4:C$303))+1)</f>
        <v/>
      </c>
      <c r="E231" s="7">
        <f>IF(OR(A231="",B231="",C231=""),"",A231&amp;"-"&amp;B231&amp;"-"&amp;TEXT(C231,"000"))</f>
        <v/>
      </c>
      <c r="F231" s="6" t="n"/>
      <c r="H231" s="21" t="n"/>
      <c r="N231" s="7">
        <f>IF(E231="","",E231&amp;"_"&amp;SUBSTITUTE(TRIM(F231)," ","-")&amp;IF(G231="","","_Rev"&amp;G231))</f>
        <v/>
      </c>
      <c r="O231" s="7">
        <f>IF(A231="","",IF(K231="Superseded","99 Archive",IFERROR(INDEX('Drive Map'!$B$4:$B$33,MATCH(A231,'Drive Map'!$A$4:$A$33,0)),"")&amp;IF(AND(A231="04",J231&lt;&gt;""),"/"&amp;J231,"")))</f>
        <v/>
      </c>
      <c r="P231" s="7">
        <f>IF(O231="","",IF(IFERROR(INDEX('Drive Map'!$G$4:$G$33,MATCH(O231,'Drive Map'!$B$4:$B$33,0))&amp;"","")="","",HYPERLINK(INDEX('Drive Map'!$G$4:$G$33,MATCH(O231,'Drive Map'!$B$4:$B$33,0)),"Open")))</f>
        <v/>
      </c>
      <c r="R231" s="6" t="n"/>
    </row>
    <row r="232">
      <c r="A232" s="31" t="n"/>
      <c r="D232" s="7">
        <f>IF(OR(A232="",B232=""),"",SUMPRODUCT(MAX((A$4:A$303=A232)*(B$4:B$303=B232)*C$4:C$303))+1)</f>
        <v/>
      </c>
      <c r="E232" s="7">
        <f>IF(OR(A232="",B232="",C232=""),"",A232&amp;"-"&amp;B232&amp;"-"&amp;TEXT(C232,"000"))</f>
        <v/>
      </c>
      <c r="F232" s="6" t="n"/>
      <c r="H232" s="21" t="n"/>
      <c r="N232" s="7">
        <f>IF(E232="","",E232&amp;"_"&amp;SUBSTITUTE(TRIM(F232)," ","-")&amp;IF(G232="","","_Rev"&amp;G232))</f>
        <v/>
      </c>
      <c r="O232" s="7">
        <f>IF(A232="","",IF(K232="Superseded","99 Archive",IFERROR(INDEX('Drive Map'!$B$4:$B$33,MATCH(A232,'Drive Map'!$A$4:$A$33,0)),"")&amp;IF(AND(A232="04",J232&lt;&gt;""),"/"&amp;J232,"")))</f>
        <v/>
      </c>
      <c r="P232" s="7">
        <f>IF(O232="","",IF(IFERROR(INDEX('Drive Map'!$G$4:$G$33,MATCH(O232,'Drive Map'!$B$4:$B$33,0))&amp;"","")="","",HYPERLINK(INDEX('Drive Map'!$G$4:$G$33,MATCH(O232,'Drive Map'!$B$4:$B$33,0)),"Open")))</f>
        <v/>
      </c>
      <c r="R232" s="6" t="n"/>
    </row>
    <row r="233">
      <c r="A233" s="31" t="n"/>
      <c r="D233" s="7">
        <f>IF(OR(A233="",B233=""),"",SUMPRODUCT(MAX((A$4:A$303=A233)*(B$4:B$303=B233)*C$4:C$303))+1)</f>
        <v/>
      </c>
      <c r="E233" s="7">
        <f>IF(OR(A233="",B233="",C233=""),"",A233&amp;"-"&amp;B233&amp;"-"&amp;TEXT(C233,"000"))</f>
        <v/>
      </c>
      <c r="F233" s="6" t="n"/>
      <c r="H233" s="21" t="n"/>
      <c r="N233" s="7">
        <f>IF(E233="","",E233&amp;"_"&amp;SUBSTITUTE(TRIM(F233)," ","-")&amp;IF(G233="","","_Rev"&amp;G233))</f>
        <v/>
      </c>
      <c r="O233" s="7">
        <f>IF(A233="","",IF(K233="Superseded","99 Archive",IFERROR(INDEX('Drive Map'!$B$4:$B$33,MATCH(A233,'Drive Map'!$A$4:$A$33,0)),"")&amp;IF(AND(A233="04",J233&lt;&gt;""),"/"&amp;J233,"")))</f>
        <v/>
      </c>
      <c r="P233" s="7">
        <f>IF(O233="","",IF(IFERROR(INDEX('Drive Map'!$G$4:$G$33,MATCH(O233,'Drive Map'!$B$4:$B$33,0))&amp;"","")="","",HYPERLINK(INDEX('Drive Map'!$G$4:$G$33,MATCH(O233,'Drive Map'!$B$4:$B$33,0)),"Open")))</f>
        <v/>
      </c>
      <c r="R233" s="6" t="n"/>
    </row>
    <row r="234">
      <c r="A234" s="31" t="n"/>
      <c r="D234" s="7">
        <f>IF(OR(A234="",B234=""),"",SUMPRODUCT(MAX((A$4:A$303=A234)*(B$4:B$303=B234)*C$4:C$303))+1)</f>
        <v/>
      </c>
      <c r="E234" s="7">
        <f>IF(OR(A234="",B234="",C234=""),"",A234&amp;"-"&amp;B234&amp;"-"&amp;TEXT(C234,"000"))</f>
        <v/>
      </c>
      <c r="F234" s="6" t="n"/>
      <c r="H234" s="21" t="n"/>
      <c r="N234" s="7">
        <f>IF(E234="","",E234&amp;"_"&amp;SUBSTITUTE(TRIM(F234)," ","-")&amp;IF(G234="","","_Rev"&amp;G234))</f>
        <v/>
      </c>
      <c r="O234" s="7">
        <f>IF(A234="","",IF(K234="Superseded","99 Archive",IFERROR(INDEX('Drive Map'!$B$4:$B$33,MATCH(A234,'Drive Map'!$A$4:$A$33,0)),"")&amp;IF(AND(A234="04",J234&lt;&gt;""),"/"&amp;J234,"")))</f>
        <v/>
      </c>
      <c r="P234" s="7">
        <f>IF(O234="","",IF(IFERROR(INDEX('Drive Map'!$G$4:$G$33,MATCH(O234,'Drive Map'!$B$4:$B$33,0))&amp;"","")="","",HYPERLINK(INDEX('Drive Map'!$G$4:$G$33,MATCH(O234,'Drive Map'!$B$4:$B$33,0)),"Open")))</f>
        <v/>
      </c>
      <c r="R234" s="6" t="n"/>
    </row>
    <row r="235">
      <c r="A235" s="31" t="n"/>
      <c r="D235" s="7">
        <f>IF(OR(A235="",B235=""),"",SUMPRODUCT(MAX((A$4:A$303=A235)*(B$4:B$303=B235)*C$4:C$303))+1)</f>
        <v/>
      </c>
      <c r="E235" s="7">
        <f>IF(OR(A235="",B235="",C235=""),"",A235&amp;"-"&amp;B235&amp;"-"&amp;TEXT(C235,"000"))</f>
        <v/>
      </c>
      <c r="F235" s="6" t="n"/>
      <c r="H235" s="21" t="n"/>
      <c r="N235" s="7">
        <f>IF(E235="","",E235&amp;"_"&amp;SUBSTITUTE(TRIM(F235)," ","-")&amp;IF(G235="","","_Rev"&amp;G235))</f>
        <v/>
      </c>
      <c r="O235" s="7">
        <f>IF(A235="","",IF(K235="Superseded","99 Archive",IFERROR(INDEX('Drive Map'!$B$4:$B$33,MATCH(A235,'Drive Map'!$A$4:$A$33,0)),"")&amp;IF(AND(A235="04",J235&lt;&gt;""),"/"&amp;J235,"")))</f>
        <v/>
      </c>
      <c r="P235" s="7">
        <f>IF(O235="","",IF(IFERROR(INDEX('Drive Map'!$G$4:$G$33,MATCH(O235,'Drive Map'!$B$4:$B$33,0))&amp;"","")="","",HYPERLINK(INDEX('Drive Map'!$G$4:$G$33,MATCH(O235,'Drive Map'!$B$4:$B$33,0)),"Open")))</f>
        <v/>
      </c>
      <c r="R235" s="6" t="n"/>
    </row>
    <row r="236">
      <c r="A236" s="31" t="n"/>
      <c r="D236" s="7">
        <f>IF(OR(A236="",B236=""),"",SUMPRODUCT(MAX((A$4:A$303=A236)*(B$4:B$303=B236)*C$4:C$303))+1)</f>
        <v/>
      </c>
      <c r="E236" s="7">
        <f>IF(OR(A236="",B236="",C236=""),"",A236&amp;"-"&amp;B236&amp;"-"&amp;TEXT(C236,"000"))</f>
        <v/>
      </c>
      <c r="F236" s="6" t="n"/>
      <c r="H236" s="21" t="n"/>
      <c r="N236" s="7">
        <f>IF(E236="","",E236&amp;"_"&amp;SUBSTITUTE(TRIM(F236)," ","-")&amp;IF(G236="","","_Rev"&amp;G236))</f>
        <v/>
      </c>
      <c r="O236" s="7">
        <f>IF(A236="","",IF(K236="Superseded","99 Archive",IFERROR(INDEX('Drive Map'!$B$4:$B$33,MATCH(A236,'Drive Map'!$A$4:$A$33,0)),"")&amp;IF(AND(A236="04",J236&lt;&gt;""),"/"&amp;J236,"")))</f>
        <v/>
      </c>
      <c r="P236" s="7">
        <f>IF(O236="","",IF(IFERROR(INDEX('Drive Map'!$G$4:$G$33,MATCH(O236,'Drive Map'!$B$4:$B$33,0))&amp;"","")="","",HYPERLINK(INDEX('Drive Map'!$G$4:$G$33,MATCH(O236,'Drive Map'!$B$4:$B$33,0)),"Open")))</f>
        <v/>
      </c>
      <c r="R236" s="6" t="n"/>
    </row>
    <row r="237">
      <c r="A237" s="31" t="n"/>
      <c r="D237" s="7">
        <f>IF(OR(A237="",B237=""),"",SUMPRODUCT(MAX((A$4:A$303=A237)*(B$4:B$303=B237)*C$4:C$303))+1)</f>
        <v/>
      </c>
      <c r="E237" s="7">
        <f>IF(OR(A237="",B237="",C237=""),"",A237&amp;"-"&amp;B237&amp;"-"&amp;TEXT(C237,"000"))</f>
        <v/>
      </c>
      <c r="F237" s="6" t="n"/>
      <c r="H237" s="21" t="n"/>
      <c r="N237" s="7">
        <f>IF(E237="","",E237&amp;"_"&amp;SUBSTITUTE(TRIM(F237)," ","-")&amp;IF(G237="","","_Rev"&amp;G237))</f>
        <v/>
      </c>
      <c r="O237" s="7">
        <f>IF(A237="","",IF(K237="Superseded","99 Archive",IFERROR(INDEX('Drive Map'!$B$4:$B$33,MATCH(A237,'Drive Map'!$A$4:$A$33,0)),"")&amp;IF(AND(A237="04",J237&lt;&gt;""),"/"&amp;J237,"")))</f>
        <v/>
      </c>
      <c r="P237" s="7">
        <f>IF(O237="","",IF(IFERROR(INDEX('Drive Map'!$G$4:$G$33,MATCH(O237,'Drive Map'!$B$4:$B$33,0))&amp;"","")="","",HYPERLINK(INDEX('Drive Map'!$G$4:$G$33,MATCH(O237,'Drive Map'!$B$4:$B$33,0)),"Open")))</f>
        <v/>
      </c>
      <c r="R237" s="6" t="n"/>
    </row>
    <row r="238">
      <c r="A238" s="31" t="n"/>
      <c r="D238" s="7">
        <f>IF(OR(A238="",B238=""),"",SUMPRODUCT(MAX((A$4:A$303=A238)*(B$4:B$303=B238)*C$4:C$303))+1)</f>
        <v/>
      </c>
      <c r="E238" s="7">
        <f>IF(OR(A238="",B238="",C238=""),"",A238&amp;"-"&amp;B238&amp;"-"&amp;TEXT(C238,"000"))</f>
        <v/>
      </c>
      <c r="F238" s="6" t="n"/>
      <c r="H238" s="21" t="n"/>
      <c r="N238" s="7">
        <f>IF(E238="","",E238&amp;"_"&amp;SUBSTITUTE(TRIM(F238)," ","-")&amp;IF(G238="","","_Rev"&amp;G238))</f>
        <v/>
      </c>
      <c r="O238" s="7">
        <f>IF(A238="","",IF(K238="Superseded","99 Archive",IFERROR(INDEX('Drive Map'!$B$4:$B$33,MATCH(A238,'Drive Map'!$A$4:$A$33,0)),"")&amp;IF(AND(A238="04",J238&lt;&gt;""),"/"&amp;J238,"")))</f>
        <v/>
      </c>
      <c r="P238" s="7">
        <f>IF(O238="","",IF(IFERROR(INDEX('Drive Map'!$G$4:$G$33,MATCH(O238,'Drive Map'!$B$4:$B$33,0))&amp;"","")="","",HYPERLINK(INDEX('Drive Map'!$G$4:$G$33,MATCH(O238,'Drive Map'!$B$4:$B$33,0)),"Open")))</f>
        <v/>
      </c>
      <c r="R238" s="6" t="n"/>
    </row>
    <row r="239">
      <c r="A239" s="31" t="n"/>
      <c r="D239" s="7">
        <f>IF(OR(A239="",B239=""),"",SUMPRODUCT(MAX((A$4:A$303=A239)*(B$4:B$303=B239)*C$4:C$303))+1)</f>
        <v/>
      </c>
      <c r="E239" s="7">
        <f>IF(OR(A239="",B239="",C239=""),"",A239&amp;"-"&amp;B239&amp;"-"&amp;TEXT(C239,"000"))</f>
        <v/>
      </c>
      <c r="F239" s="6" t="n"/>
      <c r="H239" s="21" t="n"/>
      <c r="N239" s="7">
        <f>IF(E239="","",E239&amp;"_"&amp;SUBSTITUTE(TRIM(F239)," ","-")&amp;IF(G239="","","_Rev"&amp;G239))</f>
        <v/>
      </c>
      <c r="O239" s="7">
        <f>IF(A239="","",IF(K239="Superseded","99 Archive",IFERROR(INDEX('Drive Map'!$B$4:$B$33,MATCH(A239,'Drive Map'!$A$4:$A$33,0)),"")&amp;IF(AND(A239="04",J239&lt;&gt;""),"/"&amp;J239,"")))</f>
        <v/>
      </c>
      <c r="P239" s="7">
        <f>IF(O239="","",IF(IFERROR(INDEX('Drive Map'!$G$4:$G$33,MATCH(O239,'Drive Map'!$B$4:$B$33,0))&amp;"","")="","",HYPERLINK(INDEX('Drive Map'!$G$4:$G$33,MATCH(O239,'Drive Map'!$B$4:$B$33,0)),"Open")))</f>
        <v/>
      </c>
      <c r="R239" s="6" t="n"/>
    </row>
    <row r="240">
      <c r="A240" s="31" t="n"/>
      <c r="D240" s="7">
        <f>IF(OR(A240="",B240=""),"",SUMPRODUCT(MAX((A$4:A$303=A240)*(B$4:B$303=B240)*C$4:C$303))+1)</f>
        <v/>
      </c>
      <c r="E240" s="7">
        <f>IF(OR(A240="",B240="",C240=""),"",A240&amp;"-"&amp;B240&amp;"-"&amp;TEXT(C240,"000"))</f>
        <v/>
      </c>
      <c r="F240" s="6" t="n"/>
      <c r="H240" s="21" t="n"/>
      <c r="N240" s="7">
        <f>IF(E240="","",E240&amp;"_"&amp;SUBSTITUTE(TRIM(F240)," ","-")&amp;IF(G240="","","_Rev"&amp;G240))</f>
        <v/>
      </c>
      <c r="O240" s="7">
        <f>IF(A240="","",IF(K240="Superseded","99 Archive",IFERROR(INDEX('Drive Map'!$B$4:$B$33,MATCH(A240,'Drive Map'!$A$4:$A$33,0)),"")&amp;IF(AND(A240="04",J240&lt;&gt;""),"/"&amp;J240,"")))</f>
        <v/>
      </c>
      <c r="P240" s="7">
        <f>IF(O240="","",IF(IFERROR(INDEX('Drive Map'!$G$4:$G$33,MATCH(O240,'Drive Map'!$B$4:$B$33,0))&amp;"","")="","",HYPERLINK(INDEX('Drive Map'!$G$4:$G$33,MATCH(O240,'Drive Map'!$B$4:$B$33,0)),"Open")))</f>
        <v/>
      </c>
      <c r="R240" s="6" t="n"/>
    </row>
    <row r="241">
      <c r="A241" s="31" t="n"/>
      <c r="D241" s="7">
        <f>IF(OR(A241="",B241=""),"",SUMPRODUCT(MAX((A$4:A$303=A241)*(B$4:B$303=B241)*C$4:C$303))+1)</f>
        <v/>
      </c>
      <c r="E241" s="7">
        <f>IF(OR(A241="",B241="",C241=""),"",A241&amp;"-"&amp;B241&amp;"-"&amp;TEXT(C241,"000"))</f>
        <v/>
      </c>
      <c r="F241" s="6" t="n"/>
      <c r="H241" s="21" t="n"/>
      <c r="N241" s="7">
        <f>IF(E241="","",E241&amp;"_"&amp;SUBSTITUTE(TRIM(F241)," ","-")&amp;IF(G241="","","_Rev"&amp;G241))</f>
        <v/>
      </c>
      <c r="O241" s="7">
        <f>IF(A241="","",IF(K241="Superseded","99 Archive",IFERROR(INDEX('Drive Map'!$B$4:$B$33,MATCH(A241,'Drive Map'!$A$4:$A$33,0)),"")&amp;IF(AND(A241="04",J241&lt;&gt;""),"/"&amp;J241,"")))</f>
        <v/>
      </c>
      <c r="P241" s="7">
        <f>IF(O241="","",IF(IFERROR(INDEX('Drive Map'!$G$4:$G$33,MATCH(O241,'Drive Map'!$B$4:$B$33,0))&amp;"","")="","",HYPERLINK(INDEX('Drive Map'!$G$4:$G$33,MATCH(O241,'Drive Map'!$B$4:$B$33,0)),"Open")))</f>
        <v/>
      </c>
      <c r="R241" s="6" t="n"/>
    </row>
    <row r="242">
      <c r="A242" s="31" t="n"/>
      <c r="D242" s="7">
        <f>IF(OR(A242="",B242=""),"",SUMPRODUCT(MAX((A$4:A$303=A242)*(B$4:B$303=B242)*C$4:C$303))+1)</f>
        <v/>
      </c>
      <c r="E242" s="7">
        <f>IF(OR(A242="",B242="",C242=""),"",A242&amp;"-"&amp;B242&amp;"-"&amp;TEXT(C242,"000"))</f>
        <v/>
      </c>
      <c r="F242" s="6" t="n"/>
      <c r="H242" s="21" t="n"/>
      <c r="N242" s="7">
        <f>IF(E242="","",E242&amp;"_"&amp;SUBSTITUTE(TRIM(F242)," ","-")&amp;IF(G242="","","_Rev"&amp;G242))</f>
        <v/>
      </c>
      <c r="O242" s="7">
        <f>IF(A242="","",IF(K242="Superseded","99 Archive",IFERROR(INDEX('Drive Map'!$B$4:$B$33,MATCH(A242,'Drive Map'!$A$4:$A$33,0)),"")&amp;IF(AND(A242="04",J242&lt;&gt;""),"/"&amp;J242,"")))</f>
        <v/>
      </c>
      <c r="P242" s="7">
        <f>IF(O242="","",IF(IFERROR(INDEX('Drive Map'!$G$4:$G$33,MATCH(O242,'Drive Map'!$B$4:$B$33,0))&amp;"","")="","",HYPERLINK(INDEX('Drive Map'!$G$4:$G$33,MATCH(O242,'Drive Map'!$B$4:$B$33,0)),"Open")))</f>
        <v/>
      </c>
      <c r="R242" s="6" t="n"/>
    </row>
    <row r="243">
      <c r="A243" s="31" t="n"/>
      <c r="D243" s="7">
        <f>IF(OR(A243="",B243=""),"",SUMPRODUCT(MAX((A$4:A$303=A243)*(B$4:B$303=B243)*C$4:C$303))+1)</f>
        <v/>
      </c>
      <c r="E243" s="7">
        <f>IF(OR(A243="",B243="",C243=""),"",A243&amp;"-"&amp;B243&amp;"-"&amp;TEXT(C243,"000"))</f>
        <v/>
      </c>
      <c r="F243" s="6" t="n"/>
      <c r="H243" s="21" t="n"/>
      <c r="N243" s="7">
        <f>IF(E243="","",E243&amp;"_"&amp;SUBSTITUTE(TRIM(F243)," ","-")&amp;IF(G243="","","_Rev"&amp;G243))</f>
        <v/>
      </c>
      <c r="O243" s="7">
        <f>IF(A243="","",IF(K243="Superseded","99 Archive",IFERROR(INDEX('Drive Map'!$B$4:$B$33,MATCH(A243,'Drive Map'!$A$4:$A$33,0)),"")&amp;IF(AND(A243="04",J243&lt;&gt;""),"/"&amp;J243,"")))</f>
        <v/>
      </c>
      <c r="P243" s="7">
        <f>IF(O243="","",IF(IFERROR(INDEX('Drive Map'!$G$4:$G$33,MATCH(O243,'Drive Map'!$B$4:$B$33,0))&amp;"","")="","",HYPERLINK(INDEX('Drive Map'!$G$4:$G$33,MATCH(O243,'Drive Map'!$B$4:$B$33,0)),"Open")))</f>
        <v/>
      </c>
      <c r="R243" s="6" t="n"/>
    </row>
    <row r="244">
      <c r="A244" s="31" t="n"/>
      <c r="D244" s="7">
        <f>IF(OR(A244="",B244=""),"",SUMPRODUCT(MAX((A$4:A$303=A244)*(B$4:B$303=B244)*C$4:C$303))+1)</f>
        <v/>
      </c>
      <c r="E244" s="7">
        <f>IF(OR(A244="",B244="",C244=""),"",A244&amp;"-"&amp;B244&amp;"-"&amp;TEXT(C244,"000"))</f>
        <v/>
      </c>
      <c r="F244" s="6" t="n"/>
      <c r="H244" s="21" t="n"/>
      <c r="N244" s="7">
        <f>IF(E244="","",E244&amp;"_"&amp;SUBSTITUTE(TRIM(F244)," ","-")&amp;IF(G244="","","_Rev"&amp;G244))</f>
        <v/>
      </c>
      <c r="O244" s="7">
        <f>IF(A244="","",IF(K244="Superseded","99 Archive",IFERROR(INDEX('Drive Map'!$B$4:$B$33,MATCH(A244,'Drive Map'!$A$4:$A$33,0)),"")&amp;IF(AND(A244="04",J244&lt;&gt;""),"/"&amp;J244,"")))</f>
        <v/>
      </c>
      <c r="P244" s="7">
        <f>IF(O244="","",IF(IFERROR(INDEX('Drive Map'!$G$4:$G$33,MATCH(O244,'Drive Map'!$B$4:$B$33,0))&amp;"","")="","",HYPERLINK(INDEX('Drive Map'!$G$4:$G$33,MATCH(O244,'Drive Map'!$B$4:$B$33,0)),"Open")))</f>
        <v/>
      </c>
      <c r="R244" s="6" t="n"/>
    </row>
    <row r="245">
      <c r="A245" s="31" t="n"/>
      <c r="D245" s="7">
        <f>IF(OR(A245="",B245=""),"",SUMPRODUCT(MAX((A$4:A$303=A245)*(B$4:B$303=B245)*C$4:C$303))+1)</f>
        <v/>
      </c>
      <c r="E245" s="7">
        <f>IF(OR(A245="",B245="",C245=""),"",A245&amp;"-"&amp;B245&amp;"-"&amp;TEXT(C245,"000"))</f>
        <v/>
      </c>
      <c r="F245" s="6" t="n"/>
      <c r="H245" s="21" t="n"/>
      <c r="N245" s="7">
        <f>IF(E245="","",E245&amp;"_"&amp;SUBSTITUTE(TRIM(F245)," ","-")&amp;IF(G245="","","_Rev"&amp;G245))</f>
        <v/>
      </c>
      <c r="O245" s="7">
        <f>IF(A245="","",IF(K245="Superseded","99 Archive",IFERROR(INDEX('Drive Map'!$B$4:$B$33,MATCH(A245,'Drive Map'!$A$4:$A$33,0)),"")&amp;IF(AND(A245="04",J245&lt;&gt;""),"/"&amp;J245,"")))</f>
        <v/>
      </c>
      <c r="P245" s="7">
        <f>IF(O245="","",IF(IFERROR(INDEX('Drive Map'!$G$4:$G$33,MATCH(O245,'Drive Map'!$B$4:$B$33,0))&amp;"","")="","",HYPERLINK(INDEX('Drive Map'!$G$4:$G$33,MATCH(O245,'Drive Map'!$B$4:$B$33,0)),"Open")))</f>
        <v/>
      </c>
      <c r="R245" s="6" t="n"/>
    </row>
    <row r="246">
      <c r="A246" s="31" t="n"/>
      <c r="D246" s="7">
        <f>IF(OR(A246="",B246=""),"",SUMPRODUCT(MAX((A$4:A$303=A246)*(B$4:B$303=B246)*C$4:C$303))+1)</f>
        <v/>
      </c>
      <c r="E246" s="7">
        <f>IF(OR(A246="",B246="",C246=""),"",A246&amp;"-"&amp;B246&amp;"-"&amp;TEXT(C246,"000"))</f>
        <v/>
      </c>
      <c r="F246" s="6" t="n"/>
      <c r="H246" s="21" t="n"/>
      <c r="N246" s="7">
        <f>IF(E246="","",E246&amp;"_"&amp;SUBSTITUTE(TRIM(F246)," ","-")&amp;IF(G246="","","_Rev"&amp;G246))</f>
        <v/>
      </c>
      <c r="O246" s="7">
        <f>IF(A246="","",IF(K246="Superseded","99 Archive",IFERROR(INDEX('Drive Map'!$B$4:$B$33,MATCH(A246,'Drive Map'!$A$4:$A$33,0)),"")&amp;IF(AND(A246="04",J246&lt;&gt;""),"/"&amp;J246,"")))</f>
        <v/>
      </c>
      <c r="P246" s="7">
        <f>IF(O246="","",IF(IFERROR(INDEX('Drive Map'!$G$4:$G$33,MATCH(O246,'Drive Map'!$B$4:$B$33,0))&amp;"","")="","",HYPERLINK(INDEX('Drive Map'!$G$4:$G$33,MATCH(O246,'Drive Map'!$B$4:$B$33,0)),"Open")))</f>
        <v/>
      </c>
      <c r="R246" s="6" t="n"/>
    </row>
    <row r="247">
      <c r="A247" s="31" t="n"/>
      <c r="D247" s="7">
        <f>IF(OR(A247="",B247=""),"",SUMPRODUCT(MAX((A$4:A$303=A247)*(B$4:B$303=B247)*C$4:C$303))+1)</f>
        <v/>
      </c>
      <c r="E247" s="7">
        <f>IF(OR(A247="",B247="",C247=""),"",A247&amp;"-"&amp;B247&amp;"-"&amp;TEXT(C247,"000"))</f>
        <v/>
      </c>
      <c r="F247" s="6" t="n"/>
      <c r="H247" s="21" t="n"/>
      <c r="N247" s="7">
        <f>IF(E247="","",E247&amp;"_"&amp;SUBSTITUTE(TRIM(F247)," ","-")&amp;IF(G247="","","_Rev"&amp;G247))</f>
        <v/>
      </c>
      <c r="O247" s="7">
        <f>IF(A247="","",IF(K247="Superseded","99 Archive",IFERROR(INDEX('Drive Map'!$B$4:$B$33,MATCH(A247,'Drive Map'!$A$4:$A$33,0)),"")&amp;IF(AND(A247="04",J247&lt;&gt;""),"/"&amp;J247,"")))</f>
        <v/>
      </c>
      <c r="P247" s="7">
        <f>IF(O247="","",IF(IFERROR(INDEX('Drive Map'!$G$4:$G$33,MATCH(O247,'Drive Map'!$B$4:$B$33,0))&amp;"","")="","",HYPERLINK(INDEX('Drive Map'!$G$4:$G$33,MATCH(O247,'Drive Map'!$B$4:$B$33,0)),"Open")))</f>
        <v/>
      </c>
      <c r="R247" s="6" t="n"/>
    </row>
    <row r="248">
      <c r="A248" s="31" t="n"/>
      <c r="D248" s="7">
        <f>IF(OR(A248="",B248=""),"",SUMPRODUCT(MAX((A$4:A$303=A248)*(B$4:B$303=B248)*C$4:C$303))+1)</f>
        <v/>
      </c>
      <c r="E248" s="7">
        <f>IF(OR(A248="",B248="",C248=""),"",A248&amp;"-"&amp;B248&amp;"-"&amp;TEXT(C248,"000"))</f>
        <v/>
      </c>
      <c r="F248" s="6" t="n"/>
      <c r="H248" s="21" t="n"/>
      <c r="N248" s="7">
        <f>IF(E248="","",E248&amp;"_"&amp;SUBSTITUTE(TRIM(F248)," ","-")&amp;IF(G248="","","_Rev"&amp;G248))</f>
        <v/>
      </c>
      <c r="O248" s="7">
        <f>IF(A248="","",IF(K248="Superseded","99 Archive",IFERROR(INDEX('Drive Map'!$B$4:$B$33,MATCH(A248,'Drive Map'!$A$4:$A$33,0)),"")&amp;IF(AND(A248="04",J248&lt;&gt;""),"/"&amp;J248,"")))</f>
        <v/>
      </c>
      <c r="P248" s="7">
        <f>IF(O248="","",IF(IFERROR(INDEX('Drive Map'!$G$4:$G$33,MATCH(O248,'Drive Map'!$B$4:$B$33,0))&amp;"","")="","",HYPERLINK(INDEX('Drive Map'!$G$4:$G$33,MATCH(O248,'Drive Map'!$B$4:$B$33,0)),"Open")))</f>
        <v/>
      </c>
      <c r="R248" s="6" t="n"/>
    </row>
    <row r="249">
      <c r="A249" s="31" t="n"/>
      <c r="D249" s="7">
        <f>IF(OR(A249="",B249=""),"",SUMPRODUCT(MAX((A$4:A$303=A249)*(B$4:B$303=B249)*C$4:C$303))+1)</f>
        <v/>
      </c>
      <c r="E249" s="7">
        <f>IF(OR(A249="",B249="",C249=""),"",A249&amp;"-"&amp;B249&amp;"-"&amp;TEXT(C249,"000"))</f>
        <v/>
      </c>
      <c r="F249" s="6" t="n"/>
      <c r="H249" s="21" t="n"/>
      <c r="N249" s="7">
        <f>IF(E249="","",E249&amp;"_"&amp;SUBSTITUTE(TRIM(F249)," ","-")&amp;IF(G249="","","_Rev"&amp;G249))</f>
        <v/>
      </c>
      <c r="O249" s="7">
        <f>IF(A249="","",IF(K249="Superseded","99 Archive",IFERROR(INDEX('Drive Map'!$B$4:$B$33,MATCH(A249,'Drive Map'!$A$4:$A$33,0)),"")&amp;IF(AND(A249="04",J249&lt;&gt;""),"/"&amp;J249,"")))</f>
        <v/>
      </c>
      <c r="P249" s="7">
        <f>IF(O249="","",IF(IFERROR(INDEX('Drive Map'!$G$4:$G$33,MATCH(O249,'Drive Map'!$B$4:$B$33,0))&amp;"","")="","",HYPERLINK(INDEX('Drive Map'!$G$4:$G$33,MATCH(O249,'Drive Map'!$B$4:$B$33,0)),"Open")))</f>
        <v/>
      </c>
      <c r="R249" s="6" t="n"/>
    </row>
    <row r="250">
      <c r="A250" s="31" t="n"/>
      <c r="D250" s="7">
        <f>IF(OR(A250="",B250=""),"",SUMPRODUCT(MAX((A$4:A$303=A250)*(B$4:B$303=B250)*C$4:C$303))+1)</f>
        <v/>
      </c>
      <c r="E250" s="7">
        <f>IF(OR(A250="",B250="",C250=""),"",A250&amp;"-"&amp;B250&amp;"-"&amp;TEXT(C250,"000"))</f>
        <v/>
      </c>
      <c r="F250" s="6" t="n"/>
      <c r="H250" s="21" t="n"/>
      <c r="N250" s="7">
        <f>IF(E250="","",E250&amp;"_"&amp;SUBSTITUTE(TRIM(F250)," ","-")&amp;IF(G250="","","_Rev"&amp;G250))</f>
        <v/>
      </c>
      <c r="O250" s="7">
        <f>IF(A250="","",IF(K250="Superseded","99 Archive",IFERROR(INDEX('Drive Map'!$B$4:$B$33,MATCH(A250,'Drive Map'!$A$4:$A$33,0)),"")&amp;IF(AND(A250="04",J250&lt;&gt;""),"/"&amp;J250,"")))</f>
        <v/>
      </c>
      <c r="P250" s="7">
        <f>IF(O250="","",IF(IFERROR(INDEX('Drive Map'!$G$4:$G$33,MATCH(O250,'Drive Map'!$B$4:$B$33,0))&amp;"","")="","",HYPERLINK(INDEX('Drive Map'!$G$4:$G$33,MATCH(O250,'Drive Map'!$B$4:$B$33,0)),"Open")))</f>
        <v/>
      </c>
      <c r="R250" s="6" t="n"/>
    </row>
    <row r="251">
      <c r="A251" s="31" t="n"/>
      <c r="D251" s="7">
        <f>IF(OR(A251="",B251=""),"",SUMPRODUCT(MAX((A$4:A$303=A251)*(B$4:B$303=B251)*C$4:C$303))+1)</f>
        <v/>
      </c>
      <c r="E251" s="7">
        <f>IF(OR(A251="",B251="",C251=""),"",A251&amp;"-"&amp;B251&amp;"-"&amp;TEXT(C251,"000"))</f>
        <v/>
      </c>
      <c r="F251" s="6" t="n"/>
      <c r="H251" s="21" t="n"/>
      <c r="N251" s="7">
        <f>IF(E251="","",E251&amp;"_"&amp;SUBSTITUTE(TRIM(F251)," ","-")&amp;IF(G251="","","_Rev"&amp;G251))</f>
        <v/>
      </c>
      <c r="O251" s="7">
        <f>IF(A251="","",IF(K251="Superseded","99 Archive",IFERROR(INDEX('Drive Map'!$B$4:$B$33,MATCH(A251,'Drive Map'!$A$4:$A$33,0)),"")&amp;IF(AND(A251="04",J251&lt;&gt;""),"/"&amp;J251,"")))</f>
        <v/>
      </c>
      <c r="P251" s="7">
        <f>IF(O251="","",IF(IFERROR(INDEX('Drive Map'!$G$4:$G$33,MATCH(O251,'Drive Map'!$B$4:$B$33,0))&amp;"","")="","",HYPERLINK(INDEX('Drive Map'!$G$4:$G$33,MATCH(O251,'Drive Map'!$B$4:$B$33,0)),"Open")))</f>
        <v/>
      </c>
      <c r="R251" s="6" t="n"/>
    </row>
    <row r="252">
      <c r="A252" s="31" t="n"/>
      <c r="D252" s="7">
        <f>IF(OR(A252="",B252=""),"",SUMPRODUCT(MAX((A$4:A$303=A252)*(B$4:B$303=B252)*C$4:C$303))+1)</f>
        <v/>
      </c>
      <c r="E252" s="7">
        <f>IF(OR(A252="",B252="",C252=""),"",A252&amp;"-"&amp;B252&amp;"-"&amp;TEXT(C252,"000"))</f>
        <v/>
      </c>
      <c r="F252" s="6" t="n"/>
      <c r="H252" s="21" t="n"/>
      <c r="N252" s="7">
        <f>IF(E252="","",E252&amp;"_"&amp;SUBSTITUTE(TRIM(F252)," ","-")&amp;IF(G252="","","_Rev"&amp;G252))</f>
        <v/>
      </c>
      <c r="O252" s="7">
        <f>IF(A252="","",IF(K252="Superseded","99 Archive",IFERROR(INDEX('Drive Map'!$B$4:$B$33,MATCH(A252,'Drive Map'!$A$4:$A$33,0)),"")&amp;IF(AND(A252="04",J252&lt;&gt;""),"/"&amp;J252,"")))</f>
        <v/>
      </c>
      <c r="P252" s="7">
        <f>IF(O252="","",IF(IFERROR(INDEX('Drive Map'!$G$4:$G$33,MATCH(O252,'Drive Map'!$B$4:$B$33,0))&amp;"","")="","",HYPERLINK(INDEX('Drive Map'!$G$4:$G$33,MATCH(O252,'Drive Map'!$B$4:$B$33,0)),"Open")))</f>
        <v/>
      </c>
      <c r="R252" s="6" t="n"/>
    </row>
    <row r="253">
      <c r="A253" s="31" t="n"/>
      <c r="D253" s="7">
        <f>IF(OR(A253="",B253=""),"",SUMPRODUCT(MAX((A$4:A$303=A253)*(B$4:B$303=B253)*C$4:C$303))+1)</f>
        <v/>
      </c>
      <c r="E253" s="7">
        <f>IF(OR(A253="",B253="",C253=""),"",A253&amp;"-"&amp;B253&amp;"-"&amp;TEXT(C253,"000"))</f>
        <v/>
      </c>
      <c r="F253" s="6" t="n"/>
      <c r="H253" s="21" t="n"/>
      <c r="N253" s="7">
        <f>IF(E253="","",E253&amp;"_"&amp;SUBSTITUTE(TRIM(F253)," ","-")&amp;IF(G253="","","_Rev"&amp;G253))</f>
        <v/>
      </c>
      <c r="O253" s="7">
        <f>IF(A253="","",IF(K253="Superseded","99 Archive",IFERROR(INDEX('Drive Map'!$B$4:$B$33,MATCH(A253,'Drive Map'!$A$4:$A$33,0)),"")&amp;IF(AND(A253="04",J253&lt;&gt;""),"/"&amp;J253,"")))</f>
        <v/>
      </c>
      <c r="P253" s="7">
        <f>IF(O253="","",IF(IFERROR(INDEX('Drive Map'!$G$4:$G$33,MATCH(O253,'Drive Map'!$B$4:$B$33,0))&amp;"","")="","",HYPERLINK(INDEX('Drive Map'!$G$4:$G$33,MATCH(O253,'Drive Map'!$B$4:$B$33,0)),"Open")))</f>
        <v/>
      </c>
      <c r="R253" s="6" t="n"/>
    </row>
    <row r="254">
      <c r="A254" s="31" t="n"/>
      <c r="D254" s="7">
        <f>IF(OR(A254="",B254=""),"",SUMPRODUCT(MAX((A$4:A$303=A254)*(B$4:B$303=B254)*C$4:C$303))+1)</f>
        <v/>
      </c>
      <c r="E254" s="7">
        <f>IF(OR(A254="",B254="",C254=""),"",A254&amp;"-"&amp;B254&amp;"-"&amp;TEXT(C254,"000"))</f>
        <v/>
      </c>
      <c r="F254" s="6" t="n"/>
      <c r="H254" s="21" t="n"/>
      <c r="N254" s="7">
        <f>IF(E254="","",E254&amp;"_"&amp;SUBSTITUTE(TRIM(F254)," ","-")&amp;IF(G254="","","_Rev"&amp;G254))</f>
        <v/>
      </c>
      <c r="O254" s="7">
        <f>IF(A254="","",IF(K254="Superseded","99 Archive",IFERROR(INDEX('Drive Map'!$B$4:$B$33,MATCH(A254,'Drive Map'!$A$4:$A$33,0)),"")&amp;IF(AND(A254="04",J254&lt;&gt;""),"/"&amp;J254,"")))</f>
        <v/>
      </c>
      <c r="P254" s="7">
        <f>IF(O254="","",IF(IFERROR(INDEX('Drive Map'!$G$4:$G$33,MATCH(O254,'Drive Map'!$B$4:$B$33,0))&amp;"","")="","",HYPERLINK(INDEX('Drive Map'!$G$4:$G$33,MATCH(O254,'Drive Map'!$B$4:$B$33,0)),"Open")))</f>
        <v/>
      </c>
      <c r="R254" s="6" t="n"/>
    </row>
    <row r="255">
      <c r="A255" s="31" t="n"/>
      <c r="D255" s="7">
        <f>IF(OR(A255="",B255=""),"",SUMPRODUCT(MAX((A$4:A$303=A255)*(B$4:B$303=B255)*C$4:C$303))+1)</f>
        <v/>
      </c>
      <c r="E255" s="7">
        <f>IF(OR(A255="",B255="",C255=""),"",A255&amp;"-"&amp;B255&amp;"-"&amp;TEXT(C255,"000"))</f>
        <v/>
      </c>
      <c r="F255" s="6" t="n"/>
      <c r="H255" s="21" t="n"/>
      <c r="N255" s="7">
        <f>IF(E255="","",E255&amp;"_"&amp;SUBSTITUTE(TRIM(F255)," ","-")&amp;IF(G255="","","_Rev"&amp;G255))</f>
        <v/>
      </c>
      <c r="O255" s="7">
        <f>IF(A255="","",IF(K255="Superseded","99 Archive",IFERROR(INDEX('Drive Map'!$B$4:$B$33,MATCH(A255,'Drive Map'!$A$4:$A$33,0)),"")&amp;IF(AND(A255="04",J255&lt;&gt;""),"/"&amp;J255,"")))</f>
        <v/>
      </c>
      <c r="P255" s="7">
        <f>IF(O255="","",IF(IFERROR(INDEX('Drive Map'!$G$4:$G$33,MATCH(O255,'Drive Map'!$B$4:$B$33,0))&amp;"","")="","",HYPERLINK(INDEX('Drive Map'!$G$4:$G$33,MATCH(O255,'Drive Map'!$B$4:$B$33,0)),"Open")))</f>
        <v/>
      </c>
      <c r="R255" s="6" t="n"/>
    </row>
    <row r="256">
      <c r="A256" s="31" t="n"/>
      <c r="D256" s="7">
        <f>IF(OR(A256="",B256=""),"",SUMPRODUCT(MAX((A$4:A$303=A256)*(B$4:B$303=B256)*C$4:C$303))+1)</f>
        <v/>
      </c>
      <c r="E256" s="7">
        <f>IF(OR(A256="",B256="",C256=""),"",A256&amp;"-"&amp;B256&amp;"-"&amp;TEXT(C256,"000"))</f>
        <v/>
      </c>
      <c r="F256" s="6" t="n"/>
      <c r="H256" s="21" t="n"/>
      <c r="N256" s="7">
        <f>IF(E256="","",E256&amp;"_"&amp;SUBSTITUTE(TRIM(F256)," ","-")&amp;IF(G256="","","_Rev"&amp;G256))</f>
        <v/>
      </c>
      <c r="O256" s="7">
        <f>IF(A256="","",IF(K256="Superseded","99 Archive",IFERROR(INDEX('Drive Map'!$B$4:$B$33,MATCH(A256,'Drive Map'!$A$4:$A$33,0)),"")&amp;IF(AND(A256="04",J256&lt;&gt;""),"/"&amp;J256,"")))</f>
        <v/>
      </c>
      <c r="P256" s="7">
        <f>IF(O256="","",IF(IFERROR(INDEX('Drive Map'!$G$4:$G$33,MATCH(O256,'Drive Map'!$B$4:$B$33,0))&amp;"","")="","",HYPERLINK(INDEX('Drive Map'!$G$4:$G$33,MATCH(O256,'Drive Map'!$B$4:$B$33,0)),"Open")))</f>
        <v/>
      </c>
      <c r="R256" s="6" t="n"/>
    </row>
    <row r="257">
      <c r="A257" s="31" t="n"/>
      <c r="D257" s="7">
        <f>IF(OR(A257="",B257=""),"",SUMPRODUCT(MAX((A$4:A$303=A257)*(B$4:B$303=B257)*C$4:C$303))+1)</f>
        <v/>
      </c>
      <c r="E257" s="7">
        <f>IF(OR(A257="",B257="",C257=""),"",A257&amp;"-"&amp;B257&amp;"-"&amp;TEXT(C257,"000"))</f>
        <v/>
      </c>
      <c r="F257" s="6" t="n"/>
      <c r="H257" s="21" t="n"/>
      <c r="N257" s="7">
        <f>IF(E257="","",E257&amp;"_"&amp;SUBSTITUTE(TRIM(F257)," ","-")&amp;IF(G257="","","_Rev"&amp;G257))</f>
        <v/>
      </c>
      <c r="O257" s="7">
        <f>IF(A257="","",IF(K257="Superseded","99 Archive",IFERROR(INDEX('Drive Map'!$B$4:$B$33,MATCH(A257,'Drive Map'!$A$4:$A$33,0)),"")&amp;IF(AND(A257="04",J257&lt;&gt;""),"/"&amp;J257,"")))</f>
        <v/>
      </c>
      <c r="P257" s="7">
        <f>IF(O257="","",IF(IFERROR(INDEX('Drive Map'!$G$4:$G$33,MATCH(O257,'Drive Map'!$B$4:$B$33,0))&amp;"","")="","",HYPERLINK(INDEX('Drive Map'!$G$4:$G$33,MATCH(O257,'Drive Map'!$B$4:$B$33,0)),"Open")))</f>
        <v/>
      </c>
      <c r="R257" s="6" t="n"/>
    </row>
    <row r="258">
      <c r="A258" s="31" t="n"/>
      <c r="D258" s="7">
        <f>IF(OR(A258="",B258=""),"",SUMPRODUCT(MAX((A$4:A$303=A258)*(B$4:B$303=B258)*C$4:C$303))+1)</f>
        <v/>
      </c>
      <c r="E258" s="7">
        <f>IF(OR(A258="",B258="",C258=""),"",A258&amp;"-"&amp;B258&amp;"-"&amp;TEXT(C258,"000"))</f>
        <v/>
      </c>
      <c r="F258" s="6" t="n"/>
      <c r="H258" s="21" t="n"/>
      <c r="N258" s="7">
        <f>IF(E258="","",E258&amp;"_"&amp;SUBSTITUTE(TRIM(F258)," ","-")&amp;IF(G258="","","_Rev"&amp;G258))</f>
        <v/>
      </c>
      <c r="O258" s="7">
        <f>IF(A258="","",IF(K258="Superseded","99 Archive",IFERROR(INDEX('Drive Map'!$B$4:$B$33,MATCH(A258,'Drive Map'!$A$4:$A$33,0)),"")&amp;IF(AND(A258="04",J258&lt;&gt;""),"/"&amp;J258,"")))</f>
        <v/>
      </c>
      <c r="P258" s="7">
        <f>IF(O258="","",IF(IFERROR(INDEX('Drive Map'!$G$4:$G$33,MATCH(O258,'Drive Map'!$B$4:$B$33,0))&amp;"","")="","",HYPERLINK(INDEX('Drive Map'!$G$4:$G$33,MATCH(O258,'Drive Map'!$B$4:$B$33,0)),"Open")))</f>
        <v/>
      </c>
      <c r="R258" s="6" t="n"/>
    </row>
    <row r="259">
      <c r="A259" s="31" t="n"/>
      <c r="D259" s="7">
        <f>IF(OR(A259="",B259=""),"",SUMPRODUCT(MAX((A$4:A$303=A259)*(B$4:B$303=B259)*C$4:C$303))+1)</f>
        <v/>
      </c>
      <c r="E259" s="7">
        <f>IF(OR(A259="",B259="",C259=""),"",A259&amp;"-"&amp;B259&amp;"-"&amp;TEXT(C259,"000"))</f>
        <v/>
      </c>
      <c r="F259" s="6" t="n"/>
      <c r="H259" s="21" t="n"/>
      <c r="N259" s="7">
        <f>IF(E259="","",E259&amp;"_"&amp;SUBSTITUTE(TRIM(F259)," ","-")&amp;IF(G259="","","_Rev"&amp;G259))</f>
        <v/>
      </c>
      <c r="O259" s="7">
        <f>IF(A259="","",IF(K259="Superseded","99 Archive",IFERROR(INDEX('Drive Map'!$B$4:$B$33,MATCH(A259,'Drive Map'!$A$4:$A$33,0)),"")&amp;IF(AND(A259="04",J259&lt;&gt;""),"/"&amp;J259,"")))</f>
        <v/>
      </c>
      <c r="P259" s="7">
        <f>IF(O259="","",IF(IFERROR(INDEX('Drive Map'!$G$4:$G$33,MATCH(O259,'Drive Map'!$B$4:$B$33,0))&amp;"","")="","",HYPERLINK(INDEX('Drive Map'!$G$4:$G$33,MATCH(O259,'Drive Map'!$B$4:$B$33,0)),"Open")))</f>
        <v/>
      </c>
      <c r="R259" s="6" t="n"/>
    </row>
    <row r="260">
      <c r="A260" s="31" t="n"/>
      <c r="D260" s="7">
        <f>IF(OR(A260="",B260=""),"",SUMPRODUCT(MAX((A$4:A$303=A260)*(B$4:B$303=B260)*C$4:C$303))+1)</f>
        <v/>
      </c>
      <c r="E260" s="7">
        <f>IF(OR(A260="",B260="",C260=""),"",A260&amp;"-"&amp;B260&amp;"-"&amp;TEXT(C260,"000"))</f>
        <v/>
      </c>
      <c r="F260" s="6" t="n"/>
      <c r="H260" s="21" t="n"/>
      <c r="N260" s="7">
        <f>IF(E260="","",E260&amp;"_"&amp;SUBSTITUTE(TRIM(F260)," ","-")&amp;IF(G260="","","_Rev"&amp;G260))</f>
        <v/>
      </c>
      <c r="O260" s="7">
        <f>IF(A260="","",IF(K260="Superseded","99 Archive",IFERROR(INDEX('Drive Map'!$B$4:$B$33,MATCH(A260,'Drive Map'!$A$4:$A$33,0)),"")&amp;IF(AND(A260="04",J260&lt;&gt;""),"/"&amp;J260,"")))</f>
        <v/>
      </c>
      <c r="P260" s="7">
        <f>IF(O260="","",IF(IFERROR(INDEX('Drive Map'!$G$4:$G$33,MATCH(O260,'Drive Map'!$B$4:$B$33,0))&amp;"","")="","",HYPERLINK(INDEX('Drive Map'!$G$4:$G$33,MATCH(O260,'Drive Map'!$B$4:$B$33,0)),"Open")))</f>
        <v/>
      </c>
      <c r="R260" s="6" t="n"/>
    </row>
    <row r="261">
      <c r="A261" s="31" t="n"/>
      <c r="D261" s="7">
        <f>IF(OR(A261="",B261=""),"",SUMPRODUCT(MAX((A$4:A$303=A261)*(B$4:B$303=B261)*C$4:C$303))+1)</f>
        <v/>
      </c>
      <c r="E261" s="7">
        <f>IF(OR(A261="",B261="",C261=""),"",A261&amp;"-"&amp;B261&amp;"-"&amp;TEXT(C261,"000"))</f>
        <v/>
      </c>
      <c r="F261" s="6" t="n"/>
      <c r="H261" s="21" t="n"/>
      <c r="N261" s="7">
        <f>IF(E261="","",E261&amp;"_"&amp;SUBSTITUTE(TRIM(F261)," ","-")&amp;IF(G261="","","_Rev"&amp;G261))</f>
        <v/>
      </c>
      <c r="O261" s="7">
        <f>IF(A261="","",IF(K261="Superseded","99 Archive",IFERROR(INDEX('Drive Map'!$B$4:$B$33,MATCH(A261,'Drive Map'!$A$4:$A$33,0)),"")&amp;IF(AND(A261="04",J261&lt;&gt;""),"/"&amp;J261,"")))</f>
        <v/>
      </c>
      <c r="P261" s="7">
        <f>IF(O261="","",IF(IFERROR(INDEX('Drive Map'!$G$4:$G$33,MATCH(O261,'Drive Map'!$B$4:$B$33,0))&amp;"","")="","",HYPERLINK(INDEX('Drive Map'!$G$4:$G$33,MATCH(O261,'Drive Map'!$B$4:$B$33,0)),"Open")))</f>
        <v/>
      </c>
      <c r="R261" s="6" t="n"/>
    </row>
    <row r="262">
      <c r="A262" s="31" t="n"/>
      <c r="D262" s="7">
        <f>IF(OR(A262="",B262=""),"",SUMPRODUCT(MAX((A$4:A$303=A262)*(B$4:B$303=B262)*C$4:C$303))+1)</f>
        <v/>
      </c>
      <c r="E262" s="7">
        <f>IF(OR(A262="",B262="",C262=""),"",A262&amp;"-"&amp;B262&amp;"-"&amp;TEXT(C262,"000"))</f>
        <v/>
      </c>
      <c r="F262" s="6" t="n"/>
      <c r="H262" s="21" t="n"/>
      <c r="N262" s="7">
        <f>IF(E262="","",E262&amp;"_"&amp;SUBSTITUTE(TRIM(F262)," ","-")&amp;IF(G262="","","_Rev"&amp;G262))</f>
        <v/>
      </c>
      <c r="O262" s="7">
        <f>IF(A262="","",IF(K262="Superseded","99 Archive",IFERROR(INDEX('Drive Map'!$B$4:$B$33,MATCH(A262,'Drive Map'!$A$4:$A$33,0)),"")&amp;IF(AND(A262="04",J262&lt;&gt;""),"/"&amp;J262,"")))</f>
        <v/>
      </c>
      <c r="P262" s="7">
        <f>IF(O262="","",IF(IFERROR(INDEX('Drive Map'!$G$4:$G$33,MATCH(O262,'Drive Map'!$B$4:$B$33,0))&amp;"","")="","",HYPERLINK(INDEX('Drive Map'!$G$4:$G$33,MATCH(O262,'Drive Map'!$B$4:$B$33,0)),"Open")))</f>
        <v/>
      </c>
      <c r="R262" s="6" t="n"/>
    </row>
    <row r="263">
      <c r="A263" s="31" t="n"/>
      <c r="D263" s="7">
        <f>IF(OR(A263="",B263=""),"",SUMPRODUCT(MAX((A$4:A$303=A263)*(B$4:B$303=B263)*C$4:C$303))+1)</f>
        <v/>
      </c>
      <c r="E263" s="7">
        <f>IF(OR(A263="",B263="",C263=""),"",A263&amp;"-"&amp;B263&amp;"-"&amp;TEXT(C263,"000"))</f>
        <v/>
      </c>
      <c r="F263" s="6" t="n"/>
      <c r="H263" s="21" t="n"/>
      <c r="N263" s="7">
        <f>IF(E263="","",E263&amp;"_"&amp;SUBSTITUTE(TRIM(F263)," ","-")&amp;IF(G263="","","_Rev"&amp;G263))</f>
        <v/>
      </c>
      <c r="O263" s="7">
        <f>IF(A263="","",IF(K263="Superseded","99 Archive",IFERROR(INDEX('Drive Map'!$B$4:$B$33,MATCH(A263,'Drive Map'!$A$4:$A$33,0)),"")&amp;IF(AND(A263="04",J263&lt;&gt;""),"/"&amp;J263,"")))</f>
        <v/>
      </c>
      <c r="P263" s="7">
        <f>IF(O263="","",IF(IFERROR(INDEX('Drive Map'!$G$4:$G$33,MATCH(O263,'Drive Map'!$B$4:$B$33,0))&amp;"","")="","",HYPERLINK(INDEX('Drive Map'!$G$4:$G$33,MATCH(O263,'Drive Map'!$B$4:$B$33,0)),"Open")))</f>
        <v/>
      </c>
      <c r="R263" s="6" t="n"/>
    </row>
    <row r="264">
      <c r="A264" s="31" t="n"/>
      <c r="D264" s="7">
        <f>IF(OR(A264="",B264=""),"",SUMPRODUCT(MAX((A$4:A$303=A264)*(B$4:B$303=B264)*C$4:C$303))+1)</f>
        <v/>
      </c>
      <c r="E264" s="7">
        <f>IF(OR(A264="",B264="",C264=""),"",A264&amp;"-"&amp;B264&amp;"-"&amp;TEXT(C264,"000"))</f>
        <v/>
      </c>
      <c r="F264" s="6" t="n"/>
      <c r="H264" s="21" t="n"/>
      <c r="N264" s="7">
        <f>IF(E264="","",E264&amp;"_"&amp;SUBSTITUTE(TRIM(F264)," ","-")&amp;IF(G264="","","_Rev"&amp;G264))</f>
        <v/>
      </c>
      <c r="O264" s="7">
        <f>IF(A264="","",IF(K264="Superseded","99 Archive",IFERROR(INDEX('Drive Map'!$B$4:$B$33,MATCH(A264,'Drive Map'!$A$4:$A$33,0)),"")&amp;IF(AND(A264="04",J264&lt;&gt;""),"/"&amp;J264,"")))</f>
        <v/>
      </c>
      <c r="P264" s="7">
        <f>IF(O264="","",IF(IFERROR(INDEX('Drive Map'!$G$4:$G$33,MATCH(O264,'Drive Map'!$B$4:$B$33,0))&amp;"","")="","",HYPERLINK(INDEX('Drive Map'!$G$4:$G$33,MATCH(O264,'Drive Map'!$B$4:$B$33,0)),"Open")))</f>
        <v/>
      </c>
      <c r="R264" s="6" t="n"/>
    </row>
    <row r="265">
      <c r="A265" s="31" t="n"/>
      <c r="D265" s="7">
        <f>IF(OR(A265="",B265=""),"",SUMPRODUCT(MAX((A$4:A$303=A265)*(B$4:B$303=B265)*C$4:C$303))+1)</f>
        <v/>
      </c>
      <c r="E265" s="7">
        <f>IF(OR(A265="",B265="",C265=""),"",A265&amp;"-"&amp;B265&amp;"-"&amp;TEXT(C265,"000"))</f>
        <v/>
      </c>
      <c r="F265" s="6" t="n"/>
      <c r="H265" s="21" t="n"/>
      <c r="N265" s="7">
        <f>IF(E265="","",E265&amp;"_"&amp;SUBSTITUTE(TRIM(F265)," ","-")&amp;IF(G265="","","_Rev"&amp;G265))</f>
        <v/>
      </c>
      <c r="O265" s="7">
        <f>IF(A265="","",IF(K265="Superseded","99 Archive",IFERROR(INDEX('Drive Map'!$B$4:$B$33,MATCH(A265,'Drive Map'!$A$4:$A$33,0)),"")&amp;IF(AND(A265="04",J265&lt;&gt;""),"/"&amp;J265,"")))</f>
        <v/>
      </c>
      <c r="P265" s="7">
        <f>IF(O265="","",IF(IFERROR(INDEX('Drive Map'!$G$4:$G$33,MATCH(O265,'Drive Map'!$B$4:$B$33,0))&amp;"","")="","",HYPERLINK(INDEX('Drive Map'!$G$4:$G$33,MATCH(O265,'Drive Map'!$B$4:$B$33,0)),"Open")))</f>
        <v/>
      </c>
      <c r="R265" s="6" t="n"/>
    </row>
    <row r="266">
      <c r="A266" s="31" t="n"/>
      <c r="D266" s="7">
        <f>IF(OR(A266="",B266=""),"",SUMPRODUCT(MAX((A$4:A$303=A266)*(B$4:B$303=B266)*C$4:C$303))+1)</f>
        <v/>
      </c>
      <c r="E266" s="7">
        <f>IF(OR(A266="",B266="",C266=""),"",A266&amp;"-"&amp;B266&amp;"-"&amp;TEXT(C266,"000"))</f>
        <v/>
      </c>
      <c r="F266" s="6" t="n"/>
      <c r="H266" s="21" t="n"/>
      <c r="N266" s="7">
        <f>IF(E266="","",E266&amp;"_"&amp;SUBSTITUTE(TRIM(F266)," ","-")&amp;IF(G266="","","_Rev"&amp;G266))</f>
        <v/>
      </c>
      <c r="O266" s="7">
        <f>IF(A266="","",IF(K266="Superseded","99 Archive",IFERROR(INDEX('Drive Map'!$B$4:$B$33,MATCH(A266,'Drive Map'!$A$4:$A$33,0)),"")&amp;IF(AND(A266="04",J266&lt;&gt;""),"/"&amp;J266,"")))</f>
        <v/>
      </c>
      <c r="P266" s="7">
        <f>IF(O266="","",IF(IFERROR(INDEX('Drive Map'!$G$4:$G$33,MATCH(O266,'Drive Map'!$B$4:$B$33,0))&amp;"","")="","",HYPERLINK(INDEX('Drive Map'!$G$4:$G$33,MATCH(O266,'Drive Map'!$B$4:$B$33,0)),"Open")))</f>
        <v/>
      </c>
      <c r="R266" s="6" t="n"/>
    </row>
    <row r="267">
      <c r="A267" s="31" t="n"/>
      <c r="D267" s="7">
        <f>IF(OR(A267="",B267=""),"",SUMPRODUCT(MAX((A$4:A$303=A267)*(B$4:B$303=B267)*C$4:C$303))+1)</f>
        <v/>
      </c>
      <c r="E267" s="7">
        <f>IF(OR(A267="",B267="",C267=""),"",A267&amp;"-"&amp;B267&amp;"-"&amp;TEXT(C267,"000"))</f>
        <v/>
      </c>
      <c r="F267" s="6" t="n"/>
      <c r="H267" s="21" t="n"/>
      <c r="N267" s="7">
        <f>IF(E267="","",E267&amp;"_"&amp;SUBSTITUTE(TRIM(F267)," ","-")&amp;IF(G267="","","_Rev"&amp;G267))</f>
        <v/>
      </c>
      <c r="O267" s="7">
        <f>IF(A267="","",IF(K267="Superseded","99 Archive",IFERROR(INDEX('Drive Map'!$B$4:$B$33,MATCH(A267,'Drive Map'!$A$4:$A$33,0)),"")&amp;IF(AND(A267="04",J267&lt;&gt;""),"/"&amp;J267,"")))</f>
        <v/>
      </c>
      <c r="P267" s="7">
        <f>IF(O267="","",IF(IFERROR(INDEX('Drive Map'!$G$4:$G$33,MATCH(O267,'Drive Map'!$B$4:$B$33,0))&amp;"","")="","",HYPERLINK(INDEX('Drive Map'!$G$4:$G$33,MATCH(O267,'Drive Map'!$B$4:$B$33,0)),"Open")))</f>
        <v/>
      </c>
      <c r="R267" s="6" t="n"/>
    </row>
    <row r="268">
      <c r="A268" s="31" t="n"/>
      <c r="D268" s="7">
        <f>IF(OR(A268="",B268=""),"",SUMPRODUCT(MAX((A$4:A$303=A268)*(B$4:B$303=B268)*C$4:C$303))+1)</f>
        <v/>
      </c>
      <c r="E268" s="7">
        <f>IF(OR(A268="",B268="",C268=""),"",A268&amp;"-"&amp;B268&amp;"-"&amp;TEXT(C268,"000"))</f>
        <v/>
      </c>
      <c r="F268" s="6" t="n"/>
      <c r="H268" s="21" t="n"/>
      <c r="N268" s="7">
        <f>IF(E268="","",E268&amp;"_"&amp;SUBSTITUTE(TRIM(F268)," ","-")&amp;IF(G268="","","_Rev"&amp;G268))</f>
        <v/>
      </c>
      <c r="O268" s="7">
        <f>IF(A268="","",IF(K268="Superseded","99 Archive",IFERROR(INDEX('Drive Map'!$B$4:$B$33,MATCH(A268,'Drive Map'!$A$4:$A$33,0)),"")&amp;IF(AND(A268="04",J268&lt;&gt;""),"/"&amp;J268,"")))</f>
        <v/>
      </c>
      <c r="P268" s="7">
        <f>IF(O268="","",IF(IFERROR(INDEX('Drive Map'!$G$4:$G$33,MATCH(O268,'Drive Map'!$B$4:$B$33,0))&amp;"","")="","",HYPERLINK(INDEX('Drive Map'!$G$4:$G$33,MATCH(O268,'Drive Map'!$B$4:$B$33,0)),"Open")))</f>
        <v/>
      </c>
      <c r="R268" s="6" t="n"/>
    </row>
    <row r="269">
      <c r="A269" s="31" t="n"/>
      <c r="D269" s="7">
        <f>IF(OR(A269="",B269=""),"",SUMPRODUCT(MAX((A$4:A$303=A269)*(B$4:B$303=B269)*C$4:C$303))+1)</f>
        <v/>
      </c>
      <c r="E269" s="7">
        <f>IF(OR(A269="",B269="",C269=""),"",A269&amp;"-"&amp;B269&amp;"-"&amp;TEXT(C269,"000"))</f>
        <v/>
      </c>
      <c r="F269" s="6" t="n"/>
      <c r="H269" s="21" t="n"/>
      <c r="N269" s="7">
        <f>IF(E269="","",E269&amp;"_"&amp;SUBSTITUTE(TRIM(F269)," ","-")&amp;IF(G269="","","_Rev"&amp;G269))</f>
        <v/>
      </c>
      <c r="O269" s="7">
        <f>IF(A269="","",IF(K269="Superseded","99 Archive",IFERROR(INDEX('Drive Map'!$B$4:$B$33,MATCH(A269,'Drive Map'!$A$4:$A$33,0)),"")&amp;IF(AND(A269="04",J269&lt;&gt;""),"/"&amp;J269,"")))</f>
        <v/>
      </c>
      <c r="P269" s="7">
        <f>IF(O269="","",IF(IFERROR(INDEX('Drive Map'!$G$4:$G$33,MATCH(O269,'Drive Map'!$B$4:$B$33,0))&amp;"","")="","",HYPERLINK(INDEX('Drive Map'!$G$4:$G$33,MATCH(O269,'Drive Map'!$B$4:$B$33,0)),"Open")))</f>
        <v/>
      </c>
      <c r="R269" s="6" t="n"/>
    </row>
    <row r="270">
      <c r="A270" s="31" t="n"/>
      <c r="D270" s="7">
        <f>IF(OR(A270="",B270=""),"",SUMPRODUCT(MAX((A$4:A$303=A270)*(B$4:B$303=B270)*C$4:C$303))+1)</f>
        <v/>
      </c>
      <c r="E270" s="7">
        <f>IF(OR(A270="",B270="",C270=""),"",A270&amp;"-"&amp;B270&amp;"-"&amp;TEXT(C270,"000"))</f>
        <v/>
      </c>
      <c r="F270" s="6" t="n"/>
      <c r="H270" s="21" t="n"/>
      <c r="N270" s="7">
        <f>IF(E270="","",E270&amp;"_"&amp;SUBSTITUTE(TRIM(F270)," ","-")&amp;IF(G270="","","_Rev"&amp;G270))</f>
        <v/>
      </c>
      <c r="O270" s="7">
        <f>IF(A270="","",IF(K270="Superseded","99 Archive",IFERROR(INDEX('Drive Map'!$B$4:$B$33,MATCH(A270,'Drive Map'!$A$4:$A$33,0)),"")&amp;IF(AND(A270="04",J270&lt;&gt;""),"/"&amp;J270,"")))</f>
        <v/>
      </c>
      <c r="P270" s="7">
        <f>IF(O270="","",IF(IFERROR(INDEX('Drive Map'!$G$4:$G$33,MATCH(O270,'Drive Map'!$B$4:$B$33,0))&amp;"","")="","",HYPERLINK(INDEX('Drive Map'!$G$4:$G$33,MATCH(O270,'Drive Map'!$B$4:$B$33,0)),"Open")))</f>
        <v/>
      </c>
      <c r="R270" s="6" t="n"/>
    </row>
    <row r="271">
      <c r="A271" s="31" t="n"/>
      <c r="D271" s="7">
        <f>IF(OR(A271="",B271=""),"",SUMPRODUCT(MAX((A$4:A$303=A271)*(B$4:B$303=B271)*C$4:C$303))+1)</f>
        <v/>
      </c>
      <c r="E271" s="7">
        <f>IF(OR(A271="",B271="",C271=""),"",A271&amp;"-"&amp;B271&amp;"-"&amp;TEXT(C271,"000"))</f>
        <v/>
      </c>
      <c r="F271" s="6" t="n"/>
      <c r="H271" s="21" t="n"/>
      <c r="N271" s="7">
        <f>IF(E271="","",E271&amp;"_"&amp;SUBSTITUTE(TRIM(F271)," ","-")&amp;IF(G271="","","_Rev"&amp;G271))</f>
        <v/>
      </c>
      <c r="O271" s="7">
        <f>IF(A271="","",IF(K271="Superseded","99 Archive",IFERROR(INDEX('Drive Map'!$B$4:$B$33,MATCH(A271,'Drive Map'!$A$4:$A$33,0)),"")&amp;IF(AND(A271="04",J271&lt;&gt;""),"/"&amp;J271,"")))</f>
        <v/>
      </c>
      <c r="P271" s="7">
        <f>IF(O271="","",IF(IFERROR(INDEX('Drive Map'!$G$4:$G$33,MATCH(O271,'Drive Map'!$B$4:$B$33,0))&amp;"","")="","",HYPERLINK(INDEX('Drive Map'!$G$4:$G$33,MATCH(O271,'Drive Map'!$B$4:$B$33,0)),"Open")))</f>
        <v/>
      </c>
      <c r="R271" s="6" t="n"/>
    </row>
    <row r="272">
      <c r="A272" s="31" t="n"/>
      <c r="D272" s="7">
        <f>IF(OR(A272="",B272=""),"",SUMPRODUCT(MAX((A$4:A$303=A272)*(B$4:B$303=B272)*C$4:C$303))+1)</f>
        <v/>
      </c>
      <c r="E272" s="7">
        <f>IF(OR(A272="",B272="",C272=""),"",A272&amp;"-"&amp;B272&amp;"-"&amp;TEXT(C272,"000"))</f>
        <v/>
      </c>
      <c r="F272" s="6" t="n"/>
      <c r="H272" s="21" t="n"/>
      <c r="N272" s="7">
        <f>IF(E272="","",E272&amp;"_"&amp;SUBSTITUTE(TRIM(F272)," ","-")&amp;IF(G272="","","_Rev"&amp;G272))</f>
        <v/>
      </c>
      <c r="O272" s="7">
        <f>IF(A272="","",IF(K272="Superseded","99 Archive",IFERROR(INDEX('Drive Map'!$B$4:$B$33,MATCH(A272,'Drive Map'!$A$4:$A$33,0)),"")&amp;IF(AND(A272="04",J272&lt;&gt;""),"/"&amp;J272,"")))</f>
        <v/>
      </c>
      <c r="P272" s="7">
        <f>IF(O272="","",IF(IFERROR(INDEX('Drive Map'!$G$4:$G$33,MATCH(O272,'Drive Map'!$B$4:$B$33,0))&amp;"","")="","",HYPERLINK(INDEX('Drive Map'!$G$4:$G$33,MATCH(O272,'Drive Map'!$B$4:$B$33,0)),"Open")))</f>
        <v/>
      </c>
      <c r="R272" s="6" t="n"/>
    </row>
    <row r="273">
      <c r="A273" s="31" t="n"/>
      <c r="D273" s="7">
        <f>IF(OR(A273="",B273=""),"",SUMPRODUCT(MAX((A$4:A$303=A273)*(B$4:B$303=B273)*C$4:C$303))+1)</f>
        <v/>
      </c>
      <c r="E273" s="7">
        <f>IF(OR(A273="",B273="",C273=""),"",A273&amp;"-"&amp;B273&amp;"-"&amp;TEXT(C273,"000"))</f>
        <v/>
      </c>
      <c r="F273" s="6" t="n"/>
      <c r="H273" s="21" t="n"/>
      <c r="N273" s="7">
        <f>IF(E273="","",E273&amp;"_"&amp;SUBSTITUTE(TRIM(F273)," ","-")&amp;IF(G273="","","_Rev"&amp;G273))</f>
        <v/>
      </c>
      <c r="O273" s="7">
        <f>IF(A273="","",IF(K273="Superseded","99 Archive",IFERROR(INDEX('Drive Map'!$B$4:$B$33,MATCH(A273,'Drive Map'!$A$4:$A$33,0)),"")&amp;IF(AND(A273="04",J273&lt;&gt;""),"/"&amp;J273,"")))</f>
        <v/>
      </c>
      <c r="P273" s="7">
        <f>IF(O273="","",IF(IFERROR(INDEX('Drive Map'!$G$4:$G$33,MATCH(O273,'Drive Map'!$B$4:$B$33,0))&amp;"","")="","",HYPERLINK(INDEX('Drive Map'!$G$4:$G$33,MATCH(O273,'Drive Map'!$B$4:$B$33,0)),"Open")))</f>
        <v/>
      </c>
      <c r="R273" s="6" t="n"/>
    </row>
    <row r="274">
      <c r="A274" s="31" t="n"/>
      <c r="D274" s="7">
        <f>IF(OR(A274="",B274=""),"",SUMPRODUCT(MAX((A$4:A$303=A274)*(B$4:B$303=B274)*C$4:C$303))+1)</f>
        <v/>
      </c>
      <c r="E274" s="7">
        <f>IF(OR(A274="",B274="",C274=""),"",A274&amp;"-"&amp;B274&amp;"-"&amp;TEXT(C274,"000"))</f>
        <v/>
      </c>
      <c r="F274" s="6" t="n"/>
      <c r="H274" s="21" t="n"/>
      <c r="N274" s="7">
        <f>IF(E274="","",E274&amp;"_"&amp;SUBSTITUTE(TRIM(F274)," ","-")&amp;IF(G274="","","_Rev"&amp;G274))</f>
        <v/>
      </c>
      <c r="O274" s="7">
        <f>IF(A274="","",IF(K274="Superseded","99 Archive",IFERROR(INDEX('Drive Map'!$B$4:$B$33,MATCH(A274,'Drive Map'!$A$4:$A$33,0)),"")&amp;IF(AND(A274="04",J274&lt;&gt;""),"/"&amp;J274,"")))</f>
        <v/>
      </c>
      <c r="P274" s="7">
        <f>IF(O274="","",IF(IFERROR(INDEX('Drive Map'!$G$4:$G$33,MATCH(O274,'Drive Map'!$B$4:$B$33,0))&amp;"","")="","",HYPERLINK(INDEX('Drive Map'!$G$4:$G$33,MATCH(O274,'Drive Map'!$B$4:$B$33,0)),"Open")))</f>
        <v/>
      </c>
      <c r="R274" s="6" t="n"/>
    </row>
    <row r="275">
      <c r="A275" s="31" t="n"/>
      <c r="D275" s="7">
        <f>IF(OR(A275="",B275=""),"",SUMPRODUCT(MAX((A$4:A$303=A275)*(B$4:B$303=B275)*C$4:C$303))+1)</f>
        <v/>
      </c>
      <c r="E275" s="7">
        <f>IF(OR(A275="",B275="",C275=""),"",A275&amp;"-"&amp;B275&amp;"-"&amp;TEXT(C275,"000"))</f>
        <v/>
      </c>
      <c r="F275" s="6" t="n"/>
      <c r="H275" s="21" t="n"/>
      <c r="N275" s="7">
        <f>IF(E275="","",E275&amp;"_"&amp;SUBSTITUTE(TRIM(F275)," ","-")&amp;IF(G275="","","_Rev"&amp;G275))</f>
        <v/>
      </c>
      <c r="O275" s="7">
        <f>IF(A275="","",IF(K275="Superseded","99 Archive",IFERROR(INDEX('Drive Map'!$B$4:$B$33,MATCH(A275,'Drive Map'!$A$4:$A$33,0)),"")&amp;IF(AND(A275="04",J275&lt;&gt;""),"/"&amp;J275,"")))</f>
        <v/>
      </c>
      <c r="P275" s="7">
        <f>IF(O275="","",IF(IFERROR(INDEX('Drive Map'!$G$4:$G$33,MATCH(O275,'Drive Map'!$B$4:$B$33,0))&amp;"","")="","",HYPERLINK(INDEX('Drive Map'!$G$4:$G$33,MATCH(O275,'Drive Map'!$B$4:$B$33,0)),"Open")))</f>
        <v/>
      </c>
      <c r="R275" s="6" t="n"/>
    </row>
    <row r="276">
      <c r="A276" s="31" t="n"/>
      <c r="D276" s="7">
        <f>IF(OR(A276="",B276=""),"",SUMPRODUCT(MAX((A$4:A$303=A276)*(B$4:B$303=B276)*C$4:C$303))+1)</f>
        <v/>
      </c>
      <c r="E276" s="7">
        <f>IF(OR(A276="",B276="",C276=""),"",A276&amp;"-"&amp;B276&amp;"-"&amp;TEXT(C276,"000"))</f>
        <v/>
      </c>
      <c r="F276" s="6" t="n"/>
      <c r="H276" s="21" t="n"/>
      <c r="N276" s="7">
        <f>IF(E276="","",E276&amp;"_"&amp;SUBSTITUTE(TRIM(F276)," ","-")&amp;IF(G276="","","_Rev"&amp;G276))</f>
        <v/>
      </c>
      <c r="O276" s="7">
        <f>IF(A276="","",IF(K276="Superseded","99 Archive",IFERROR(INDEX('Drive Map'!$B$4:$B$33,MATCH(A276,'Drive Map'!$A$4:$A$33,0)),"")&amp;IF(AND(A276="04",J276&lt;&gt;""),"/"&amp;J276,"")))</f>
        <v/>
      </c>
      <c r="P276" s="7">
        <f>IF(O276="","",IF(IFERROR(INDEX('Drive Map'!$G$4:$G$33,MATCH(O276,'Drive Map'!$B$4:$B$33,0))&amp;"","")="","",HYPERLINK(INDEX('Drive Map'!$G$4:$G$33,MATCH(O276,'Drive Map'!$B$4:$B$33,0)),"Open")))</f>
        <v/>
      </c>
      <c r="R276" s="6" t="n"/>
    </row>
    <row r="277">
      <c r="A277" s="31" t="n"/>
      <c r="D277" s="7">
        <f>IF(OR(A277="",B277=""),"",SUMPRODUCT(MAX((A$4:A$303=A277)*(B$4:B$303=B277)*C$4:C$303))+1)</f>
        <v/>
      </c>
      <c r="E277" s="7">
        <f>IF(OR(A277="",B277="",C277=""),"",A277&amp;"-"&amp;B277&amp;"-"&amp;TEXT(C277,"000"))</f>
        <v/>
      </c>
      <c r="F277" s="6" t="n"/>
      <c r="H277" s="21" t="n"/>
      <c r="N277" s="7">
        <f>IF(E277="","",E277&amp;"_"&amp;SUBSTITUTE(TRIM(F277)," ","-")&amp;IF(G277="","","_Rev"&amp;G277))</f>
        <v/>
      </c>
      <c r="O277" s="7">
        <f>IF(A277="","",IF(K277="Superseded","99 Archive",IFERROR(INDEX('Drive Map'!$B$4:$B$33,MATCH(A277,'Drive Map'!$A$4:$A$33,0)),"")&amp;IF(AND(A277="04",J277&lt;&gt;""),"/"&amp;J277,"")))</f>
        <v/>
      </c>
      <c r="P277" s="7">
        <f>IF(O277="","",IF(IFERROR(INDEX('Drive Map'!$G$4:$G$33,MATCH(O277,'Drive Map'!$B$4:$B$33,0))&amp;"","")="","",HYPERLINK(INDEX('Drive Map'!$G$4:$G$33,MATCH(O277,'Drive Map'!$B$4:$B$33,0)),"Open")))</f>
        <v/>
      </c>
      <c r="R277" s="6" t="n"/>
    </row>
    <row r="278">
      <c r="A278" s="31" t="n"/>
      <c r="D278" s="7">
        <f>IF(OR(A278="",B278=""),"",SUMPRODUCT(MAX((A$4:A$303=A278)*(B$4:B$303=B278)*C$4:C$303))+1)</f>
        <v/>
      </c>
      <c r="E278" s="7">
        <f>IF(OR(A278="",B278="",C278=""),"",A278&amp;"-"&amp;B278&amp;"-"&amp;TEXT(C278,"000"))</f>
        <v/>
      </c>
      <c r="F278" s="6" t="n"/>
      <c r="H278" s="21" t="n"/>
      <c r="N278" s="7">
        <f>IF(E278="","",E278&amp;"_"&amp;SUBSTITUTE(TRIM(F278)," ","-")&amp;IF(G278="","","_Rev"&amp;G278))</f>
        <v/>
      </c>
      <c r="O278" s="7">
        <f>IF(A278="","",IF(K278="Superseded","99 Archive",IFERROR(INDEX('Drive Map'!$B$4:$B$33,MATCH(A278,'Drive Map'!$A$4:$A$33,0)),"")&amp;IF(AND(A278="04",J278&lt;&gt;""),"/"&amp;J278,"")))</f>
        <v/>
      </c>
      <c r="P278" s="7">
        <f>IF(O278="","",IF(IFERROR(INDEX('Drive Map'!$G$4:$G$33,MATCH(O278,'Drive Map'!$B$4:$B$33,0))&amp;"","")="","",HYPERLINK(INDEX('Drive Map'!$G$4:$G$33,MATCH(O278,'Drive Map'!$B$4:$B$33,0)),"Open")))</f>
        <v/>
      </c>
      <c r="R278" s="6" t="n"/>
    </row>
    <row r="279">
      <c r="A279" s="31" t="n"/>
      <c r="D279" s="7">
        <f>IF(OR(A279="",B279=""),"",SUMPRODUCT(MAX((A$4:A$303=A279)*(B$4:B$303=B279)*C$4:C$303))+1)</f>
        <v/>
      </c>
      <c r="E279" s="7">
        <f>IF(OR(A279="",B279="",C279=""),"",A279&amp;"-"&amp;B279&amp;"-"&amp;TEXT(C279,"000"))</f>
        <v/>
      </c>
      <c r="F279" s="6" t="n"/>
      <c r="H279" s="21" t="n"/>
      <c r="N279" s="7">
        <f>IF(E279="","",E279&amp;"_"&amp;SUBSTITUTE(TRIM(F279)," ","-")&amp;IF(G279="","","_Rev"&amp;G279))</f>
        <v/>
      </c>
      <c r="O279" s="7">
        <f>IF(A279="","",IF(K279="Superseded","99 Archive",IFERROR(INDEX('Drive Map'!$B$4:$B$33,MATCH(A279,'Drive Map'!$A$4:$A$33,0)),"")&amp;IF(AND(A279="04",J279&lt;&gt;""),"/"&amp;J279,"")))</f>
        <v/>
      </c>
      <c r="P279" s="7">
        <f>IF(O279="","",IF(IFERROR(INDEX('Drive Map'!$G$4:$G$33,MATCH(O279,'Drive Map'!$B$4:$B$33,0))&amp;"","")="","",HYPERLINK(INDEX('Drive Map'!$G$4:$G$33,MATCH(O279,'Drive Map'!$B$4:$B$33,0)),"Open")))</f>
        <v/>
      </c>
      <c r="R279" s="6" t="n"/>
    </row>
    <row r="280">
      <c r="A280" s="31" t="n"/>
      <c r="D280" s="7">
        <f>IF(OR(A280="",B280=""),"",SUMPRODUCT(MAX((A$4:A$303=A280)*(B$4:B$303=B280)*C$4:C$303))+1)</f>
        <v/>
      </c>
      <c r="E280" s="7">
        <f>IF(OR(A280="",B280="",C280=""),"",A280&amp;"-"&amp;B280&amp;"-"&amp;TEXT(C280,"000"))</f>
        <v/>
      </c>
      <c r="F280" s="6" t="n"/>
      <c r="H280" s="21" t="n"/>
      <c r="N280" s="7">
        <f>IF(E280="","",E280&amp;"_"&amp;SUBSTITUTE(TRIM(F280)," ","-")&amp;IF(G280="","","_Rev"&amp;G280))</f>
        <v/>
      </c>
      <c r="O280" s="7">
        <f>IF(A280="","",IF(K280="Superseded","99 Archive",IFERROR(INDEX('Drive Map'!$B$4:$B$33,MATCH(A280,'Drive Map'!$A$4:$A$33,0)),"")&amp;IF(AND(A280="04",J280&lt;&gt;""),"/"&amp;J280,"")))</f>
        <v/>
      </c>
      <c r="P280" s="7">
        <f>IF(O280="","",IF(IFERROR(INDEX('Drive Map'!$G$4:$G$33,MATCH(O280,'Drive Map'!$B$4:$B$33,0))&amp;"","")="","",HYPERLINK(INDEX('Drive Map'!$G$4:$G$33,MATCH(O280,'Drive Map'!$B$4:$B$33,0)),"Open")))</f>
        <v/>
      </c>
      <c r="R280" s="6" t="n"/>
    </row>
    <row r="281">
      <c r="A281" s="31" t="n"/>
      <c r="D281" s="7">
        <f>IF(OR(A281="",B281=""),"",SUMPRODUCT(MAX((A$4:A$303=A281)*(B$4:B$303=B281)*C$4:C$303))+1)</f>
        <v/>
      </c>
      <c r="E281" s="7">
        <f>IF(OR(A281="",B281="",C281=""),"",A281&amp;"-"&amp;B281&amp;"-"&amp;TEXT(C281,"000"))</f>
        <v/>
      </c>
      <c r="F281" s="6" t="n"/>
      <c r="H281" s="21" t="n"/>
      <c r="N281" s="7">
        <f>IF(E281="","",E281&amp;"_"&amp;SUBSTITUTE(TRIM(F281)," ","-")&amp;IF(G281="","","_Rev"&amp;G281))</f>
        <v/>
      </c>
      <c r="O281" s="7">
        <f>IF(A281="","",IF(K281="Superseded","99 Archive",IFERROR(INDEX('Drive Map'!$B$4:$B$33,MATCH(A281,'Drive Map'!$A$4:$A$33,0)),"")&amp;IF(AND(A281="04",J281&lt;&gt;""),"/"&amp;J281,"")))</f>
        <v/>
      </c>
      <c r="P281" s="7">
        <f>IF(O281="","",IF(IFERROR(INDEX('Drive Map'!$G$4:$G$33,MATCH(O281,'Drive Map'!$B$4:$B$33,0))&amp;"","")="","",HYPERLINK(INDEX('Drive Map'!$G$4:$G$33,MATCH(O281,'Drive Map'!$B$4:$B$33,0)),"Open")))</f>
        <v/>
      </c>
      <c r="R281" s="6" t="n"/>
    </row>
    <row r="282">
      <c r="A282" s="31" t="n"/>
      <c r="D282" s="7">
        <f>IF(OR(A282="",B282=""),"",SUMPRODUCT(MAX((A$4:A$303=A282)*(B$4:B$303=B282)*C$4:C$303))+1)</f>
        <v/>
      </c>
      <c r="E282" s="7">
        <f>IF(OR(A282="",B282="",C282=""),"",A282&amp;"-"&amp;B282&amp;"-"&amp;TEXT(C282,"000"))</f>
        <v/>
      </c>
      <c r="F282" s="6" t="n"/>
      <c r="H282" s="21" t="n"/>
      <c r="N282" s="7">
        <f>IF(E282="","",E282&amp;"_"&amp;SUBSTITUTE(TRIM(F282)," ","-")&amp;IF(G282="","","_Rev"&amp;G282))</f>
        <v/>
      </c>
      <c r="O282" s="7">
        <f>IF(A282="","",IF(K282="Superseded","99 Archive",IFERROR(INDEX('Drive Map'!$B$4:$B$33,MATCH(A282,'Drive Map'!$A$4:$A$33,0)),"")&amp;IF(AND(A282="04",J282&lt;&gt;""),"/"&amp;J282,"")))</f>
        <v/>
      </c>
      <c r="P282" s="7">
        <f>IF(O282="","",IF(IFERROR(INDEX('Drive Map'!$G$4:$G$33,MATCH(O282,'Drive Map'!$B$4:$B$33,0))&amp;"","")="","",HYPERLINK(INDEX('Drive Map'!$G$4:$G$33,MATCH(O282,'Drive Map'!$B$4:$B$33,0)),"Open")))</f>
        <v/>
      </c>
      <c r="R282" s="6" t="n"/>
    </row>
    <row r="283">
      <c r="A283" s="31" t="n"/>
      <c r="D283" s="7">
        <f>IF(OR(A283="",B283=""),"",SUMPRODUCT(MAX((A$4:A$303=A283)*(B$4:B$303=B283)*C$4:C$303))+1)</f>
        <v/>
      </c>
      <c r="E283" s="7">
        <f>IF(OR(A283="",B283="",C283=""),"",A283&amp;"-"&amp;B283&amp;"-"&amp;TEXT(C283,"000"))</f>
        <v/>
      </c>
      <c r="F283" s="6" t="n"/>
      <c r="H283" s="21" t="n"/>
      <c r="N283" s="7">
        <f>IF(E283="","",E283&amp;"_"&amp;SUBSTITUTE(TRIM(F283)," ","-")&amp;IF(G283="","","_Rev"&amp;G283))</f>
        <v/>
      </c>
      <c r="O283" s="7">
        <f>IF(A283="","",IF(K283="Superseded","99 Archive",IFERROR(INDEX('Drive Map'!$B$4:$B$33,MATCH(A283,'Drive Map'!$A$4:$A$33,0)),"")&amp;IF(AND(A283="04",J283&lt;&gt;""),"/"&amp;J283,"")))</f>
        <v/>
      </c>
      <c r="P283" s="7">
        <f>IF(O283="","",IF(IFERROR(INDEX('Drive Map'!$G$4:$G$33,MATCH(O283,'Drive Map'!$B$4:$B$33,0))&amp;"","")="","",HYPERLINK(INDEX('Drive Map'!$G$4:$G$33,MATCH(O283,'Drive Map'!$B$4:$B$33,0)),"Open")))</f>
        <v/>
      </c>
      <c r="R283" s="6" t="n"/>
    </row>
    <row r="284">
      <c r="A284" s="31" t="n"/>
      <c r="D284" s="7">
        <f>IF(OR(A284="",B284=""),"",SUMPRODUCT(MAX((A$4:A$303=A284)*(B$4:B$303=B284)*C$4:C$303))+1)</f>
        <v/>
      </c>
      <c r="E284" s="7">
        <f>IF(OR(A284="",B284="",C284=""),"",A284&amp;"-"&amp;B284&amp;"-"&amp;TEXT(C284,"000"))</f>
        <v/>
      </c>
      <c r="F284" s="6" t="n"/>
      <c r="H284" s="21" t="n"/>
      <c r="N284" s="7">
        <f>IF(E284="","",E284&amp;"_"&amp;SUBSTITUTE(TRIM(F284)," ","-")&amp;IF(G284="","","_Rev"&amp;G284))</f>
        <v/>
      </c>
      <c r="O284" s="7">
        <f>IF(A284="","",IF(K284="Superseded","99 Archive",IFERROR(INDEX('Drive Map'!$B$4:$B$33,MATCH(A284,'Drive Map'!$A$4:$A$33,0)),"")&amp;IF(AND(A284="04",J284&lt;&gt;""),"/"&amp;J284,"")))</f>
        <v/>
      </c>
      <c r="P284" s="7">
        <f>IF(O284="","",IF(IFERROR(INDEX('Drive Map'!$G$4:$G$33,MATCH(O284,'Drive Map'!$B$4:$B$33,0))&amp;"","")="","",HYPERLINK(INDEX('Drive Map'!$G$4:$G$33,MATCH(O284,'Drive Map'!$B$4:$B$33,0)),"Open")))</f>
        <v/>
      </c>
      <c r="R284" s="6" t="n"/>
    </row>
    <row r="285">
      <c r="A285" s="31" t="n"/>
      <c r="D285" s="7">
        <f>IF(OR(A285="",B285=""),"",SUMPRODUCT(MAX((A$4:A$303=A285)*(B$4:B$303=B285)*C$4:C$303))+1)</f>
        <v/>
      </c>
      <c r="E285" s="7">
        <f>IF(OR(A285="",B285="",C285=""),"",A285&amp;"-"&amp;B285&amp;"-"&amp;TEXT(C285,"000"))</f>
        <v/>
      </c>
      <c r="F285" s="6" t="n"/>
      <c r="H285" s="21" t="n"/>
      <c r="N285" s="7">
        <f>IF(E285="","",E285&amp;"_"&amp;SUBSTITUTE(TRIM(F285)," ","-")&amp;IF(G285="","","_Rev"&amp;G285))</f>
        <v/>
      </c>
      <c r="O285" s="7">
        <f>IF(A285="","",IF(K285="Superseded","99 Archive",IFERROR(INDEX('Drive Map'!$B$4:$B$33,MATCH(A285,'Drive Map'!$A$4:$A$33,0)),"")&amp;IF(AND(A285="04",J285&lt;&gt;""),"/"&amp;J285,"")))</f>
        <v/>
      </c>
      <c r="P285" s="7">
        <f>IF(O285="","",IF(IFERROR(INDEX('Drive Map'!$G$4:$G$33,MATCH(O285,'Drive Map'!$B$4:$B$33,0))&amp;"","")="","",HYPERLINK(INDEX('Drive Map'!$G$4:$G$33,MATCH(O285,'Drive Map'!$B$4:$B$33,0)),"Open")))</f>
        <v/>
      </c>
      <c r="R285" s="6" t="n"/>
    </row>
    <row r="286">
      <c r="A286" s="31" t="n"/>
      <c r="D286" s="7">
        <f>IF(OR(A286="",B286=""),"",SUMPRODUCT(MAX((A$4:A$303=A286)*(B$4:B$303=B286)*C$4:C$303))+1)</f>
        <v/>
      </c>
      <c r="E286" s="7">
        <f>IF(OR(A286="",B286="",C286=""),"",A286&amp;"-"&amp;B286&amp;"-"&amp;TEXT(C286,"000"))</f>
        <v/>
      </c>
      <c r="F286" s="6" t="n"/>
      <c r="H286" s="21" t="n"/>
      <c r="N286" s="7">
        <f>IF(E286="","",E286&amp;"_"&amp;SUBSTITUTE(TRIM(F286)," ","-")&amp;IF(G286="","","_Rev"&amp;G286))</f>
        <v/>
      </c>
      <c r="O286" s="7">
        <f>IF(A286="","",IF(K286="Superseded","99 Archive",IFERROR(INDEX('Drive Map'!$B$4:$B$33,MATCH(A286,'Drive Map'!$A$4:$A$33,0)),"")&amp;IF(AND(A286="04",J286&lt;&gt;""),"/"&amp;J286,"")))</f>
        <v/>
      </c>
      <c r="P286" s="7">
        <f>IF(O286="","",IF(IFERROR(INDEX('Drive Map'!$G$4:$G$33,MATCH(O286,'Drive Map'!$B$4:$B$33,0))&amp;"","")="","",HYPERLINK(INDEX('Drive Map'!$G$4:$G$33,MATCH(O286,'Drive Map'!$B$4:$B$33,0)),"Open")))</f>
        <v/>
      </c>
      <c r="R286" s="6" t="n"/>
    </row>
    <row r="287">
      <c r="A287" s="31" t="n"/>
      <c r="D287" s="7">
        <f>IF(OR(A287="",B287=""),"",SUMPRODUCT(MAX((A$4:A$303=A287)*(B$4:B$303=B287)*C$4:C$303))+1)</f>
        <v/>
      </c>
      <c r="E287" s="7">
        <f>IF(OR(A287="",B287="",C287=""),"",A287&amp;"-"&amp;B287&amp;"-"&amp;TEXT(C287,"000"))</f>
        <v/>
      </c>
      <c r="F287" s="6" t="n"/>
      <c r="H287" s="21" t="n"/>
      <c r="N287" s="7">
        <f>IF(E287="","",E287&amp;"_"&amp;SUBSTITUTE(TRIM(F287)," ","-")&amp;IF(G287="","","_Rev"&amp;G287))</f>
        <v/>
      </c>
      <c r="O287" s="7">
        <f>IF(A287="","",IF(K287="Superseded","99 Archive",IFERROR(INDEX('Drive Map'!$B$4:$B$33,MATCH(A287,'Drive Map'!$A$4:$A$33,0)),"")&amp;IF(AND(A287="04",J287&lt;&gt;""),"/"&amp;J287,"")))</f>
        <v/>
      </c>
      <c r="P287" s="7">
        <f>IF(O287="","",IF(IFERROR(INDEX('Drive Map'!$G$4:$G$33,MATCH(O287,'Drive Map'!$B$4:$B$33,0))&amp;"","")="","",HYPERLINK(INDEX('Drive Map'!$G$4:$G$33,MATCH(O287,'Drive Map'!$B$4:$B$33,0)),"Open")))</f>
        <v/>
      </c>
      <c r="R287" s="6" t="n"/>
    </row>
    <row r="288">
      <c r="A288" s="31" t="n"/>
      <c r="D288" s="7">
        <f>IF(OR(A288="",B288=""),"",SUMPRODUCT(MAX((A$4:A$303=A288)*(B$4:B$303=B288)*C$4:C$303))+1)</f>
        <v/>
      </c>
      <c r="E288" s="7">
        <f>IF(OR(A288="",B288="",C288=""),"",A288&amp;"-"&amp;B288&amp;"-"&amp;TEXT(C288,"000"))</f>
        <v/>
      </c>
      <c r="F288" s="6" t="n"/>
      <c r="H288" s="21" t="n"/>
      <c r="N288" s="7">
        <f>IF(E288="","",E288&amp;"_"&amp;SUBSTITUTE(TRIM(F288)," ","-")&amp;IF(G288="","","_Rev"&amp;G288))</f>
        <v/>
      </c>
      <c r="O288" s="7">
        <f>IF(A288="","",IF(K288="Superseded","99 Archive",IFERROR(INDEX('Drive Map'!$B$4:$B$33,MATCH(A288,'Drive Map'!$A$4:$A$33,0)),"")&amp;IF(AND(A288="04",J288&lt;&gt;""),"/"&amp;J288,"")))</f>
        <v/>
      </c>
      <c r="P288" s="7">
        <f>IF(O288="","",IF(IFERROR(INDEX('Drive Map'!$G$4:$G$33,MATCH(O288,'Drive Map'!$B$4:$B$33,0))&amp;"","")="","",HYPERLINK(INDEX('Drive Map'!$G$4:$G$33,MATCH(O288,'Drive Map'!$B$4:$B$33,0)),"Open")))</f>
        <v/>
      </c>
      <c r="R288" s="6" t="n"/>
    </row>
    <row r="289">
      <c r="A289" s="31" t="n"/>
      <c r="D289" s="7">
        <f>IF(OR(A289="",B289=""),"",SUMPRODUCT(MAX((A$4:A$303=A289)*(B$4:B$303=B289)*C$4:C$303))+1)</f>
        <v/>
      </c>
      <c r="E289" s="7">
        <f>IF(OR(A289="",B289="",C289=""),"",A289&amp;"-"&amp;B289&amp;"-"&amp;TEXT(C289,"000"))</f>
        <v/>
      </c>
      <c r="F289" s="6" t="n"/>
      <c r="H289" s="21" t="n"/>
      <c r="N289" s="7">
        <f>IF(E289="","",E289&amp;"_"&amp;SUBSTITUTE(TRIM(F289)," ","-")&amp;IF(G289="","","_Rev"&amp;G289))</f>
        <v/>
      </c>
      <c r="O289" s="7">
        <f>IF(A289="","",IF(K289="Superseded","99 Archive",IFERROR(INDEX('Drive Map'!$B$4:$B$33,MATCH(A289,'Drive Map'!$A$4:$A$33,0)),"")&amp;IF(AND(A289="04",J289&lt;&gt;""),"/"&amp;J289,"")))</f>
        <v/>
      </c>
      <c r="P289" s="7">
        <f>IF(O289="","",IF(IFERROR(INDEX('Drive Map'!$G$4:$G$33,MATCH(O289,'Drive Map'!$B$4:$B$33,0))&amp;"","")="","",HYPERLINK(INDEX('Drive Map'!$G$4:$G$33,MATCH(O289,'Drive Map'!$B$4:$B$33,0)),"Open")))</f>
        <v/>
      </c>
      <c r="R289" s="6" t="n"/>
    </row>
    <row r="290">
      <c r="A290" s="31" t="n"/>
      <c r="D290" s="7">
        <f>IF(OR(A290="",B290=""),"",SUMPRODUCT(MAX((A$4:A$303=A290)*(B$4:B$303=B290)*C$4:C$303))+1)</f>
        <v/>
      </c>
      <c r="E290" s="7">
        <f>IF(OR(A290="",B290="",C290=""),"",A290&amp;"-"&amp;B290&amp;"-"&amp;TEXT(C290,"000"))</f>
        <v/>
      </c>
      <c r="F290" s="6" t="n"/>
      <c r="H290" s="21" t="n"/>
      <c r="N290" s="7">
        <f>IF(E290="","",E290&amp;"_"&amp;SUBSTITUTE(TRIM(F290)," ","-")&amp;IF(G290="","","_Rev"&amp;G290))</f>
        <v/>
      </c>
      <c r="O290" s="7">
        <f>IF(A290="","",IF(K290="Superseded","99 Archive",IFERROR(INDEX('Drive Map'!$B$4:$B$33,MATCH(A290,'Drive Map'!$A$4:$A$33,0)),"")&amp;IF(AND(A290="04",J290&lt;&gt;""),"/"&amp;J290,"")))</f>
        <v/>
      </c>
      <c r="P290" s="7">
        <f>IF(O290="","",IF(IFERROR(INDEX('Drive Map'!$G$4:$G$33,MATCH(O290,'Drive Map'!$B$4:$B$33,0))&amp;"","")="","",HYPERLINK(INDEX('Drive Map'!$G$4:$G$33,MATCH(O290,'Drive Map'!$B$4:$B$33,0)),"Open")))</f>
        <v/>
      </c>
      <c r="R290" s="6" t="n"/>
    </row>
    <row r="291">
      <c r="A291" s="31" t="n"/>
      <c r="D291" s="7">
        <f>IF(OR(A291="",B291=""),"",SUMPRODUCT(MAX((A$4:A$303=A291)*(B$4:B$303=B291)*C$4:C$303))+1)</f>
        <v/>
      </c>
      <c r="E291" s="7">
        <f>IF(OR(A291="",B291="",C291=""),"",A291&amp;"-"&amp;B291&amp;"-"&amp;TEXT(C291,"000"))</f>
        <v/>
      </c>
      <c r="F291" s="6" t="n"/>
      <c r="H291" s="21" t="n"/>
      <c r="N291" s="7">
        <f>IF(E291="","",E291&amp;"_"&amp;SUBSTITUTE(TRIM(F291)," ","-")&amp;IF(G291="","","_Rev"&amp;G291))</f>
        <v/>
      </c>
      <c r="O291" s="7">
        <f>IF(A291="","",IF(K291="Superseded","99 Archive",IFERROR(INDEX('Drive Map'!$B$4:$B$33,MATCH(A291,'Drive Map'!$A$4:$A$33,0)),"")&amp;IF(AND(A291="04",J291&lt;&gt;""),"/"&amp;J291,"")))</f>
        <v/>
      </c>
      <c r="P291" s="7">
        <f>IF(O291="","",IF(IFERROR(INDEX('Drive Map'!$G$4:$G$33,MATCH(O291,'Drive Map'!$B$4:$B$33,0))&amp;"","")="","",HYPERLINK(INDEX('Drive Map'!$G$4:$G$33,MATCH(O291,'Drive Map'!$B$4:$B$33,0)),"Open")))</f>
        <v/>
      </c>
      <c r="R291" s="6" t="n"/>
    </row>
    <row r="292">
      <c r="A292" s="31" t="n"/>
      <c r="D292" s="7">
        <f>IF(OR(A292="",B292=""),"",SUMPRODUCT(MAX((A$4:A$303=A292)*(B$4:B$303=B292)*C$4:C$303))+1)</f>
        <v/>
      </c>
      <c r="E292" s="7">
        <f>IF(OR(A292="",B292="",C292=""),"",A292&amp;"-"&amp;B292&amp;"-"&amp;TEXT(C292,"000"))</f>
        <v/>
      </c>
      <c r="F292" s="6" t="n"/>
      <c r="H292" s="21" t="n"/>
      <c r="N292" s="7">
        <f>IF(E292="","",E292&amp;"_"&amp;SUBSTITUTE(TRIM(F292)," ","-")&amp;IF(G292="","","_Rev"&amp;G292))</f>
        <v/>
      </c>
      <c r="O292" s="7">
        <f>IF(A292="","",IF(K292="Superseded","99 Archive",IFERROR(INDEX('Drive Map'!$B$4:$B$33,MATCH(A292,'Drive Map'!$A$4:$A$33,0)),"")&amp;IF(AND(A292="04",J292&lt;&gt;""),"/"&amp;J292,"")))</f>
        <v/>
      </c>
      <c r="P292" s="7">
        <f>IF(O292="","",IF(IFERROR(INDEX('Drive Map'!$G$4:$G$33,MATCH(O292,'Drive Map'!$B$4:$B$33,0))&amp;"","")="","",HYPERLINK(INDEX('Drive Map'!$G$4:$G$33,MATCH(O292,'Drive Map'!$B$4:$B$33,0)),"Open")))</f>
        <v/>
      </c>
      <c r="R292" s="6" t="n"/>
    </row>
    <row r="293">
      <c r="A293" s="31" t="n"/>
      <c r="D293" s="7">
        <f>IF(OR(A293="",B293=""),"",SUMPRODUCT(MAX((A$4:A$303=A293)*(B$4:B$303=B293)*C$4:C$303))+1)</f>
        <v/>
      </c>
      <c r="E293" s="7">
        <f>IF(OR(A293="",B293="",C293=""),"",A293&amp;"-"&amp;B293&amp;"-"&amp;TEXT(C293,"000"))</f>
        <v/>
      </c>
      <c r="F293" s="6" t="n"/>
      <c r="H293" s="21" t="n"/>
      <c r="N293" s="7">
        <f>IF(E293="","",E293&amp;"_"&amp;SUBSTITUTE(TRIM(F293)," ","-")&amp;IF(G293="","","_Rev"&amp;G293))</f>
        <v/>
      </c>
      <c r="O293" s="7">
        <f>IF(A293="","",IF(K293="Superseded","99 Archive",IFERROR(INDEX('Drive Map'!$B$4:$B$33,MATCH(A293,'Drive Map'!$A$4:$A$33,0)),"")&amp;IF(AND(A293="04",J293&lt;&gt;""),"/"&amp;J293,"")))</f>
        <v/>
      </c>
      <c r="P293" s="7">
        <f>IF(O293="","",IF(IFERROR(INDEX('Drive Map'!$G$4:$G$33,MATCH(O293,'Drive Map'!$B$4:$B$33,0))&amp;"","")="","",HYPERLINK(INDEX('Drive Map'!$G$4:$G$33,MATCH(O293,'Drive Map'!$B$4:$B$33,0)),"Open")))</f>
        <v/>
      </c>
      <c r="R293" s="6" t="n"/>
    </row>
    <row r="294">
      <c r="A294" s="31" t="n"/>
      <c r="D294" s="7">
        <f>IF(OR(A294="",B294=""),"",SUMPRODUCT(MAX((A$4:A$303=A294)*(B$4:B$303=B294)*C$4:C$303))+1)</f>
        <v/>
      </c>
      <c r="E294" s="7">
        <f>IF(OR(A294="",B294="",C294=""),"",A294&amp;"-"&amp;B294&amp;"-"&amp;TEXT(C294,"000"))</f>
        <v/>
      </c>
      <c r="F294" s="6" t="n"/>
      <c r="H294" s="21" t="n"/>
      <c r="N294" s="7">
        <f>IF(E294="","",E294&amp;"_"&amp;SUBSTITUTE(TRIM(F294)," ","-")&amp;IF(G294="","","_Rev"&amp;G294))</f>
        <v/>
      </c>
      <c r="O294" s="7">
        <f>IF(A294="","",IF(K294="Superseded","99 Archive",IFERROR(INDEX('Drive Map'!$B$4:$B$33,MATCH(A294,'Drive Map'!$A$4:$A$33,0)),"")&amp;IF(AND(A294="04",J294&lt;&gt;""),"/"&amp;J294,"")))</f>
        <v/>
      </c>
      <c r="P294" s="7">
        <f>IF(O294="","",IF(IFERROR(INDEX('Drive Map'!$G$4:$G$33,MATCH(O294,'Drive Map'!$B$4:$B$33,0))&amp;"","")="","",HYPERLINK(INDEX('Drive Map'!$G$4:$G$33,MATCH(O294,'Drive Map'!$B$4:$B$33,0)),"Open")))</f>
        <v/>
      </c>
      <c r="R294" s="6" t="n"/>
    </row>
    <row r="295">
      <c r="A295" s="31" t="n"/>
      <c r="D295" s="7">
        <f>IF(OR(A295="",B295=""),"",SUMPRODUCT(MAX((A$4:A$303=A295)*(B$4:B$303=B295)*C$4:C$303))+1)</f>
        <v/>
      </c>
      <c r="E295" s="7">
        <f>IF(OR(A295="",B295="",C295=""),"",A295&amp;"-"&amp;B295&amp;"-"&amp;TEXT(C295,"000"))</f>
        <v/>
      </c>
      <c r="F295" s="6" t="n"/>
      <c r="H295" s="21" t="n"/>
      <c r="N295" s="7">
        <f>IF(E295="","",E295&amp;"_"&amp;SUBSTITUTE(TRIM(F295)," ","-")&amp;IF(G295="","","_Rev"&amp;G295))</f>
        <v/>
      </c>
      <c r="O295" s="7">
        <f>IF(A295="","",IF(K295="Superseded","99 Archive",IFERROR(INDEX('Drive Map'!$B$4:$B$33,MATCH(A295,'Drive Map'!$A$4:$A$33,0)),"")&amp;IF(AND(A295="04",J295&lt;&gt;""),"/"&amp;J295,"")))</f>
        <v/>
      </c>
      <c r="P295" s="7">
        <f>IF(O295="","",IF(IFERROR(INDEX('Drive Map'!$G$4:$G$33,MATCH(O295,'Drive Map'!$B$4:$B$33,0))&amp;"","")="","",HYPERLINK(INDEX('Drive Map'!$G$4:$G$33,MATCH(O295,'Drive Map'!$B$4:$B$33,0)),"Open")))</f>
        <v/>
      </c>
      <c r="R295" s="6" t="n"/>
    </row>
    <row r="296">
      <c r="A296" s="31" t="n"/>
      <c r="D296" s="7">
        <f>IF(OR(A296="",B296=""),"",SUMPRODUCT(MAX((A$4:A$303=A296)*(B$4:B$303=B296)*C$4:C$303))+1)</f>
        <v/>
      </c>
      <c r="E296" s="7">
        <f>IF(OR(A296="",B296="",C296=""),"",A296&amp;"-"&amp;B296&amp;"-"&amp;TEXT(C296,"000"))</f>
        <v/>
      </c>
      <c r="F296" s="6" t="n"/>
      <c r="H296" s="21" t="n"/>
      <c r="N296" s="7">
        <f>IF(E296="","",E296&amp;"_"&amp;SUBSTITUTE(TRIM(F296)," ","-")&amp;IF(G296="","","_Rev"&amp;G296))</f>
        <v/>
      </c>
      <c r="O296" s="7">
        <f>IF(A296="","",IF(K296="Superseded","99 Archive",IFERROR(INDEX('Drive Map'!$B$4:$B$33,MATCH(A296,'Drive Map'!$A$4:$A$33,0)),"")&amp;IF(AND(A296="04",J296&lt;&gt;""),"/"&amp;J296,"")))</f>
        <v/>
      </c>
      <c r="P296" s="7">
        <f>IF(O296="","",IF(IFERROR(INDEX('Drive Map'!$G$4:$G$33,MATCH(O296,'Drive Map'!$B$4:$B$33,0))&amp;"","")="","",HYPERLINK(INDEX('Drive Map'!$G$4:$G$33,MATCH(O296,'Drive Map'!$B$4:$B$33,0)),"Open")))</f>
        <v/>
      </c>
      <c r="R296" s="6" t="n"/>
    </row>
    <row r="297">
      <c r="A297" s="31" t="n"/>
      <c r="D297" s="7">
        <f>IF(OR(A297="",B297=""),"",SUMPRODUCT(MAX((A$4:A$303=A297)*(B$4:B$303=B297)*C$4:C$303))+1)</f>
        <v/>
      </c>
      <c r="E297" s="7">
        <f>IF(OR(A297="",B297="",C297=""),"",A297&amp;"-"&amp;B297&amp;"-"&amp;TEXT(C297,"000"))</f>
        <v/>
      </c>
      <c r="F297" s="6" t="n"/>
      <c r="H297" s="21" t="n"/>
      <c r="N297" s="7">
        <f>IF(E297="","",E297&amp;"_"&amp;SUBSTITUTE(TRIM(F297)," ","-")&amp;IF(G297="","","_Rev"&amp;G297))</f>
        <v/>
      </c>
      <c r="O297" s="7">
        <f>IF(A297="","",IF(K297="Superseded","99 Archive",IFERROR(INDEX('Drive Map'!$B$4:$B$33,MATCH(A297,'Drive Map'!$A$4:$A$33,0)),"")&amp;IF(AND(A297="04",J297&lt;&gt;""),"/"&amp;J297,"")))</f>
        <v/>
      </c>
      <c r="P297" s="7">
        <f>IF(O297="","",IF(IFERROR(INDEX('Drive Map'!$G$4:$G$33,MATCH(O297,'Drive Map'!$B$4:$B$33,0))&amp;"","")="","",HYPERLINK(INDEX('Drive Map'!$G$4:$G$33,MATCH(O297,'Drive Map'!$B$4:$B$33,0)),"Open")))</f>
        <v/>
      </c>
      <c r="R297" s="6" t="n"/>
    </row>
    <row r="298">
      <c r="A298" s="31" t="n"/>
      <c r="D298" s="7">
        <f>IF(OR(A298="",B298=""),"",SUMPRODUCT(MAX((A$4:A$303=A298)*(B$4:B$303=B298)*C$4:C$303))+1)</f>
        <v/>
      </c>
      <c r="E298" s="7">
        <f>IF(OR(A298="",B298="",C298=""),"",A298&amp;"-"&amp;B298&amp;"-"&amp;TEXT(C298,"000"))</f>
        <v/>
      </c>
      <c r="F298" s="6" t="n"/>
      <c r="H298" s="21" t="n"/>
      <c r="N298" s="7">
        <f>IF(E298="","",E298&amp;"_"&amp;SUBSTITUTE(TRIM(F298)," ","-")&amp;IF(G298="","","_Rev"&amp;G298))</f>
        <v/>
      </c>
      <c r="O298" s="7">
        <f>IF(A298="","",IF(K298="Superseded","99 Archive",IFERROR(INDEX('Drive Map'!$B$4:$B$33,MATCH(A298,'Drive Map'!$A$4:$A$33,0)),"")&amp;IF(AND(A298="04",J298&lt;&gt;""),"/"&amp;J298,"")))</f>
        <v/>
      </c>
      <c r="P298" s="7">
        <f>IF(O298="","",IF(IFERROR(INDEX('Drive Map'!$G$4:$G$33,MATCH(O298,'Drive Map'!$B$4:$B$33,0))&amp;"","")="","",HYPERLINK(INDEX('Drive Map'!$G$4:$G$33,MATCH(O298,'Drive Map'!$B$4:$B$33,0)),"Open")))</f>
        <v/>
      </c>
      <c r="R298" s="6" t="n"/>
    </row>
    <row r="299">
      <c r="A299" s="31" t="n"/>
      <c r="D299" s="7">
        <f>IF(OR(A299="",B299=""),"",SUMPRODUCT(MAX((A$4:A$303=A299)*(B$4:B$303=B299)*C$4:C$303))+1)</f>
        <v/>
      </c>
      <c r="E299" s="7">
        <f>IF(OR(A299="",B299="",C299=""),"",A299&amp;"-"&amp;B299&amp;"-"&amp;TEXT(C299,"000"))</f>
        <v/>
      </c>
      <c r="F299" s="6" t="n"/>
      <c r="H299" s="21" t="n"/>
      <c r="N299" s="7">
        <f>IF(E299="","",E299&amp;"_"&amp;SUBSTITUTE(TRIM(F299)," ","-")&amp;IF(G299="","","_Rev"&amp;G299))</f>
        <v/>
      </c>
      <c r="O299" s="7">
        <f>IF(A299="","",IF(K299="Superseded","99 Archive",IFERROR(INDEX('Drive Map'!$B$4:$B$33,MATCH(A299,'Drive Map'!$A$4:$A$33,0)),"")&amp;IF(AND(A299="04",J299&lt;&gt;""),"/"&amp;J299,"")))</f>
        <v/>
      </c>
      <c r="P299" s="7">
        <f>IF(O299="","",IF(IFERROR(INDEX('Drive Map'!$G$4:$G$33,MATCH(O299,'Drive Map'!$B$4:$B$33,0))&amp;"","")="","",HYPERLINK(INDEX('Drive Map'!$G$4:$G$33,MATCH(O299,'Drive Map'!$B$4:$B$33,0)),"Open")))</f>
        <v/>
      </c>
      <c r="R299" s="6" t="n"/>
    </row>
    <row r="300">
      <c r="A300" s="31" t="n"/>
      <c r="D300" s="7">
        <f>IF(OR(A300="",B300=""),"",SUMPRODUCT(MAX((A$4:A$303=A300)*(B$4:B$303=B300)*C$4:C$303))+1)</f>
        <v/>
      </c>
      <c r="E300" s="7">
        <f>IF(OR(A300="",B300="",C300=""),"",A300&amp;"-"&amp;B300&amp;"-"&amp;TEXT(C300,"000"))</f>
        <v/>
      </c>
      <c r="F300" s="6" t="n"/>
      <c r="H300" s="21" t="n"/>
      <c r="N300" s="7">
        <f>IF(E300="","",E300&amp;"_"&amp;SUBSTITUTE(TRIM(F300)," ","-")&amp;IF(G300="","","_Rev"&amp;G300))</f>
        <v/>
      </c>
      <c r="O300" s="7">
        <f>IF(A300="","",IF(K300="Superseded","99 Archive",IFERROR(INDEX('Drive Map'!$B$4:$B$33,MATCH(A300,'Drive Map'!$A$4:$A$33,0)),"")&amp;IF(AND(A300="04",J300&lt;&gt;""),"/"&amp;J300,"")))</f>
        <v/>
      </c>
      <c r="P300" s="7">
        <f>IF(O300="","",IF(IFERROR(INDEX('Drive Map'!$G$4:$G$33,MATCH(O300,'Drive Map'!$B$4:$B$33,0))&amp;"","")="","",HYPERLINK(INDEX('Drive Map'!$G$4:$G$33,MATCH(O300,'Drive Map'!$B$4:$B$33,0)),"Open")))</f>
        <v/>
      </c>
      <c r="R300" s="6" t="n"/>
    </row>
    <row r="301">
      <c r="A301" s="31" t="n"/>
      <c r="D301" s="7">
        <f>IF(OR(A301="",B301=""),"",SUMPRODUCT(MAX((A$4:A$303=A301)*(B$4:B$303=B301)*C$4:C$303))+1)</f>
        <v/>
      </c>
      <c r="E301" s="7">
        <f>IF(OR(A301="",B301="",C301=""),"",A301&amp;"-"&amp;B301&amp;"-"&amp;TEXT(C301,"000"))</f>
        <v/>
      </c>
      <c r="F301" s="6" t="n"/>
      <c r="H301" s="21" t="n"/>
      <c r="N301" s="7">
        <f>IF(E301="","",E301&amp;"_"&amp;SUBSTITUTE(TRIM(F301)," ","-")&amp;IF(G301="","","_Rev"&amp;G301))</f>
        <v/>
      </c>
      <c r="O301" s="7">
        <f>IF(A301="","",IF(K301="Superseded","99 Archive",IFERROR(INDEX('Drive Map'!$B$4:$B$33,MATCH(A301,'Drive Map'!$A$4:$A$33,0)),"")&amp;IF(AND(A301="04",J301&lt;&gt;""),"/"&amp;J301,"")))</f>
        <v/>
      </c>
      <c r="P301" s="7">
        <f>IF(O301="","",IF(IFERROR(INDEX('Drive Map'!$G$4:$G$33,MATCH(O301,'Drive Map'!$B$4:$B$33,0))&amp;"","")="","",HYPERLINK(INDEX('Drive Map'!$G$4:$G$33,MATCH(O301,'Drive Map'!$B$4:$B$33,0)),"Open")))</f>
        <v/>
      </c>
      <c r="R301" s="6" t="n"/>
    </row>
    <row r="302">
      <c r="A302" s="31" t="n"/>
      <c r="D302" s="7">
        <f>IF(OR(A302="",B302=""),"",SUMPRODUCT(MAX((A$4:A$303=A302)*(B$4:B$303=B302)*C$4:C$303))+1)</f>
        <v/>
      </c>
      <c r="E302" s="7">
        <f>IF(OR(A302="",B302="",C302=""),"",A302&amp;"-"&amp;B302&amp;"-"&amp;TEXT(C302,"000"))</f>
        <v/>
      </c>
      <c r="F302" s="6" t="n"/>
      <c r="H302" s="21" t="n"/>
      <c r="N302" s="7">
        <f>IF(E302="","",E302&amp;"_"&amp;SUBSTITUTE(TRIM(F302)," ","-")&amp;IF(G302="","","_Rev"&amp;G302))</f>
        <v/>
      </c>
      <c r="O302" s="7">
        <f>IF(A302="","",IF(K302="Superseded","99 Archive",IFERROR(INDEX('Drive Map'!$B$4:$B$33,MATCH(A302,'Drive Map'!$A$4:$A$33,0)),"")&amp;IF(AND(A302="04",J302&lt;&gt;""),"/"&amp;J302,"")))</f>
        <v/>
      </c>
      <c r="P302" s="7">
        <f>IF(O302="","",IF(IFERROR(INDEX('Drive Map'!$G$4:$G$33,MATCH(O302,'Drive Map'!$B$4:$B$33,0))&amp;"","")="","",HYPERLINK(INDEX('Drive Map'!$G$4:$G$33,MATCH(O302,'Drive Map'!$B$4:$B$33,0)),"Open")))</f>
        <v/>
      </c>
      <c r="R302" s="6" t="n"/>
    </row>
    <row r="303">
      <c r="A303" s="31" t="n"/>
      <c r="D303" s="7">
        <f>IF(OR(A303="",B303=""),"",SUMPRODUCT(MAX((A$4:A$303=A303)*(B$4:B$303=B303)*C$4:C$303))+1)</f>
        <v/>
      </c>
      <c r="E303" s="7">
        <f>IF(OR(A303="",B303="",C303=""),"",A303&amp;"-"&amp;B303&amp;"-"&amp;TEXT(C303,"000"))</f>
        <v/>
      </c>
      <c r="F303" s="6" t="n"/>
      <c r="H303" s="21" t="n"/>
      <c r="N303" s="7">
        <f>IF(E303="","",E303&amp;"_"&amp;SUBSTITUTE(TRIM(F303)," ","-")&amp;IF(G303="","","_Rev"&amp;G303))</f>
        <v/>
      </c>
      <c r="O303" s="7">
        <f>IF(A303="","",IF(K303="Superseded","99 Archive",IFERROR(INDEX('Drive Map'!$B$4:$B$33,MATCH(A303,'Drive Map'!$A$4:$A$33,0)),"")&amp;IF(AND(A303="04",J303&lt;&gt;""),"/"&amp;J303,"")))</f>
        <v/>
      </c>
      <c r="P303" s="7">
        <f>IF(O303="","",IF(IFERROR(INDEX('Drive Map'!$G$4:$G$33,MATCH(O303,'Drive Map'!$B$4:$B$33,0))&amp;"","")="","",HYPERLINK(INDEX('Drive Map'!$G$4:$G$33,MATCH(O303,'Drive Map'!$B$4:$B$33,0)),"Open")))</f>
        <v/>
      </c>
      <c r="R303" s="6" t="n"/>
    </row>
  </sheetData>
  <autoFilter ref="A3:R303"/>
  <conditionalFormatting sqref="E4:E303">
    <cfRule type="expression" priority="1" dxfId="2">
      <formula>AND(E4&lt;&gt;"",COUNTIF($E$4:$E$303,E4)&gt;1)</formula>
    </cfRule>
  </conditionalFormatting>
  <conditionalFormatting sqref="K4:K303">
    <cfRule type="cellIs" priority="2" operator="equal" dxfId="1">
      <formula>"Superseded"</formula>
    </cfRule>
  </conditionalFormatting>
  <dataValidations count="5">
    <dataValidation sqref="A4:A303" showDropDown="0" showInputMessage="0" showErrorMessage="0" allowBlank="1" error="Pick a value from the list." type="list" errorStyle="warning">
      <formula1>=Lists!$L$2:$L$11</formula1>
    </dataValidation>
    <dataValidation sqref="B4:B303" showDropDown="0" showInputMessage="0" showErrorMessage="0" allowBlank="1" error="Pick a value from the list." type="list" errorStyle="warning">
      <formula1>=Lists!$M$2:$M$25</formula1>
    </dataValidation>
    <dataValidation sqref="J4:J303" showDropDown="0" showInputMessage="0" showErrorMessage="0" allowBlank="1" error="Pick a value from the list." type="list" errorStyle="warning">
      <formula1>='Packages'!$B$4:$B$33</formula1>
    </dataValidation>
    <dataValidation sqref="K4:K303" showDropDown="0" showInputMessage="0" showErrorMessage="0" allowBlank="1" error="Pick a value from the list." type="list" errorStyle="warning">
      <formula1>=Lists!$N$2:$N$4</formula1>
    </dataValidation>
    <dataValidation sqref="L4:L30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6" customWidth="1" min="3" max="3"/>
    <col width="20" customWidth="1" min="4" max="4"/>
    <col width="22" customWidth="1" min="5" max="5"/>
    <col width="28" customWidth="1" min="6" max="6"/>
    <col width="9" customWidth="1" min="7" max="7"/>
    <col width="12" customWidth="1" min="8" max="8"/>
    <col width="13" customWidth="1" min="9" max="9"/>
    <col width="13" customWidth="1" min="10" max="10"/>
    <col width="13" customWidth="1" min="11" max="11"/>
    <col width="12" customWidth="1" min="12" max="12"/>
    <col width="14" customWidth="1" min="13" max="13"/>
    <col width="14" customWidth="1" min="14" max="14"/>
    <col width="12" customWidth="1" min="15" max="15"/>
    <col width="36" customWidth="1" min="16" max="16"/>
    <col width="8" customWidth="1" min="17" max="17"/>
    <col width="30" customWidth="1" min="18" max="18"/>
  </cols>
  <sheetData>
    <row r="1" ht="24" customHeight="1">
      <c r="A1" s="1" t="inlineStr">
        <is>
          <t>Trade packages &amp; cost control</t>
        </is>
      </c>
    </row>
    <row r="2">
      <c r="A2" s="2" t="inlineStr">
        <is>
          <t>Budget, committed (signed contracts + approved variations), paid and forecast for each package. Forecast final is a formula you can overwrite with your own figure.</t>
        </is>
      </c>
    </row>
    <row r="3" ht="32" customHeight="1">
      <c r="A3" s="19" t="inlineStr">
        <is>
          <t>No.</t>
        </is>
      </c>
      <c r="B3" s="19" t="inlineStr">
        <is>
          <t>Package</t>
        </is>
      </c>
      <c r="C3" s="19" t="inlineStr">
        <is>
          <t>Scope</t>
        </is>
      </c>
      <c r="D3" s="19" t="inlineStr">
        <is>
          <t>Usual basis</t>
        </is>
      </c>
      <c r="E3" s="19" t="inlineStr">
        <is>
          <t>Licence / registration</t>
        </is>
      </c>
      <c r="F3" s="19" t="inlineStr">
        <is>
          <t>Paperwork to collect</t>
        </is>
      </c>
      <c r="G3" s="19" t="inlineStr">
        <is>
          <t>On site from</t>
        </is>
      </c>
      <c r="H3" s="19" t="inlineStr">
        <is>
          <t>Budget ($)</t>
        </is>
      </c>
      <c r="I3" s="20" t="inlineStr">
        <is>
          <t>Contracted ($)</t>
        </is>
      </c>
      <c r="J3" s="20" t="inlineStr">
        <is>
          <t>Approved variations ($)</t>
        </is>
      </c>
      <c r="K3" s="20" t="inlineStr">
        <is>
          <t>Committed ($)</t>
        </is>
      </c>
      <c r="L3" s="20" t="inlineStr">
        <is>
          <t>Paid ($)</t>
        </is>
      </c>
      <c r="M3" s="20" t="inlineStr">
        <is>
          <t>Forecast final ($)</t>
        </is>
      </c>
      <c r="N3" s="20" t="inlineStr">
        <is>
          <t>Under / (over) budget ($)</t>
        </is>
      </c>
      <c r="O3" s="20" t="inlineStr">
        <is>
          <t>Flag</t>
        </is>
      </c>
      <c r="P3" s="20" t="inlineStr">
        <is>
          <t>Drive folder</t>
        </is>
      </c>
      <c r="Q3" s="20" t="inlineStr">
        <is>
          <t>Folder</t>
        </is>
      </c>
      <c r="R3" s="19" t="inlineStr">
        <is>
          <t>Notes</t>
        </is>
      </c>
    </row>
    <row r="4">
      <c r="A4" s="31" t="inlineStr">
        <is>
          <t>01</t>
        </is>
      </c>
      <c r="B4" t="inlineStr">
        <is>
          <t>01 Surveyor</t>
        </is>
      </c>
      <c r="C4" s="6" t="inlineStr">
        <is>
          <t>Surveyor: set-out &amp; re-establishment</t>
        </is>
      </c>
      <c r="D4" s="6" t="inlineStr">
        <is>
          <t>Lump sum</t>
        </is>
      </c>
      <c r="E4" s="6" t="inlineStr">
        <is>
          <t>Licensed land surveyor</t>
        </is>
      </c>
      <c r="F4" s="6" t="inlineStr">
        <is>
          <t>Set-out certificate</t>
        </is>
      </c>
      <c r="G4" t="inlineStr">
        <is>
          <t>G4</t>
        </is>
      </c>
      <c r="H4" s="29" t="n"/>
      <c r="I4" s="9">
        <f>IF($B4="","",SUMIFS('Trades'!$T$4:$T$103,'Trades'!$A$4:$A$103,$B4,'Trades'!$S$4:$S$103,"Yes"))</f>
        <v/>
      </c>
      <c r="J4" s="9">
        <f>IF($B4="","",SUMIFS('Variations'!$G$4:$G$153,'Variations'!$C$4:$C$153,$B4,'Variations'!$I$4:$I$153,"Approved"))</f>
        <v/>
      </c>
      <c r="K4" s="9">
        <f>IF(B4="","",N(I4)+N(J4))</f>
        <v/>
      </c>
      <c r="L4" s="9">
        <f>IF($B4="","",SUMIFS('Payments'!$F$4:$F$303,'Payments'!$B$4:$B$303,$B4,'Payments'!$K$4:$K$303,"Yes"))</f>
        <v/>
      </c>
      <c r="M4" s="9">
        <f>IF(B4="","",IF(N(K4)&gt;0,K4,N(H4)))</f>
        <v/>
      </c>
      <c r="N4" s="10">
        <f>IF(OR(B4="",N(H4)=0),"",H4-M4)</f>
        <v/>
      </c>
      <c r="O4" s="7">
        <f>IF(OR(B4="",N(H4)=0),"",IF(M4&gt;H4*1.05,"Over &gt;5%",""))</f>
        <v/>
      </c>
      <c r="P4" s="7">
        <f>IF(B4="","","04 Trades &amp; Tenders/"&amp;B4)</f>
        <v/>
      </c>
      <c r="Q4" s="7">
        <f>IF(P4="","",IF(IFERROR(INDEX('Drive Map'!$G$4:$G$33,MATCH(P4,'Drive Map'!$B$4:$B$33,0))&amp;"","")="","",HYPERLINK(INDEX('Drive Map'!$G$4:$G$33,MATCH(P4,'Drive Map'!$B$4:$B$33,0)),"Open")))</f>
        <v/>
      </c>
      <c r="R4" s="6" t="n"/>
    </row>
    <row r="5">
      <c r="A5" s="31" t="inlineStr">
        <is>
          <t>02</t>
        </is>
      </c>
      <c r="B5" t="inlineStr">
        <is>
          <t>02 Demolition &amp; earthworks</t>
        </is>
      </c>
      <c r="C5" s="6" t="inlineStr">
        <is>
          <t>Demolition / earthworks / excavation</t>
        </is>
      </c>
      <c r="D5" s="6" t="inlineStr">
        <is>
          <t>Lump sum or hourly rates</t>
        </is>
      </c>
      <c r="E5" s="6" t="inlineStr">
        <is>
          <t>Registered demolisher (if demolishing)</t>
        </is>
      </c>
      <c r="F5" s="6" t="inlineStr">
        <is>
          <t>SWMS, tip dockets, asbestos clearance</t>
        </is>
      </c>
      <c r="G5" t="inlineStr">
        <is>
          <t>G4</t>
        </is>
      </c>
      <c r="H5" s="29" t="n"/>
      <c r="I5" s="9">
        <f>IF($B5="","",SUMIFS('Trades'!$T$4:$T$103,'Trades'!$A$4:$A$103,$B5,'Trades'!$S$4:$S$103,"Yes"))</f>
        <v/>
      </c>
      <c r="J5" s="9">
        <f>IF($B5="","",SUMIFS('Variations'!$G$4:$G$153,'Variations'!$C$4:$C$153,$B5,'Variations'!$I$4:$I$153,"Approved"))</f>
        <v/>
      </c>
      <c r="K5" s="9">
        <f>IF(B5="","",N(I5)+N(J5))</f>
        <v/>
      </c>
      <c r="L5" s="9">
        <f>IF($B5="","",SUMIFS('Payments'!$F$4:$F$303,'Payments'!$B$4:$B$303,$B5,'Payments'!$K$4:$K$303,"Yes"))</f>
        <v/>
      </c>
      <c r="M5" s="9">
        <f>IF(B5="","",IF(N(K5)&gt;0,K5,N(H5)))</f>
        <v/>
      </c>
      <c r="N5" s="10">
        <f>IF(OR(B5="",N(H5)=0),"",H5-M5)</f>
        <v/>
      </c>
      <c r="O5" s="7">
        <f>IF(OR(B5="",N(H5)=0),"",IF(M5&gt;H5*1.05,"Over &gt;5%",""))</f>
        <v/>
      </c>
      <c r="P5" s="7">
        <f>IF(B5="","","04 Trades &amp; Tenders/"&amp;B5)</f>
        <v/>
      </c>
      <c r="Q5" s="7">
        <f>IF(P5="","",IF(IFERROR(INDEX('Drive Map'!$G$4:$G$33,MATCH(P5,'Drive Map'!$B$4:$B$33,0))&amp;"","")="","",HYPERLINK(INDEX('Drive Map'!$G$4:$G$33,MATCH(P5,'Drive Map'!$B$4:$B$33,0)),"Open")))</f>
        <v/>
      </c>
      <c r="R5" s="6" t="n"/>
    </row>
    <row r="6">
      <c r="A6" s="31" t="inlineStr">
        <is>
          <t>03</t>
        </is>
      </c>
      <c r="B6" t="inlineStr">
        <is>
          <t>03 Plumbing &amp; drainage</t>
        </is>
      </c>
      <c r="C6" s="6" t="inlineStr">
        <is>
          <t>Plumber: drainage, stormwater, sewer</t>
        </is>
      </c>
      <c r="D6" s="6" t="inlineStr">
        <is>
          <t>Lump sum per stage</t>
        </is>
      </c>
      <c r="E6" s="6" t="inlineStr">
        <is>
          <t>BPC licensed plumber</t>
        </is>
      </c>
      <c r="F6" s="6" t="inlineStr">
        <is>
          <t>Plumbing compliance certificate (PCC)</t>
        </is>
      </c>
      <c r="G6" t="inlineStr">
        <is>
          <t>G4</t>
        </is>
      </c>
      <c r="H6" s="29" t="n"/>
      <c r="I6" s="9">
        <f>IF($B6="","",SUMIFS('Trades'!$T$4:$T$103,'Trades'!$A$4:$A$103,$B6,'Trades'!$S$4:$S$103,"Yes"))</f>
        <v/>
      </c>
      <c r="J6" s="9">
        <f>IF($B6="","",SUMIFS('Variations'!$G$4:$G$153,'Variations'!$C$4:$C$153,$B6,'Variations'!$I$4:$I$153,"Approved"))</f>
        <v/>
      </c>
      <c r="K6" s="9">
        <f>IF(B6="","",N(I6)+N(J6))</f>
        <v/>
      </c>
      <c r="L6" s="9">
        <f>IF($B6="","",SUMIFS('Payments'!$F$4:$F$303,'Payments'!$B$4:$B$303,$B6,'Payments'!$K$4:$K$303,"Yes"))</f>
        <v/>
      </c>
      <c r="M6" s="9">
        <f>IF(B6="","",IF(N(K6)&gt;0,K6,N(H6)))</f>
        <v/>
      </c>
      <c r="N6" s="10">
        <f>IF(OR(B6="",N(H6)=0),"",H6-M6)</f>
        <v/>
      </c>
      <c r="O6" s="7">
        <f>IF(OR(B6="",N(H6)=0),"",IF(M6&gt;H6*1.05,"Over &gt;5%",""))</f>
        <v/>
      </c>
      <c r="P6" s="7">
        <f>IF(B6="","","04 Trades &amp; Tenders/"&amp;B6)</f>
        <v/>
      </c>
      <c r="Q6" s="7">
        <f>IF(P6="","",IF(IFERROR(INDEX('Drive Map'!$G$4:$G$33,MATCH(P6,'Drive Map'!$B$4:$B$33,0))&amp;"","")="","",HYPERLINK(INDEX('Drive Map'!$G$4:$G$33,MATCH(P6,'Drive Map'!$B$4:$B$33,0)),"Open")))</f>
        <v/>
      </c>
      <c r="R6" s="6" t="n"/>
    </row>
    <row r="7">
      <c r="A7" s="31" t="inlineStr">
        <is>
          <t>04</t>
        </is>
      </c>
      <c r="B7" t="inlineStr">
        <is>
          <t>04 Concreter</t>
        </is>
      </c>
      <c r="C7" s="6" t="inlineStr">
        <is>
          <t>Concreter: footings &amp; slab</t>
        </is>
      </c>
      <c r="D7" s="6" t="inlineStr">
        <is>
          <t>Lump sum (m² + extras)</t>
        </is>
      </c>
      <c r="E7" s="6" t="inlineStr">
        <is>
          <t>Registered if over $10k*</t>
        </is>
      </c>
      <c r="F7" s="6" t="inlineStr">
        <is>
          <t>Engineer pour approval, pre-pour inspection</t>
        </is>
      </c>
      <c r="G7" t="inlineStr">
        <is>
          <t>G4</t>
        </is>
      </c>
      <c r="H7" s="29" t="n"/>
      <c r="I7" s="9">
        <f>IF($B7="","",SUMIFS('Trades'!$T$4:$T$103,'Trades'!$A$4:$A$103,$B7,'Trades'!$S$4:$S$103,"Yes"))</f>
        <v/>
      </c>
      <c r="J7" s="9">
        <f>IF($B7="","",SUMIFS('Variations'!$G$4:$G$153,'Variations'!$C$4:$C$153,$B7,'Variations'!$I$4:$I$153,"Approved"))</f>
        <v/>
      </c>
      <c r="K7" s="9">
        <f>IF(B7="","",N(I7)+N(J7))</f>
        <v/>
      </c>
      <c r="L7" s="9">
        <f>IF($B7="","",SUMIFS('Payments'!$F$4:$F$303,'Payments'!$B$4:$B$303,$B7,'Payments'!$K$4:$K$303,"Yes"))</f>
        <v/>
      </c>
      <c r="M7" s="9">
        <f>IF(B7="","",IF(N(K7)&gt;0,K7,N(H7)))</f>
        <v/>
      </c>
      <c r="N7" s="10">
        <f>IF(OR(B7="",N(H7)=0),"",H7-M7)</f>
        <v/>
      </c>
      <c r="O7" s="7">
        <f>IF(OR(B7="",N(H7)=0),"",IF(M7&gt;H7*1.05,"Over &gt;5%",""))</f>
        <v/>
      </c>
      <c r="P7" s="7">
        <f>IF(B7="","","04 Trades &amp; Tenders/"&amp;B7)</f>
        <v/>
      </c>
      <c r="Q7" s="7">
        <f>IF(P7="","",IF(IFERROR(INDEX('Drive Map'!$G$4:$G$33,MATCH(P7,'Drive Map'!$B$4:$B$33,0))&amp;"","")="","",HYPERLINK(INDEX('Drive Map'!$G$4:$G$33,MATCH(P7,'Drive Map'!$B$4:$B$33,0)),"Open")))</f>
        <v/>
      </c>
      <c r="R7" s="6" t="n"/>
    </row>
    <row r="8">
      <c r="A8" s="31" t="inlineStr">
        <is>
          <t>05</t>
        </is>
      </c>
      <c r="B8" t="inlineStr">
        <is>
          <t>05 Termite management</t>
        </is>
      </c>
      <c r="C8" s="6" t="inlineStr">
        <is>
          <t>Termite management</t>
        </is>
      </c>
      <c r="D8" s="6" t="inlineStr">
        <is>
          <t>Supply &amp; install</t>
        </is>
      </c>
      <c r="E8" s="6" t="inlineStr">
        <is>
          <t>Licensed pest controller</t>
        </is>
      </c>
      <c r="F8" s="6" t="inlineStr">
        <is>
          <t>AS 3660.1 certificate, durable notice</t>
        </is>
      </c>
      <c r="G8" t="inlineStr">
        <is>
          <t>G4</t>
        </is>
      </c>
      <c r="H8" s="29" t="n"/>
      <c r="I8" s="9">
        <f>IF($B8="","",SUMIFS('Trades'!$T$4:$T$103,'Trades'!$A$4:$A$103,$B8,'Trades'!$S$4:$S$103,"Yes"))</f>
        <v/>
      </c>
      <c r="J8" s="9">
        <f>IF($B8="","",SUMIFS('Variations'!$G$4:$G$153,'Variations'!$C$4:$C$153,$B8,'Variations'!$I$4:$I$153,"Approved"))</f>
        <v/>
      </c>
      <c r="K8" s="9">
        <f>IF(B8="","",N(I8)+N(J8))</f>
        <v/>
      </c>
      <c r="L8" s="9">
        <f>IF($B8="","",SUMIFS('Payments'!$F$4:$F$303,'Payments'!$B$4:$B$303,$B8,'Payments'!$K$4:$K$303,"Yes"))</f>
        <v/>
      </c>
      <c r="M8" s="9">
        <f>IF(B8="","",IF(N(K8)&gt;0,K8,N(H8)))</f>
        <v/>
      </c>
      <c r="N8" s="10">
        <f>IF(OR(B8="",N(H8)=0),"",H8-M8)</f>
        <v/>
      </c>
      <c r="O8" s="7">
        <f>IF(OR(B8="",N(H8)=0),"",IF(M8&gt;H8*1.05,"Over &gt;5%",""))</f>
        <v/>
      </c>
      <c r="P8" s="7">
        <f>IF(B8="","","04 Trades &amp; Tenders/"&amp;B8)</f>
        <v/>
      </c>
      <c r="Q8" s="7">
        <f>IF(P8="","",IF(IFERROR(INDEX('Drive Map'!$G$4:$G$33,MATCH(P8,'Drive Map'!$B$4:$B$33,0))&amp;"","")="","",HYPERLINK(INDEX('Drive Map'!$G$4:$G$33,MATCH(P8,'Drive Map'!$B$4:$B$33,0)),"Open")))</f>
        <v/>
      </c>
      <c r="R8" s="6" t="n"/>
    </row>
    <row r="9">
      <c r="A9" s="31" t="inlineStr">
        <is>
          <t>06</t>
        </is>
      </c>
      <c r="B9" t="inlineStr">
        <is>
          <t>06 Frame &amp; truss supply</t>
        </is>
      </c>
      <c r="C9" s="6" t="inlineStr">
        <is>
          <t>Frame &amp; truss supply</t>
        </is>
      </c>
      <c r="D9" s="6" t="inlineStr">
        <is>
          <t>Supply only</t>
        </is>
      </c>
      <c r="E9" s="6" t="inlineStr">
        <is>
          <t>n/a (supplier)</t>
        </is>
      </c>
      <c r="F9" s="6" t="inlineStr">
        <is>
          <t>Truss &amp; frame design certificates</t>
        </is>
      </c>
      <c r="G9" t="inlineStr">
        <is>
          <t>G5</t>
        </is>
      </c>
      <c r="H9" s="29" t="n"/>
      <c r="I9" s="9">
        <f>IF($B9="","",SUMIFS('Trades'!$T$4:$T$103,'Trades'!$A$4:$A$103,$B9,'Trades'!$S$4:$S$103,"Yes"))</f>
        <v/>
      </c>
      <c r="J9" s="9">
        <f>IF($B9="","",SUMIFS('Variations'!$G$4:$G$153,'Variations'!$C$4:$C$153,$B9,'Variations'!$I$4:$I$153,"Approved"))</f>
        <v/>
      </c>
      <c r="K9" s="9">
        <f>IF(B9="","",N(I9)+N(J9))</f>
        <v/>
      </c>
      <c r="L9" s="9">
        <f>IF($B9="","",SUMIFS('Payments'!$F$4:$F$303,'Payments'!$B$4:$B$303,$B9,'Payments'!$K$4:$K$303,"Yes"))</f>
        <v/>
      </c>
      <c r="M9" s="9">
        <f>IF(B9="","",IF(N(K9)&gt;0,K9,N(H9)))</f>
        <v/>
      </c>
      <c r="N9" s="10">
        <f>IF(OR(B9="",N(H9)=0),"",H9-M9)</f>
        <v/>
      </c>
      <c r="O9" s="7">
        <f>IF(OR(B9="",N(H9)=0),"",IF(M9&gt;H9*1.05,"Over &gt;5%",""))</f>
        <v/>
      </c>
      <c r="P9" s="7">
        <f>IF(B9="","","04 Trades &amp; Tenders/"&amp;B9)</f>
        <v/>
      </c>
      <c r="Q9" s="7">
        <f>IF(P9="","",IF(IFERROR(INDEX('Drive Map'!$G$4:$G$33,MATCH(P9,'Drive Map'!$B$4:$B$33,0))&amp;"","")="","",HYPERLINK(INDEX('Drive Map'!$G$4:$G$33,MATCH(P9,'Drive Map'!$B$4:$B$33,0)),"Open")))</f>
        <v/>
      </c>
      <c r="R9" s="6" t="n"/>
    </row>
    <row r="10">
      <c r="A10" s="31" t="inlineStr">
        <is>
          <t>07</t>
        </is>
      </c>
      <c r="B10" t="inlineStr">
        <is>
          <t>07 Carpenter (frame)</t>
        </is>
      </c>
      <c r="C10" s="6" t="inlineStr">
        <is>
          <t>Carpenter: frame, fascia, eaves</t>
        </is>
      </c>
      <c r="D10" s="6" t="inlineStr">
        <is>
          <t>Labour only or lump sum</t>
        </is>
      </c>
      <c r="E10" s="6" t="inlineStr">
        <is>
          <t>Registered if over $10k*</t>
        </is>
      </c>
      <c r="F10" s="6" t="inlineStr">
        <is>
          <t>Frame inspection pass</t>
        </is>
      </c>
      <c r="G10" t="inlineStr">
        <is>
          <t>G5</t>
        </is>
      </c>
      <c r="H10" s="29" t="n"/>
      <c r="I10" s="9">
        <f>IF($B10="","",SUMIFS('Trades'!$T$4:$T$103,'Trades'!$A$4:$A$103,$B10,'Trades'!$S$4:$S$103,"Yes"))</f>
        <v/>
      </c>
      <c r="J10" s="9">
        <f>IF($B10="","",SUMIFS('Variations'!$G$4:$G$153,'Variations'!$C$4:$C$153,$B10,'Variations'!$I$4:$I$153,"Approved"))</f>
        <v/>
      </c>
      <c r="K10" s="9">
        <f>IF(B10="","",N(I10)+N(J10))</f>
        <v/>
      </c>
      <c r="L10" s="9">
        <f>IF($B10="","",SUMIFS('Payments'!$F$4:$F$303,'Payments'!$B$4:$B$303,$B10,'Payments'!$K$4:$K$303,"Yes"))</f>
        <v/>
      </c>
      <c r="M10" s="9">
        <f>IF(B10="","",IF(N(K10)&gt;0,K10,N(H10)))</f>
        <v/>
      </c>
      <c r="N10" s="10">
        <f>IF(OR(B10="",N(H10)=0),"",H10-M10)</f>
        <v/>
      </c>
      <c r="O10" s="7">
        <f>IF(OR(B10="",N(H10)=0),"",IF(M10&gt;H10*1.05,"Over &gt;5%",""))</f>
        <v/>
      </c>
      <c r="P10" s="7">
        <f>IF(B10="","","04 Trades &amp; Tenders/"&amp;B10)</f>
        <v/>
      </c>
      <c r="Q10" s="7">
        <f>IF(P10="","",IF(IFERROR(INDEX('Drive Map'!$G$4:$G$33,MATCH(P10,'Drive Map'!$B$4:$B$33,0))&amp;"","")="","",HYPERLINK(INDEX('Drive Map'!$G$4:$G$33,MATCH(P10,'Drive Map'!$B$4:$B$33,0)),"Open")))</f>
        <v/>
      </c>
      <c r="R10" s="6" t="n"/>
    </row>
    <row r="11">
      <c r="A11" s="31" t="inlineStr">
        <is>
          <t>08</t>
        </is>
      </c>
      <c r="B11" t="inlineStr">
        <is>
          <t>08 Roofing</t>
        </is>
      </c>
      <c r="C11" s="6" t="inlineStr">
        <is>
          <t>Roofer &amp; plumber: roof, gutters, downpipes</t>
        </is>
      </c>
      <c r="D11" s="6" t="inlineStr">
        <is>
          <t>Supply &amp; install</t>
        </is>
      </c>
      <c r="E11" s="6" t="inlineStr">
        <is>
          <t>Roof plumbing licence</t>
        </is>
      </c>
      <c r="F11" s="6" t="inlineStr">
        <is>
          <t>PCC (roofing)</t>
        </is>
      </c>
      <c r="G11" t="inlineStr">
        <is>
          <t>G5</t>
        </is>
      </c>
      <c r="H11" s="29" t="n"/>
      <c r="I11" s="9">
        <f>IF($B11="","",SUMIFS('Trades'!$T$4:$T$103,'Trades'!$A$4:$A$103,$B11,'Trades'!$S$4:$S$103,"Yes"))</f>
        <v/>
      </c>
      <c r="J11" s="9">
        <f>IF($B11="","",SUMIFS('Variations'!$G$4:$G$153,'Variations'!$C$4:$C$153,$B11,'Variations'!$I$4:$I$153,"Approved"))</f>
        <v/>
      </c>
      <c r="K11" s="9">
        <f>IF(B11="","",N(I11)+N(J11))</f>
        <v/>
      </c>
      <c r="L11" s="9">
        <f>IF($B11="","",SUMIFS('Payments'!$F$4:$F$303,'Payments'!$B$4:$B$303,$B11,'Payments'!$K$4:$K$303,"Yes"))</f>
        <v/>
      </c>
      <c r="M11" s="9">
        <f>IF(B11="","",IF(N(K11)&gt;0,K11,N(H11)))</f>
        <v/>
      </c>
      <c r="N11" s="10">
        <f>IF(OR(B11="",N(H11)=0),"",H11-M11)</f>
        <v/>
      </c>
      <c r="O11" s="7">
        <f>IF(OR(B11="",N(H11)=0),"",IF(M11&gt;H11*1.05,"Over &gt;5%",""))</f>
        <v/>
      </c>
      <c r="P11" s="7">
        <f>IF(B11="","","04 Trades &amp; Tenders/"&amp;B11)</f>
        <v/>
      </c>
      <c r="Q11" s="7">
        <f>IF(P11="","",IF(IFERROR(INDEX('Drive Map'!$G$4:$G$33,MATCH(P11,'Drive Map'!$B$4:$B$33,0))&amp;"","")="","",HYPERLINK(INDEX('Drive Map'!$G$4:$G$33,MATCH(P11,'Drive Map'!$B$4:$B$33,0)),"Open")))</f>
        <v/>
      </c>
      <c r="R11" s="6" t="n"/>
    </row>
    <row r="12">
      <c r="A12" s="31" t="inlineStr">
        <is>
          <t>09</t>
        </is>
      </c>
      <c r="B12" t="inlineStr">
        <is>
          <t>09 Windows &amp; external doors</t>
        </is>
      </c>
      <c r="C12" s="6" t="inlineStr">
        <is>
          <t>Windows &amp; external doors</t>
        </is>
      </c>
      <c r="D12" s="6" t="inlineStr">
        <is>
          <t>Supply (&amp; install)</t>
        </is>
      </c>
      <c r="E12" s="6" t="inlineStr">
        <is>
          <t>n/a / glazier</t>
        </is>
      </c>
      <c r="F12" s="6" t="inlineStr">
        <is>
          <t>AS 2047 / 1288 glazing certificate, energy labels</t>
        </is>
      </c>
      <c r="G12" t="inlineStr">
        <is>
          <t>G5</t>
        </is>
      </c>
      <c r="H12" s="29" t="n"/>
      <c r="I12" s="9">
        <f>IF($B12="","",SUMIFS('Trades'!$T$4:$T$103,'Trades'!$A$4:$A$103,$B12,'Trades'!$S$4:$S$103,"Yes"))</f>
        <v/>
      </c>
      <c r="J12" s="9">
        <f>IF($B12="","",SUMIFS('Variations'!$G$4:$G$153,'Variations'!$C$4:$C$153,$B12,'Variations'!$I$4:$I$153,"Approved"))</f>
        <v/>
      </c>
      <c r="K12" s="9">
        <f>IF(B12="","",N(I12)+N(J12))</f>
        <v/>
      </c>
      <c r="L12" s="9">
        <f>IF($B12="","",SUMIFS('Payments'!$F$4:$F$303,'Payments'!$B$4:$B$303,$B12,'Payments'!$K$4:$K$303,"Yes"))</f>
        <v/>
      </c>
      <c r="M12" s="9">
        <f>IF(B12="","",IF(N(K12)&gt;0,K12,N(H12)))</f>
        <v/>
      </c>
      <c r="N12" s="10">
        <f>IF(OR(B12="",N(H12)=0),"",H12-M12)</f>
        <v/>
      </c>
      <c r="O12" s="7">
        <f>IF(OR(B12="",N(H12)=0),"",IF(M12&gt;H12*1.05,"Over &gt;5%",""))</f>
        <v/>
      </c>
      <c r="P12" s="7">
        <f>IF(B12="","","04 Trades &amp; Tenders/"&amp;B12)</f>
        <v/>
      </c>
      <c r="Q12" s="7">
        <f>IF(P12="","",IF(IFERROR(INDEX('Drive Map'!$G$4:$G$33,MATCH(P12,'Drive Map'!$B$4:$B$33,0))&amp;"","")="","",HYPERLINK(INDEX('Drive Map'!$G$4:$G$33,MATCH(P12,'Drive Map'!$B$4:$B$33,0)),"Open")))</f>
        <v/>
      </c>
      <c r="R12" s="6" t="n"/>
    </row>
    <row r="13">
      <c r="A13" s="31" t="inlineStr">
        <is>
          <t>10</t>
        </is>
      </c>
      <c r="B13" t="inlineStr">
        <is>
          <t>10 Bricklayer &amp; cladding</t>
        </is>
      </c>
      <c r="C13" s="6" t="inlineStr">
        <is>
          <t>Bricklayer / cladding</t>
        </is>
      </c>
      <c r="D13" s="6" t="inlineStr">
        <is>
          <t>Rate per 1,000 bricks or m²</t>
        </is>
      </c>
      <c r="E13" s="6" t="inlineStr">
        <is>
          <t>Registered if over $10k*</t>
        </is>
      </c>
      <c r="F13" s="6" t="inlineStr">
        <is>
          <t>Wall-tie &amp; flashing photos</t>
        </is>
      </c>
      <c r="G13" t="inlineStr">
        <is>
          <t>G5</t>
        </is>
      </c>
      <c r="H13" s="29" t="n"/>
      <c r="I13" s="9">
        <f>IF($B13="","",SUMIFS('Trades'!$T$4:$T$103,'Trades'!$A$4:$A$103,$B13,'Trades'!$S$4:$S$103,"Yes"))</f>
        <v/>
      </c>
      <c r="J13" s="9">
        <f>IF($B13="","",SUMIFS('Variations'!$G$4:$G$153,'Variations'!$C$4:$C$153,$B13,'Variations'!$I$4:$I$153,"Approved"))</f>
        <v/>
      </c>
      <c r="K13" s="9">
        <f>IF(B13="","",N(I13)+N(J13))</f>
        <v/>
      </c>
      <c r="L13" s="9">
        <f>IF($B13="","",SUMIFS('Payments'!$F$4:$F$303,'Payments'!$B$4:$B$303,$B13,'Payments'!$K$4:$K$303,"Yes"))</f>
        <v/>
      </c>
      <c r="M13" s="9">
        <f>IF(B13="","",IF(N(K13)&gt;0,K13,N(H13)))</f>
        <v/>
      </c>
      <c r="N13" s="10">
        <f>IF(OR(B13="",N(H13)=0),"",H13-M13)</f>
        <v/>
      </c>
      <c r="O13" s="7">
        <f>IF(OR(B13="",N(H13)=0),"",IF(M13&gt;H13*1.05,"Over &gt;5%",""))</f>
        <v/>
      </c>
      <c r="P13" s="7">
        <f>IF(B13="","","04 Trades &amp; Tenders/"&amp;B13)</f>
        <v/>
      </c>
      <c r="Q13" s="7">
        <f>IF(P13="","",IF(IFERROR(INDEX('Drive Map'!$G$4:$G$33,MATCH(P13,'Drive Map'!$B$4:$B$33,0))&amp;"","")="","",HYPERLINK(INDEX('Drive Map'!$G$4:$G$33,MATCH(P13,'Drive Map'!$B$4:$B$33,0)),"Open")))</f>
        <v/>
      </c>
      <c r="R13" s="6" t="n"/>
    </row>
    <row r="14">
      <c r="A14" s="31" t="inlineStr">
        <is>
          <t>11</t>
        </is>
      </c>
      <c r="B14" t="inlineStr">
        <is>
          <t>11 Electrician</t>
        </is>
      </c>
      <c r="C14" s="6" t="inlineStr">
        <is>
          <t>Electrician: rough-in &amp; fit-off</t>
        </is>
      </c>
      <c r="D14" s="6" t="inlineStr">
        <is>
          <t>Lump sum + points schedule</t>
        </is>
      </c>
      <c r="E14" s="6" t="inlineStr">
        <is>
          <t>ESV licensed electrician</t>
        </is>
      </c>
      <c r="F14" s="6" t="inlineStr">
        <is>
          <t>Certificate of Electrical Safety</t>
        </is>
      </c>
      <c r="G14" t="inlineStr">
        <is>
          <t>G5</t>
        </is>
      </c>
      <c r="H14" s="29" t="n"/>
      <c r="I14" s="9">
        <f>IF($B14="","",SUMIFS('Trades'!$T$4:$T$103,'Trades'!$A$4:$A$103,$B14,'Trades'!$S$4:$S$103,"Yes"))</f>
        <v/>
      </c>
      <c r="J14" s="9">
        <f>IF($B14="","",SUMIFS('Variations'!$G$4:$G$153,'Variations'!$C$4:$C$153,$B14,'Variations'!$I$4:$I$153,"Approved"))</f>
        <v/>
      </c>
      <c r="K14" s="9">
        <f>IF(B14="","",N(I14)+N(J14))</f>
        <v/>
      </c>
      <c r="L14" s="9">
        <f>IF($B14="","",SUMIFS('Payments'!$F$4:$F$303,'Payments'!$B$4:$B$303,$B14,'Payments'!$K$4:$K$303,"Yes"))</f>
        <v/>
      </c>
      <c r="M14" s="9">
        <f>IF(B14="","",IF(N(K14)&gt;0,K14,N(H14)))</f>
        <v/>
      </c>
      <c r="N14" s="10">
        <f>IF(OR(B14="",N(H14)=0),"",H14-M14)</f>
        <v/>
      </c>
      <c r="O14" s="7">
        <f>IF(OR(B14="",N(H14)=0),"",IF(M14&gt;H14*1.05,"Over &gt;5%",""))</f>
        <v/>
      </c>
      <c r="P14" s="7">
        <f>IF(B14="","","04 Trades &amp; Tenders/"&amp;B14)</f>
        <v/>
      </c>
      <c r="Q14" s="7">
        <f>IF(P14="","",IF(IFERROR(INDEX('Drive Map'!$G$4:$G$33,MATCH(P14,'Drive Map'!$B$4:$B$33,0))&amp;"","")="","",HYPERLINK(INDEX('Drive Map'!$G$4:$G$33,MATCH(P14,'Drive Map'!$B$4:$B$33,0)),"Open")))</f>
        <v/>
      </c>
      <c r="R14" s="6" t="n"/>
    </row>
    <row r="15">
      <c r="A15" s="31" t="inlineStr">
        <is>
          <t>12</t>
        </is>
      </c>
      <c r="B15" t="inlineStr">
        <is>
          <t>12 Insulation</t>
        </is>
      </c>
      <c r="C15" s="6" t="inlineStr">
        <is>
          <t>Insulation</t>
        </is>
      </c>
      <c r="D15" s="6" t="inlineStr">
        <is>
          <t>Supply &amp; install</t>
        </is>
      </c>
      <c r="E15" s="6" t="inlineStr">
        <is>
          <t>n/a</t>
        </is>
      </c>
      <c r="F15" s="6" t="inlineStr">
        <is>
          <t>Insulation certificate (R-values per energy report)</t>
        </is>
      </c>
      <c r="G15" t="inlineStr">
        <is>
          <t>G5</t>
        </is>
      </c>
      <c r="H15" s="29" t="n"/>
      <c r="I15" s="9">
        <f>IF($B15="","",SUMIFS('Trades'!$T$4:$T$103,'Trades'!$A$4:$A$103,$B15,'Trades'!$S$4:$S$103,"Yes"))</f>
        <v/>
      </c>
      <c r="J15" s="9">
        <f>IF($B15="","",SUMIFS('Variations'!$G$4:$G$153,'Variations'!$C$4:$C$153,$B15,'Variations'!$I$4:$I$153,"Approved"))</f>
        <v/>
      </c>
      <c r="K15" s="9">
        <f>IF(B15="","",N(I15)+N(J15))</f>
        <v/>
      </c>
      <c r="L15" s="9">
        <f>IF($B15="","",SUMIFS('Payments'!$F$4:$F$303,'Payments'!$B$4:$B$303,$B15,'Payments'!$K$4:$K$303,"Yes"))</f>
        <v/>
      </c>
      <c r="M15" s="9">
        <f>IF(B15="","",IF(N(K15)&gt;0,K15,N(H15)))</f>
        <v/>
      </c>
      <c r="N15" s="10">
        <f>IF(OR(B15="",N(H15)=0),"",H15-M15)</f>
        <v/>
      </c>
      <c r="O15" s="7">
        <f>IF(OR(B15="",N(H15)=0),"",IF(M15&gt;H15*1.05,"Over &gt;5%",""))</f>
        <v/>
      </c>
      <c r="P15" s="7">
        <f>IF(B15="","","04 Trades &amp; Tenders/"&amp;B15)</f>
        <v/>
      </c>
      <c r="Q15" s="7">
        <f>IF(P15="","",IF(IFERROR(INDEX('Drive Map'!$G$4:$G$33,MATCH(P15,'Drive Map'!$B$4:$B$33,0))&amp;"","")="","",HYPERLINK(INDEX('Drive Map'!$G$4:$G$33,MATCH(P15,'Drive Map'!$B$4:$B$33,0)),"Open")))</f>
        <v/>
      </c>
      <c r="R15" s="6" t="n"/>
    </row>
    <row r="16">
      <c r="A16" s="31" t="inlineStr">
        <is>
          <t>13</t>
        </is>
      </c>
      <c r="B16" t="inlineStr">
        <is>
          <t>13 Plasterer</t>
        </is>
      </c>
      <c r="C16" s="6" t="inlineStr">
        <is>
          <t>Plasterer</t>
        </is>
      </c>
      <c r="D16" s="6" t="inlineStr">
        <is>
          <t>Rate per m² / lump sum</t>
        </is>
      </c>
      <c r="E16" s="6" t="inlineStr">
        <is>
          <t>Registered if over $10k*</t>
        </is>
      </c>
      <c r="F16" s="6" t="inlineStr">
        <is>
          <t>Wet-area board spec</t>
        </is>
      </c>
      <c r="G16" t="inlineStr">
        <is>
          <t>G6</t>
        </is>
      </c>
      <c r="H16" s="29" t="n"/>
      <c r="I16" s="9">
        <f>IF($B16="","",SUMIFS('Trades'!$T$4:$T$103,'Trades'!$A$4:$A$103,$B16,'Trades'!$S$4:$S$103,"Yes"))</f>
        <v/>
      </c>
      <c r="J16" s="9">
        <f>IF($B16="","",SUMIFS('Variations'!$G$4:$G$153,'Variations'!$C$4:$C$153,$B16,'Variations'!$I$4:$I$153,"Approved"))</f>
        <v/>
      </c>
      <c r="K16" s="9">
        <f>IF(B16="","",N(I16)+N(J16))</f>
        <v/>
      </c>
      <c r="L16" s="9">
        <f>IF($B16="","",SUMIFS('Payments'!$F$4:$F$303,'Payments'!$B$4:$B$303,$B16,'Payments'!$K$4:$K$303,"Yes"))</f>
        <v/>
      </c>
      <c r="M16" s="9">
        <f>IF(B16="","",IF(N(K16)&gt;0,K16,N(H16)))</f>
        <v/>
      </c>
      <c r="N16" s="10">
        <f>IF(OR(B16="",N(H16)=0),"",H16-M16)</f>
        <v/>
      </c>
      <c r="O16" s="7">
        <f>IF(OR(B16="",N(H16)=0),"",IF(M16&gt;H16*1.05,"Over &gt;5%",""))</f>
        <v/>
      </c>
      <c r="P16" s="7">
        <f>IF(B16="","","04 Trades &amp; Tenders/"&amp;B16)</f>
        <v/>
      </c>
      <c r="Q16" s="7">
        <f>IF(P16="","",IF(IFERROR(INDEX('Drive Map'!$G$4:$G$33,MATCH(P16,'Drive Map'!$B$4:$B$33,0))&amp;"","")="","",HYPERLINK(INDEX('Drive Map'!$G$4:$G$33,MATCH(P16,'Drive Map'!$B$4:$B$33,0)),"Open")))</f>
        <v/>
      </c>
      <c r="R16" s="6" t="n"/>
    </row>
    <row r="17">
      <c r="A17" s="31" t="inlineStr">
        <is>
          <t>14</t>
        </is>
      </c>
      <c r="B17" t="inlineStr">
        <is>
          <t>14 Waterproofer</t>
        </is>
      </c>
      <c r="C17" s="6" t="inlineStr">
        <is>
          <t>Waterproofer</t>
        </is>
      </c>
      <c r="D17" s="6" t="inlineStr">
        <is>
          <t>Lump sum per room</t>
        </is>
      </c>
      <c r="E17" s="6" t="inlineStr">
        <is>
          <t>Registered if over $10k*</t>
        </is>
      </c>
      <c r="F17" s="6" t="inlineStr">
        <is>
          <t>AS 3740 waterproofing certificate</t>
        </is>
      </c>
      <c r="G17" t="inlineStr">
        <is>
          <t>G6</t>
        </is>
      </c>
      <c r="H17" s="29" t="n"/>
      <c r="I17" s="9">
        <f>IF($B17="","",SUMIFS('Trades'!$T$4:$T$103,'Trades'!$A$4:$A$103,$B17,'Trades'!$S$4:$S$103,"Yes"))</f>
        <v/>
      </c>
      <c r="J17" s="9">
        <f>IF($B17="","",SUMIFS('Variations'!$G$4:$G$153,'Variations'!$C$4:$C$153,$B17,'Variations'!$I$4:$I$153,"Approved"))</f>
        <v/>
      </c>
      <c r="K17" s="9">
        <f>IF(B17="","",N(I17)+N(J17))</f>
        <v/>
      </c>
      <c r="L17" s="9">
        <f>IF($B17="","",SUMIFS('Payments'!$F$4:$F$303,'Payments'!$B$4:$B$303,$B17,'Payments'!$K$4:$K$303,"Yes"))</f>
        <v/>
      </c>
      <c r="M17" s="9">
        <f>IF(B17="","",IF(N(K17)&gt;0,K17,N(H17)))</f>
        <v/>
      </c>
      <c r="N17" s="10">
        <f>IF(OR(B17="",N(H17)=0),"",H17-M17)</f>
        <v/>
      </c>
      <c r="O17" s="7">
        <f>IF(OR(B17="",N(H17)=0),"",IF(M17&gt;H17*1.05,"Over &gt;5%",""))</f>
        <v/>
      </c>
      <c r="P17" s="7">
        <f>IF(B17="","","04 Trades &amp; Tenders/"&amp;B17)</f>
        <v/>
      </c>
      <c r="Q17" s="7">
        <f>IF(P17="","",IF(IFERROR(INDEX('Drive Map'!$G$4:$G$33,MATCH(P17,'Drive Map'!$B$4:$B$33,0))&amp;"","")="","",HYPERLINK(INDEX('Drive Map'!$G$4:$G$33,MATCH(P17,'Drive Map'!$B$4:$B$33,0)),"Open")))</f>
        <v/>
      </c>
      <c r="R17" s="6" t="n"/>
    </row>
    <row r="18">
      <c r="A18" s="31" t="inlineStr">
        <is>
          <t>15</t>
        </is>
      </c>
      <c r="B18" t="inlineStr">
        <is>
          <t>15 Cabinetmaker</t>
        </is>
      </c>
      <c r="C18" s="6" t="inlineStr">
        <is>
          <t>Cabinetmaker: kitchen, vanities, robes</t>
        </is>
      </c>
      <c r="D18" s="6" t="inlineStr">
        <is>
          <t>Supply &amp; install</t>
        </is>
      </c>
      <c r="E18" s="6" t="inlineStr">
        <is>
          <t>Registered if over $10k*</t>
        </is>
      </c>
      <c r="F18" s="6" t="inlineStr">
        <is>
          <t>Shop drawings sign-off</t>
        </is>
      </c>
      <c r="G18" t="inlineStr">
        <is>
          <t>G6</t>
        </is>
      </c>
      <c r="H18" s="29" t="n"/>
      <c r="I18" s="9">
        <f>IF($B18="","",SUMIFS('Trades'!$T$4:$T$103,'Trades'!$A$4:$A$103,$B18,'Trades'!$S$4:$S$103,"Yes"))</f>
        <v/>
      </c>
      <c r="J18" s="9">
        <f>IF($B18="","",SUMIFS('Variations'!$G$4:$G$153,'Variations'!$C$4:$C$153,$B18,'Variations'!$I$4:$I$153,"Approved"))</f>
        <v/>
      </c>
      <c r="K18" s="9">
        <f>IF(B18="","",N(I18)+N(J18))</f>
        <v/>
      </c>
      <c r="L18" s="9">
        <f>IF($B18="","",SUMIFS('Payments'!$F$4:$F$303,'Payments'!$B$4:$B$303,$B18,'Payments'!$K$4:$K$303,"Yes"))</f>
        <v/>
      </c>
      <c r="M18" s="9">
        <f>IF(B18="","",IF(N(K18)&gt;0,K18,N(H18)))</f>
        <v/>
      </c>
      <c r="N18" s="10">
        <f>IF(OR(B18="",N(H18)=0),"",H18-M18)</f>
        <v/>
      </c>
      <c r="O18" s="7">
        <f>IF(OR(B18="",N(H18)=0),"",IF(M18&gt;H18*1.05,"Over &gt;5%",""))</f>
        <v/>
      </c>
      <c r="P18" s="7">
        <f>IF(B18="","","04 Trades &amp; Tenders/"&amp;B18)</f>
        <v/>
      </c>
      <c r="Q18" s="7">
        <f>IF(P18="","",IF(IFERROR(INDEX('Drive Map'!$G$4:$G$33,MATCH(P18,'Drive Map'!$B$4:$B$33,0))&amp;"","")="","",HYPERLINK(INDEX('Drive Map'!$G$4:$G$33,MATCH(P18,'Drive Map'!$B$4:$B$33,0)),"Open")))</f>
        <v/>
      </c>
      <c r="R18" s="6" t="n"/>
    </row>
    <row r="19">
      <c r="A19" s="31" t="inlineStr">
        <is>
          <t>16</t>
        </is>
      </c>
      <c r="B19" t="inlineStr">
        <is>
          <t>16 Tiler</t>
        </is>
      </c>
      <c r="C19" s="6" t="inlineStr">
        <is>
          <t>Tiler</t>
        </is>
      </c>
      <c r="D19" s="6" t="inlineStr">
        <is>
          <t>Rate per m²</t>
        </is>
      </c>
      <c r="E19" s="6" t="inlineStr">
        <is>
          <t>Registered if over $10k*</t>
        </is>
      </c>
      <c r="F19" s="6" t="inlineStr">
        <is>
          <t>Tile &amp; grout codes</t>
        </is>
      </c>
      <c r="G19" t="inlineStr">
        <is>
          <t>G6</t>
        </is>
      </c>
      <c r="H19" s="29" t="n"/>
      <c r="I19" s="9">
        <f>IF($B19="","",SUMIFS('Trades'!$T$4:$T$103,'Trades'!$A$4:$A$103,$B19,'Trades'!$S$4:$S$103,"Yes"))</f>
        <v/>
      </c>
      <c r="J19" s="9">
        <f>IF($B19="","",SUMIFS('Variations'!$G$4:$G$153,'Variations'!$C$4:$C$153,$B19,'Variations'!$I$4:$I$153,"Approved"))</f>
        <v/>
      </c>
      <c r="K19" s="9">
        <f>IF(B19="","",N(I19)+N(J19))</f>
        <v/>
      </c>
      <c r="L19" s="9">
        <f>IF($B19="","",SUMIFS('Payments'!$F$4:$F$303,'Payments'!$B$4:$B$303,$B19,'Payments'!$K$4:$K$303,"Yes"))</f>
        <v/>
      </c>
      <c r="M19" s="9">
        <f>IF(B19="","",IF(N(K19)&gt;0,K19,N(H19)))</f>
        <v/>
      </c>
      <c r="N19" s="10">
        <f>IF(OR(B19="",N(H19)=0),"",H19-M19)</f>
        <v/>
      </c>
      <c r="O19" s="7">
        <f>IF(OR(B19="",N(H19)=0),"",IF(M19&gt;H19*1.05,"Over &gt;5%",""))</f>
        <v/>
      </c>
      <c r="P19" s="7">
        <f>IF(B19="","","04 Trades &amp; Tenders/"&amp;B19)</f>
        <v/>
      </c>
      <c r="Q19" s="7">
        <f>IF(P19="","",IF(IFERROR(INDEX('Drive Map'!$G$4:$G$33,MATCH(P19,'Drive Map'!$B$4:$B$33,0))&amp;"","")="","",HYPERLINK(INDEX('Drive Map'!$G$4:$G$33,MATCH(P19,'Drive Map'!$B$4:$B$33,0)),"Open")))</f>
        <v/>
      </c>
      <c r="R19" s="6" t="n"/>
    </row>
    <row r="20">
      <c r="A20" s="31" t="inlineStr">
        <is>
          <t>17</t>
        </is>
      </c>
      <c r="B20" t="inlineStr">
        <is>
          <t>17 Fixing carpenter</t>
        </is>
      </c>
      <c r="C20" s="6" t="inlineStr">
        <is>
          <t>Fixing carpenter</t>
        </is>
      </c>
      <c r="D20" s="6" t="inlineStr">
        <is>
          <t>Labour only</t>
        </is>
      </c>
      <c r="E20" s="6" t="inlineStr">
        <is>
          <t>Registered if over $10k*</t>
        </is>
      </c>
      <c r="F20" s="6" t="inlineStr">
        <is>
          <t>n/a</t>
        </is>
      </c>
      <c r="G20" t="inlineStr">
        <is>
          <t>G6</t>
        </is>
      </c>
      <c r="H20" s="29" t="n"/>
      <c r="I20" s="9">
        <f>IF($B20="","",SUMIFS('Trades'!$T$4:$T$103,'Trades'!$A$4:$A$103,$B20,'Trades'!$S$4:$S$103,"Yes"))</f>
        <v/>
      </c>
      <c r="J20" s="9">
        <f>IF($B20="","",SUMIFS('Variations'!$G$4:$G$153,'Variations'!$C$4:$C$153,$B20,'Variations'!$I$4:$I$153,"Approved"))</f>
        <v/>
      </c>
      <c r="K20" s="9">
        <f>IF(B20="","",N(I20)+N(J20))</f>
        <v/>
      </c>
      <c r="L20" s="9">
        <f>IF($B20="","",SUMIFS('Payments'!$F$4:$F$303,'Payments'!$B$4:$B$303,$B20,'Payments'!$K$4:$K$303,"Yes"))</f>
        <v/>
      </c>
      <c r="M20" s="9">
        <f>IF(B20="","",IF(N(K20)&gt;0,K20,N(H20)))</f>
        <v/>
      </c>
      <c r="N20" s="10">
        <f>IF(OR(B20="",N(H20)=0),"",H20-M20)</f>
        <v/>
      </c>
      <c r="O20" s="7">
        <f>IF(OR(B20="",N(H20)=0),"",IF(M20&gt;H20*1.05,"Over &gt;5%",""))</f>
        <v/>
      </c>
      <c r="P20" s="7">
        <f>IF(B20="","","04 Trades &amp; Tenders/"&amp;B20)</f>
        <v/>
      </c>
      <c r="Q20" s="7">
        <f>IF(P20="","",IF(IFERROR(INDEX('Drive Map'!$G$4:$G$33,MATCH(P20,'Drive Map'!$B$4:$B$33,0))&amp;"","")="","",HYPERLINK(INDEX('Drive Map'!$G$4:$G$33,MATCH(P20,'Drive Map'!$B$4:$B$33,0)),"Open")))</f>
        <v/>
      </c>
      <c r="R20" s="6" t="n"/>
    </row>
    <row r="21">
      <c r="A21" s="31" t="inlineStr">
        <is>
          <t>18</t>
        </is>
      </c>
      <c r="B21" t="inlineStr">
        <is>
          <t>18 Painter</t>
        </is>
      </c>
      <c r="C21" s="6" t="inlineStr">
        <is>
          <t>Painter</t>
        </is>
      </c>
      <c r="D21" s="6" t="inlineStr">
        <is>
          <t>Lump sum</t>
        </is>
      </c>
      <c r="E21" s="6" t="inlineStr">
        <is>
          <t>Registered if over $10k*</t>
        </is>
      </c>
      <c r="F21" s="6" t="inlineStr">
        <is>
          <t>Paint schedule &amp; colour codes</t>
        </is>
      </c>
      <c r="G21" t="inlineStr">
        <is>
          <t>G6</t>
        </is>
      </c>
      <c r="H21" s="29" t="n"/>
      <c r="I21" s="9">
        <f>IF($B21="","",SUMIFS('Trades'!$T$4:$T$103,'Trades'!$A$4:$A$103,$B21,'Trades'!$S$4:$S$103,"Yes"))</f>
        <v/>
      </c>
      <c r="J21" s="9">
        <f>IF($B21="","",SUMIFS('Variations'!$G$4:$G$153,'Variations'!$C$4:$C$153,$B21,'Variations'!$I$4:$I$153,"Approved"))</f>
        <v/>
      </c>
      <c r="K21" s="9">
        <f>IF(B21="","",N(I21)+N(J21))</f>
        <v/>
      </c>
      <c r="L21" s="9">
        <f>IF($B21="","",SUMIFS('Payments'!$F$4:$F$303,'Payments'!$B$4:$B$303,$B21,'Payments'!$K$4:$K$303,"Yes"))</f>
        <v/>
      </c>
      <c r="M21" s="9">
        <f>IF(B21="","",IF(N(K21)&gt;0,K21,N(H21)))</f>
        <v/>
      </c>
      <c r="N21" s="10">
        <f>IF(OR(B21="",N(H21)=0),"",H21-M21)</f>
        <v/>
      </c>
      <c r="O21" s="7">
        <f>IF(OR(B21="",N(H21)=0),"",IF(M21&gt;H21*1.05,"Over &gt;5%",""))</f>
        <v/>
      </c>
      <c r="P21" s="7">
        <f>IF(B21="","","04 Trades &amp; Tenders/"&amp;B21)</f>
        <v/>
      </c>
      <c r="Q21" s="7">
        <f>IF(P21="","",IF(IFERROR(INDEX('Drive Map'!$G$4:$G$33,MATCH(P21,'Drive Map'!$B$4:$B$33,0))&amp;"","")="","",HYPERLINK(INDEX('Drive Map'!$G$4:$G$33,MATCH(P21,'Drive Map'!$B$4:$B$33,0)),"Open")))</f>
        <v/>
      </c>
      <c r="R21" s="6" t="n"/>
    </row>
    <row r="22">
      <c r="A22" s="31" t="inlineStr">
        <is>
          <t>19</t>
        </is>
      </c>
      <c r="B22" t="inlineStr">
        <is>
          <t>19 Heating &amp; cooling</t>
        </is>
      </c>
      <c r="C22" s="6" t="inlineStr">
        <is>
          <t>HVAC / heating &amp; cooling</t>
        </is>
      </c>
      <c r="D22" s="6" t="inlineStr">
        <is>
          <t>Supply &amp; install</t>
        </is>
      </c>
      <c r="E22" s="6" t="inlineStr">
        <is>
          <t>ARC refrigerant licence, electrician</t>
        </is>
      </c>
      <c r="F22" s="6" t="inlineStr">
        <is>
          <t>Commissioning sheet, warranty</t>
        </is>
      </c>
      <c r="G22" t="inlineStr">
        <is>
          <t>G6</t>
        </is>
      </c>
      <c r="H22" s="29" t="n"/>
      <c r="I22" s="9">
        <f>IF($B22="","",SUMIFS('Trades'!$T$4:$T$103,'Trades'!$A$4:$A$103,$B22,'Trades'!$S$4:$S$103,"Yes"))</f>
        <v/>
      </c>
      <c r="J22" s="9">
        <f>IF($B22="","",SUMIFS('Variations'!$G$4:$G$153,'Variations'!$C$4:$C$153,$B22,'Variations'!$I$4:$I$153,"Approved"))</f>
        <v/>
      </c>
      <c r="K22" s="9">
        <f>IF(B22="","",N(I22)+N(J22))</f>
        <v/>
      </c>
      <c r="L22" s="9">
        <f>IF($B22="","",SUMIFS('Payments'!$F$4:$F$303,'Payments'!$B$4:$B$303,$B22,'Payments'!$K$4:$K$303,"Yes"))</f>
        <v/>
      </c>
      <c r="M22" s="9">
        <f>IF(B22="","",IF(N(K22)&gt;0,K22,N(H22)))</f>
        <v/>
      </c>
      <c r="N22" s="10">
        <f>IF(OR(B22="",N(H22)=0),"",H22-M22)</f>
        <v/>
      </c>
      <c r="O22" s="7">
        <f>IF(OR(B22="",N(H22)=0),"",IF(M22&gt;H22*1.05,"Over &gt;5%",""))</f>
        <v/>
      </c>
      <c r="P22" s="7">
        <f>IF(B22="","","04 Trades &amp; Tenders/"&amp;B22)</f>
        <v/>
      </c>
      <c r="Q22" s="7">
        <f>IF(P22="","",IF(IFERROR(INDEX('Drive Map'!$G$4:$G$33,MATCH(P22,'Drive Map'!$B$4:$B$33,0))&amp;"","")="","",HYPERLINK(INDEX('Drive Map'!$G$4:$G$33,MATCH(P22,'Drive Map'!$B$4:$B$33,0)),"Open")))</f>
        <v/>
      </c>
      <c r="R22" s="6" t="n"/>
    </row>
    <row r="23">
      <c r="A23" s="31" t="inlineStr">
        <is>
          <t>20</t>
        </is>
      </c>
      <c r="B23" t="inlineStr">
        <is>
          <t>20 Floor coverings &amp; landscaping</t>
        </is>
      </c>
      <c r="C23" s="6" t="inlineStr">
        <is>
          <t>Floor coverings, driveway, landscaping</t>
        </is>
      </c>
      <c r="D23" s="6" t="inlineStr">
        <is>
          <t>Supply &amp; install</t>
        </is>
      </c>
      <c r="E23" s="6" t="inlineStr">
        <is>
          <t>Varies</t>
        </is>
      </c>
      <c r="F23" s="6" t="inlineStr">
        <is>
          <t>Warranties</t>
        </is>
      </c>
      <c r="G23" t="inlineStr">
        <is>
          <t>G7</t>
        </is>
      </c>
      <c r="H23" s="29" t="n"/>
      <c r="I23" s="9">
        <f>IF($B23="","",SUMIFS('Trades'!$T$4:$T$103,'Trades'!$A$4:$A$103,$B23,'Trades'!$S$4:$S$103,"Yes"))</f>
        <v/>
      </c>
      <c r="J23" s="9">
        <f>IF($B23="","",SUMIFS('Variations'!$G$4:$G$153,'Variations'!$C$4:$C$153,$B23,'Variations'!$I$4:$I$153,"Approved"))</f>
        <v/>
      </c>
      <c r="K23" s="9">
        <f>IF(B23="","",N(I23)+N(J23))</f>
        <v/>
      </c>
      <c r="L23" s="9">
        <f>IF($B23="","",SUMIFS('Payments'!$F$4:$F$303,'Payments'!$B$4:$B$303,$B23,'Payments'!$K$4:$K$303,"Yes"))</f>
        <v/>
      </c>
      <c r="M23" s="9">
        <f>IF(B23="","",IF(N(K23)&gt;0,K23,N(H23)))</f>
        <v/>
      </c>
      <c r="N23" s="10">
        <f>IF(OR(B23="",N(H23)=0),"",H23-M23)</f>
        <v/>
      </c>
      <c r="O23" s="7">
        <f>IF(OR(B23="",N(H23)=0),"",IF(M23&gt;H23*1.05,"Over &gt;5%",""))</f>
        <v/>
      </c>
      <c r="P23" s="7">
        <f>IF(B23="","","04 Trades &amp; Tenders/"&amp;B23)</f>
        <v/>
      </c>
      <c r="Q23" s="7">
        <f>IF(P23="","",IF(IFERROR(INDEX('Drive Map'!$G$4:$G$33,MATCH(P23,'Drive Map'!$B$4:$B$33,0))&amp;"","")="","",HYPERLINK(INDEX('Drive Map'!$G$4:$G$33,MATCH(P23,'Drive Map'!$B$4:$B$33,0)),"Open")))</f>
        <v/>
      </c>
      <c r="R23" s="6" t="n"/>
    </row>
    <row r="24">
      <c r="A24" s="31" t="n"/>
      <c r="C24" s="6" t="n"/>
      <c r="D24" s="6" t="n"/>
      <c r="E24" s="6" t="n"/>
      <c r="F24" s="6" t="n"/>
      <c r="H24" s="29" t="n"/>
      <c r="I24" s="9">
        <f>IF($B24="","",SUMIFS('Trades'!$T$4:$T$103,'Trades'!$A$4:$A$103,$B24,'Trades'!$S$4:$S$103,"Yes"))</f>
        <v/>
      </c>
      <c r="J24" s="9">
        <f>IF($B24="","",SUMIFS('Variations'!$G$4:$G$153,'Variations'!$C$4:$C$153,$B24,'Variations'!$I$4:$I$153,"Approved"))</f>
        <v/>
      </c>
      <c r="K24" s="9">
        <f>IF(B24="","",N(I24)+N(J24))</f>
        <v/>
      </c>
      <c r="L24" s="9">
        <f>IF($B24="","",SUMIFS('Payments'!$F$4:$F$303,'Payments'!$B$4:$B$303,$B24,'Payments'!$K$4:$K$303,"Yes"))</f>
        <v/>
      </c>
      <c r="M24" s="9">
        <f>IF(B24="","",IF(N(K24)&gt;0,K24,N(H24)))</f>
        <v/>
      </c>
      <c r="N24" s="10">
        <f>IF(OR(B24="",N(H24)=0),"",H24-M24)</f>
        <v/>
      </c>
      <c r="O24" s="7">
        <f>IF(OR(B24="",N(H24)=0),"",IF(M24&gt;H24*1.05,"Over &gt;5%",""))</f>
        <v/>
      </c>
      <c r="P24" s="7">
        <f>IF(B24="","","04 Trades &amp; Tenders/"&amp;B24)</f>
        <v/>
      </c>
      <c r="Q24" s="7">
        <f>IF(P24="","",IF(IFERROR(INDEX('Drive Map'!$G$4:$G$33,MATCH(P24,'Drive Map'!$B$4:$B$33,0))&amp;"","")="","",HYPERLINK(INDEX('Drive Map'!$G$4:$G$33,MATCH(P24,'Drive Map'!$B$4:$B$33,0)),"Open")))</f>
        <v/>
      </c>
      <c r="R24" s="6" t="n"/>
    </row>
    <row r="25">
      <c r="A25" s="31" t="n"/>
      <c r="C25" s="6" t="n"/>
      <c r="D25" s="6" t="n"/>
      <c r="E25" s="6" t="n"/>
      <c r="F25" s="6" t="n"/>
      <c r="H25" s="29" t="n"/>
      <c r="I25" s="9">
        <f>IF($B25="","",SUMIFS('Trades'!$T$4:$T$103,'Trades'!$A$4:$A$103,$B25,'Trades'!$S$4:$S$103,"Yes"))</f>
        <v/>
      </c>
      <c r="J25" s="9">
        <f>IF($B25="","",SUMIFS('Variations'!$G$4:$G$153,'Variations'!$C$4:$C$153,$B25,'Variations'!$I$4:$I$153,"Approved"))</f>
        <v/>
      </c>
      <c r="K25" s="9">
        <f>IF(B25="","",N(I25)+N(J25))</f>
        <v/>
      </c>
      <c r="L25" s="9">
        <f>IF($B25="","",SUMIFS('Payments'!$F$4:$F$303,'Payments'!$B$4:$B$303,$B25,'Payments'!$K$4:$K$303,"Yes"))</f>
        <v/>
      </c>
      <c r="M25" s="9">
        <f>IF(B25="","",IF(N(K25)&gt;0,K25,N(H25)))</f>
        <v/>
      </c>
      <c r="N25" s="10">
        <f>IF(OR(B25="",N(H25)=0),"",H25-M25)</f>
        <v/>
      </c>
      <c r="O25" s="7">
        <f>IF(OR(B25="",N(H25)=0),"",IF(M25&gt;H25*1.05,"Over &gt;5%",""))</f>
        <v/>
      </c>
      <c r="P25" s="7">
        <f>IF(B25="","","04 Trades &amp; Tenders/"&amp;B25)</f>
        <v/>
      </c>
      <c r="Q25" s="7">
        <f>IF(P25="","",IF(IFERROR(INDEX('Drive Map'!$G$4:$G$33,MATCH(P25,'Drive Map'!$B$4:$B$33,0))&amp;"","")="","",HYPERLINK(INDEX('Drive Map'!$G$4:$G$33,MATCH(P25,'Drive Map'!$B$4:$B$33,0)),"Open")))</f>
        <v/>
      </c>
      <c r="R25" s="6" t="n"/>
    </row>
    <row r="26">
      <c r="A26" s="31" t="n"/>
      <c r="C26" s="6" t="n"/>
      <c r="D26" s="6" t="n"/>
      <c r="E26" s="6" t="n"/>
      <c r="F26" s="6" t="n"/>
      <c r="H26" s="29" t="n"/>
      <c r="I26" s="9">
        <f>IF($B26="","",SUMIFS('Trades'!$T$4:$T$103,'Trades'!$A$4:$A$103,$B26,'Trades'!$S$4:$S$103,"Yes"))</f>
        <v/>
      </c>
      <c r="J26" s="9">
        <f>IF($B26="","",SUMIFS('Variations'!$G$4:$G$153,'Variations'!$C$4:$C$153,$B26,'Variations'!$I$4:$I$153,"Approved"))</f>
        <v/>
      </c>
      <c r="K26" s="9">
        <f>IF(B26="","",N(I26)+N(J26))</f>
        <v/>
      </c>
      <c r="L26" s="9">
        <f>IF($B26="","",SUMIFS('Payments'!$F$4:$F$303,'Payments'!$B$4:$B$303,$B26,'Payments'!$K$4:$K$303,"Yes"))</f>
        <v/>
      </c>
      <c r="M26" s="9">
        <f>IF(B26="","",IF(N(K26)&gt;0,K26,N(H26)))</f>
        <v/>
      </c>
      <c r="N26" s="10">
        <f>IF(OR(B26="",N(H26)=0),"",H26-M26)</f>
        <v/>
      </c>
      <c r="O26" s="7">
        <f>IF(OR(B26="",N(H26)=0),"",IF(M26&gt;H26*1.05,"Over &gt;5%",""))</f>
        <v/>
      </c>
      <c r="P26" s="7">
        <f>IF(B26="","","04 Trades &amp; Tenders/"&amp;B26)</f>
        <v/>
      </c>
      <c r="Q26" s="7">
        <f>IF(P26="","",IF(IFERROR(INDEX('Drive Map'!$G$4:$G$33,MATCH(P26,'Drive Map'!$B$4:$B$33,0))&amp;"","")="","",HYPERLINK(INDEX('Drive Map'!$G$4:$G$33,MATCH(P26,'Drive Map'!$B$4:$B$33,0)),"Open")))</f>
        <v/>
      </c>
      <c r="R26" s="6" t="n"/>
    </row>
    <row r="27">
      <c r="A27" s="31" t="n"/>
      <c r="C27" s="6" t="n"/>
      <c r="D27" s="6" t="n"/>
      <c r="E27" s="6" t="n"/>
      <c r="F27" s="6" t="n"/>
      <c r="H27" s="29" t="n"/>
      <c r="I27" s="9">
        <f>IF($B27="","",SUMIFS('Trades'!$T$4:$T$103,'Trades'!$A$4:$A$103,$B27,'Trades'!$S$4:$S$103,"Yes"))</f>
        <v/>
      </c>
      <c r="J27" s="9">
        <f>IF($B27="","",SUMIFS('Variations'!$G$4:$G$153,'Variations'!$C$4:$C$153,$B27,'Variations'!$I$4:$I$153,"Approved"))</f>
        <v/>
      </c>
      <c r="K27" s="9">
        <f>IF(B27="","",N(I27)+N(J27))</f>
        <v/>
      </c>
      <c r="L27" s="9">
        <f>IF($B27="","",SUMIFS('Payments'!$F$4:$F$303,'Payments'!$B$4:$B$303,$B27,'Payments'!$K$4:$K$303,"Yes"))</f>
        <v/>
      </c>
      <c r="M27" s="9">
        <f>IF(B27="","",IF(N(K27)&gt;0,K27,N(H27)))</f>
        <v/>
      </c>
      <c r="N27" s="10">
        <f>IF(OR(B27="",N(H27)=0),"",H27-M27)</f>
        <v/>
      </c>
      <c r="O27" s="7">
        <f>IF(OR(B27="",N(H27)=0),"",IF(M27&gt;H27*1.05,"Over &gt;5%",""))</f>
        <v/>
      </c>
      <c r="P27" s="7">
        <f>IF(B27="","","04 Trades &amp; Tenders/"&amp;B27)</f>
        <v/>
      </c>
      <c r="Q27" s="7">
        <f>IF(P27="","",IF(IFERROR(INDEX('Drive Map'!$G$4:$G$33,MATCH(P27,'Drive Map'!$B$4:$B$33,0))&amp;"","")="","",HYPERLINK(INDEX('Drive Map'!$G$4:$G$33,MATCH(P27,'Drive Map'!$B$4:$B$33,0)),"Open")))</f>
        <v/>
      </c>
      <c r="R27" s="6" t="n"/>
    </row>
    <row r="28">
      <c r="A28" s="31" t="n"/>
      <c r="C28" s="6" t="n"/>
      <c r="D28" s="6" t="n"/>
      <c r="E28" s="6" t="n"/>
      <c r="F28" s="6" t="n"/>
      <c r="H28" s="29" t="n"/>
      <c r="I28" s="9">
        <f>IF($B28="","",SUMIFS('Trades'!$T$4:$T$103,'Trades'!$A$4:$A$103,$B28,'Trades'!$S$4:$S$103,"Yes"))</f>
        <v/>
      </c>
      <c r="J28" s="9">
        <f>IF($B28="","",SUMIFS('Variations'!$G$4:$G$153,'Variations'!$C$4:$C$153,$B28,'Variations'!$I$4:$I$153,"Approved"))</f>
        <v/>
      </c>
      <c r="K28" s="9">
        <f>IF(B28="","",N(I28)+N(J28))</f>
        <v/>
      </c>
      <c r="L28" s="9">
        <f>IF($B28="","",SUMIFS('Payments'!$F$4:$F$303,'Payments'!$B$4:$B$303,$B28,'Payments'!$K$4:$K$303,"Yes"))</f>
        <v/>
      </c>
      <c r="M28" s="9">
        <f>IF(B28="","",IF(N(K28)&gt;0,K28,N(H28)))</f>
        <v/>
      </c>
      <c r="N28" s="10">
        <f>IF(OR(B28="",N(H28)=0),"",H28-M28)</f>
        <v/>
      </c>
      <c r="O28" s="7">
        <f>IF(OR(B28="",N(H28)=0),"",IF(M28&gt;H28*1.05,"Over &gt;5%",""))</f>
        <v/>
      </c>
      <c r="P28" s="7">
        <f>IF(B28="","","04 Trades &amp; Tenders/"&amp;B28)</f>
        <v/>
      </c>
      <c r="Q28" s="7">
        <f>IF(P28="","",IF(IFERROR(INDEX('Drive Map'!$G$4:$G$33,MATCH(P28,'Drive Map'!$B$4:$B$33,0))&amp;"","")="","",HYPERLINK(INDEX('Drive Map'!$G$4:$G$33,MATCH(P28,'Drive Map'!$B$4:$B$33,0)),"Open")))</f>
        <v/>
      </c>
      <c r="R28" s="6" t="n"/>
    </row>
    <row r="29">
      <c r="A29" s="31" t="n"/>
      <c r="C29" s="6" t="n"/>
      <c r="D29" s="6" t="n"/>
      <c r="E29" s="6" t="n"/>
      <c r="F29" s="6" t="n"/>
      <c r="H29" s="29" t="n"/>
      <c r="I29" s="9">
        <f>IF($B29="","",SUMIFS('Trades'!$T$4:$T$103,'Trades'!$A$4:$A$103,$B29,'Trades'!$S$4:$S$103,"Yes"))</f>
        <v/>
      </c>
      <c r="J29" s="9">
        <f>IF($B29="","",SUMIFS('Variations'!$G$4:$G$153,'Variations'!$C$4:$C$153,$B29,'Variations'!$I$4:$I$153,"Approved"))</f>
        <v/>
      </c>
      <c r="K29" s="9">
        <f>IF(B29="","",N(I29)+N(J29))</f>
        <v/>
      </c>
      <c r="L29" s="9">
        <f>IF($B29="","",SUMIFS('Payments'!$F$4:$F$303,'Payments'!$B$4:$B$303,$B29,'Payments'!$K$4:$K$303,"Yes"))</f>
        <v/>
      </c>
      <c r="M29" s="9">
        <f>IF(B29="","",IF(N(K29)&gt;0,K29,N(H29)))</f>
        <v/>
      </c>
      <c r="N29" s="10">
        <f>IF(OR(B29="",N(H29)=0),"",H29-M29)</f>
        <v/>
      </c>
      <c r="O29" s="7">
        <f>IF(OR(B29="",N(H29)=0),"",IF(M29&gt;H29*1.05,"Over &gt;5%",""))</f>
        <v/>
      </c>
      <c r="P29" s="7">
        <f>IF(B29="","","04 Trades &amp; Tenders/"&amp;B29)</f>
        <v/>
      </c>
      <c r="Q29" s="7">
        <f>IF(P29="","",IF(IFERROR(INDEX('Drive Map'!$G$4:$G$33,MATCH(P29,'Drive Map'!$B$4:$B$33,0))&amp;"","")="","",HYPERLINK(INDEX('Drive Map'!$G$4:$G$33,MATCH(P29,'Drive Map'!$B$4:$B$33,0)),"Open")))</f>
        <v/>
      </c>
      <c r="R29" s="6" t="n"/>
    </row>
    <row r="30">
      <c r="A30" s="31" t="n"/>
      <c r="C30" s="6" t="n"/>
      <c r="D30" s="6" t="n"/>
      <c r="E30" s="6" t="n"/>
      <c r="F30" s="6" t="n"/>
      <c r="H30" s="29" t="n"/>
      <c r="I30" s="9">
        <f>IF($B30="","",SUMIFS('Trades'!$T$4:$T$103,'Trades'!$A$4:$A$103,$B30,'Trades'!$S$4:$S$103,"Yes"))</f>
        <v/>
      </c>
      <c r="J30" s="9">
        <f>IF($B30="","",SUMIFS('Variations'!$G$4:$G$153,'Variations'!$C$4:$C$153,$B30,'Variations'!$I$4:$I$153,"Approved"))</f>
        <v/>
      </c>
      <c r="K30" s="9">
        <f>IF(B30="","",N(I30)+N(J30))</f>
        <v/>
      </c>
      <c r="L30" s="9">
        <f>IF($B30="","",SUMIFS('Payments'!$F$4:$F$303,'Payments'!$B$4:$B$303,$B30,'Payments'!$K$4:$K$303,"Yes"))</f>
        <v/>
      </c>
      <c r="M30" s="9">
        <f>IF(B30="","",IF(N(K30)&gt;0,K30,N(H30)))</f>
        <v/>
      </c>
      <c r="N30" s="10">
        <f>IF(OR(B30="",N(H30)=0),"",H30-M30)</f>
        <v/>
      </c>
      <c r="O30" s="7">
        <f>IF(OR(B30="",N(H30)=0),"",IF(M30&gt;H30*1.05,"Over &gt;5%",""))</f>
        <v/>
      </c>
      <c r="P30" s="7">
        <f>IF(B30="","","04 Trades &amp; Tenders/"&amp;B30)</f>
        <v/>
      </c>
      <c r="Q30" s="7">
        <f>IF(P30="","",IF(IFERROR(INDEX('Drive Map'!$G$4:$G$33,MATCH(P30,'Drive Map'!$B$4:$B$33,0))&amp;"","")="","",HYPERLINK(INDEX('Drive Map'!$G$4:$G$33,MATCH(P30,'Drive Map'!$B$4:$B$33,0)),"Open")))</f>
        <v/>
      </c>
      <c r="R30" s="6" t="n"/>
    </row>
    <row r="31">
      <c r="A31" s="31" t="n"/>
      <c r="C31" s="6" t="n"/>
      <c r="D31" s="6" t="n"/>
      <c r="E31" s="6" t="n"/>
      <c r="F31" s="6" t="n"/>
      <c r="H31" s="29" t="n"/>
      <c r="I31" s="9">
        <f>IF($B31="","",SUMIFS('Trades'!$T$4:$T$103,'Trades'!$A$4:$A$103,$B31,'Trades'!$S$4:$S$103,"Yes"))</f>
        <v/>
      </c>
      <c r="J31" s="9">
        <f>IF($B31="","",SUMIFS('Variations'!$G$4:$G$153,'Variations'!$C$4:$C$153,$B31,'Variations'!$I$4:$I$153,"Approved"))</f>
        <v/>
      </c>
      <c r="K31" s="9">
        <f>IF(B31="","",N(I31)+N(J31))</f>
        <v/>
      </c>
      <c r="L31" s="9">
        <f>IF($B31="","",SUMIFS('Payments'!$F$4:$F$303,'Payments'!$B$4:$B$303,$B31,'Payments'!$K$4:$K$303,"Yes"))</f>
        <v/>
      </c>
      <c r="M31" s="9">
        <f>IF(B31="","",IF(N(K31)&gt;0,K31,N(H31)))</f>
        <v/>
      </c>
      <c r="N31" s="10">
        <f>IF(OR(B31="",N(H31)=0),"",H31-M31)</f>
        <v/>
      </c>
      <c r="O31" s="7">
        <f>IF(OR(B31="",N(H31)=0),"",IF(M31&gt;H31*1.05,"Over &gt;5%",""))</f>
        <v/>
      </c>
      <c r="P31" s="7">
        <f>IF(B31="","","04 Trades &amp; Tenders/"&amp;B31)</f>
        <v/>
      </c>
      <c r="Q31" s="7">
        <f>IF(P31="","",IF(IFERROR(INDEX('Drive Map'!$G$4:$G$33,MATCH(P31,'Drive Map'!$B$4:$B$33,0))&amp;"","")="","",HYPERLINK(INDEX('Drive Map'!$G$4:$G$33,MATCH(P31,'Drive Map'!$B$4:$B$33,0)),"Open")))</f>
        <v/>
      </c>
      <c r="R31" s="6" t="n"/>
    </row>
    <row r="32">
      <c r="A32" s="31" t="n"/>
      <c r="C32" s="6" t="n"/>
      <c r="D32" s="6" t="n"/>
      <c r="E32" s="6" t="n"/>
      <c r="F32" s="6" t="n"/>
      <c r="H32" s="29" t="n"/>
      <c r="I32" s="9">
        <f>IF($B32="","",SUMIFS('Trades'!$T$4:$T$103,'Trades'!$A$4:$A$103,$B32,'Trades'!$S$4:$S$103,"Yes"))</f>
        <v/>
      </c>
      <c r="J32" s="9">
        <f>IF($B32="","",SUMIFS('Variations'!$G$4:$G$153,'Variations'!$C$4:$C$153,$B32,'Variations'!$I$4:$I$153,"Approved"))</f>
        <v/>
      </c>
      <c r="K32" s="9">
        <f>IF(B32="","",N(I32)+N(J32))</f>
        <v/>
      </c>
      <c r="L32" s="9">
        <f>IF($B32="","",SUMIFS('Payments'!$F$4:$F$303,'Payments'!$B$4:$B$303,$B32,'Payments'!$K$4:$K$303,"Yes"))</f>
        <v/>
      </c>
      <c r="M32" s="9">
        <f>IF(B32="","",IF(N(K32)&gt;0,K32,N(H32)))</f>
        <v/>
      </c>
      <c r="N32" s="10">
        <f>IF(OR(B32="",N(H32)=0),"",H32-M32)</f>
        <v/>
      </c>
      <c r="O32" s="7">
        <f>IF(OR(B32="",N(H32)=0),"",IF(M32&gt;H32*1.05,"Over &gt;5%",""))</f>
        <v/>
      </c>
      <c r="P32" s="7">
        <f>IF(B32="","","04 Trades &amp; Tenders/"&amp;B32)</f>
        <v/>
      </c>
      <c r="Q32" s="7">
        <f>IF(P32="","",IF(IFERROR(INDEX('Drive Map'!$G$4:$G$33,MATCH(P32,'Drive Map'!$B$4:$B$33,0))&amp;"","")="","",HYPERLINK(INDEX('Drive Map'!$G$4:$G$33,MATCH(P32,'Drive Map'!$B$4:$B$33,0)),"Open")))</f>
        <v/>
      </c>
      <c r="R32" s="6" t="n"/>
    </row>
    <row r="33">
      <c r="A33" s="31" t="n"/>
      <c r="C33" s="6" t="n"/>
      <c r="D33" s="6" t="n"/>
      <c r="E33" s="6" t="n"/>
      <c r="F33" s="6" t="n"/>
      <c r="H33" s="29" t="n"/>
      <c r="I33" s="9">
        <f>IF($B33="","",SUMIFS('Trades'!$T$4:$T$103,'Trades'!$A$4:$A$103,$B33,'Trades'!$S$4:$S$103,"Yes"))</f>
        <v/>
      </c>
      <c r="J33" s="9">
        <f>IF($B33="","",SUMIFS('Variations'!$G$4:$G$153,'Variations'!$C$4:$C$153,$B33,'Variations'!$I$4:$I$153,"Approved"))</f>
        <v/>
      </c>
      <c r="K33" s="9">
        <f>IF(B33="","",N(I33)+N(J33))</f>
        <v/>
      </c>
      <c r="L33" s="9">
        <f>IF($B33="","",SUMIFS('Payments'!$F$4:$F$303,'Payments'!$B$4:$B$303,$B33,'Payments'!$K$4:$K$303,"Yes"))</f>
        <v/>
      </c>
      <c r="M33" s="9">
        <f>IF(B33="","",IF(N(K33)&gt;0,K33,N(H33)))</f>
        <v/>
      </c>
      <c r="N33" s="10">
        <f>IF(OR(B33="",N(H33)=0),"",H33-M33)</f>
        <v/>
      </c>
      <c r="O33" s="7">
        <f>IF(OR(B33="",N(H33)=0),"",IF(M33&gt;H33*1.05,"Over &gt;5%",""))</f>
        <v/>
      </c>
      <c r="P33" s="7">
        <f>IF(B33="","","04 Trades &amp; Tenders/"&amp;B33)</f>
        <v/>
      </c>
      <c r="Q33" s="7">
        <f>IF(P33="","",IF(IFERROR(INDEX('Drive Map'!$G$4:$G$33,MATCH(P33,'Drive Map'!$B$4:$B$33,0))&amp;"","")="","",HYPERLINK(INDEX('Drive Map'!$G$4:$G$33,MATCH(P33,'Drive Map'!$B$4:$B$33,0)),"Open")))</f>
        <v/>
      </c>
      <c r="R33" s="6" t="n"/>
    </row>
  </sheetData>
  <autoFilter ref="A3:R33"/>
  <conditionalFormatting sqref="O4:O33">
    <cfRule type="cellIs" priority="1" operator="equal" dxfId="2">
      <formula>"Over &gt;5%"</formula>
    </cfRule>
  </conditionalFormatting>
  <dataValidations count="1">
    <dataValidation sqref="G4:G33" showDropDown="0" showInputMessage="0" showErrorMessage="0" allowBlank="1" error="Pick a value from the list." type="list" errorStyle="warning">
      <formula1>=Lists!$A$2:$A$9</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Z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6" customWidth="1" min="3" max="3"/>
    <col width="13" customWidth="1" min="4" max="4"/>
    <col width="22" customWidth="1" min="5" max="5"/>
    <col width="14" customWidth="1" min="6" max="6"/>
    <col width="10" customWidth="1" min="7" max="7"/>
    <col width="20" customWidth="1" min="8" max="8"/>
    <col width="13" customWidth="1" min="9" max="9"/>
    <col width="12" customWidth="1" min="10" max="10"/>
    <col width="18" customWidth="1" min="11" max="11"/>
    <col width="12" customWidth="1" min="12" max="12"/>
    <col width="10" customWidth="1" min="13" max="13"/>
    <col width="13" customWidth="1" min="14" max="14"/>
    <col width="10" customWidth="1" min="15" max="15"/>
    <col width="10" customWidth="1" min="16" max="16"/>
    <col width="12" customWidth="1" min="17" max="17"/>
    <col width="18" customWidth="1" min="18" max="18"/>
    <col width="10" customWidth="1" min="19" max="19"/>
    <col width="14" customWidth="1" min="20" max="20"/>
    <col width="11" customWidth="1" min="21" max="21"/>
    <col width="16" customWidth="1" min="22" max="22"/>
    <col width="18" customWidth="1" min="23" max="23"/>
    <col width="32" customWidth="1" min="24" max="24"/>
    <col width="8" customWidth="1" min="25" max="25"/>
    <col width="28" customWidth="1" min="26" max="26"/>
  </cols>
  <sheetData>
    <row r="1" ht="24" customHeight="1">
      <c r="A1" s="1" t="inlineStr">
        <is>
          <t>Trade register</t>
        </is>
      </c>
    </row>
    <row r="2">
      <c r="A2" s="2" t="inlineStr">
        <is>
          <t>Every trade you invite or engage. Licence and insurance expiry dates turn amber 30 days out and red once expired.</t>
        </is>
      </c>
    </row>
    <row r="3" ht="32" customHeight="1">
      <c r="A3" s="19" t="inlineStr">
        <is>
          <t>Package</t>
        </is>
      </c>
      <c r="B3" s="19" t="inlineStr">
        <is>
          <t>Business name</t>
        </is>
      </c>
      <c r="C3" s="19" t="inlineStr">
        <is>
          <t>Contact</t>
        </is>
      </c>
      <c r="D3" s="19" t="inlineStr">
        <is>
          <t>Phone</t>
        </is>
      </c>
      <c r="E3" s="19" t="inlineStr">
        <is>
          <t>Email</t>
        </is>
      </c>
      <c r="F3" s="19" t="inlineStr">
        <is>
          <t>ABN</t>
        </is>
      </c>
      <c r="G3" s="19" t="inlineStr">
        <is>
          <t>GST registered?</t>
        </is>
      </c>
      <c r="H3" s="19" t="inlineStr">
        <is>
          <t>Licence / registration</t>
        </is>
      </c>
      <c r="I3" s="19" t="inlineStr">
        <is>
          <t>Licence no.</t>
        </is>
      </c>
      <c r="J3" s="19" t="inlineStr">
        <is>
          <t>Licence expiry</t>
        </is>
      </c>
      <c r="K3" s="19" t="inlineStr">
        <is>
          <t>Public liability insurer</t>
        </is>
      </c>
      <c r="L3" s="19" t="inlineStr">
        <is>
          <t>PL expiry</t>
        </is>
      </c>
      <c r="M3" s="19" t="inlineStr">
        <is>
          <t>WorkCover</t>
        </is>
      </c>
      <c r="N3" s="19" t="inlineStr">
        <is>
          <t>Home warranty cover (&gt; $20k)</t>
        </is>
      </c>
      <c r="O3" s="19" t="inlineStr">
        <is>
          <t>SWMS received</t>
        </is>
      </c>
      <c r="P3" s="19" t="inlineStr">
        <is>
          <t>White cards checked</t>
        </is>
      </c>
      <c r="Q3" s="19" t="inlineStr">
        <is>
          <t>Status</t>
        </is>
      </c>
      <c r="R3" s="19" t="inlineStr">
        <is>
          <t>Contract type</t>
        </is>
      </c>
      <c r="S3" s="19" t="inlineStr">
        <is>
          <t>Contract signed?</t>
        </is>
      </c>
      <c r="T3" s="19" t="inlineStr">
        <is>
          <t>Contract value inc GST ($)</t>
        </is>
      </c>
      <c r="U3" s="19" t="inlineStr">
        <is>
          <t>Deposit ($)</t>
        </is>
      </c>
      <c r="V3" s="20" t="inlineStr">
        <is>
          <t>Deposit check</t>
        </is>
      </c>
      <c r="W3" s="20" t="inlineStr">
        <is>
          <t>Paperwork</t>
        </is>
      </c>
      <c r="X3" s="20" t="inlineStr">
        <is>
          <t>Drive folder</t>
        </is>
      </c>
      <c r="Y3" s="20" t="inlineStr">
        <is>
          <t>Folder</t>
        </is>
      </c>
      <c r="Z3" s="19" t="inlineStr">
        <is>
          <t>Notes</t>
        </is>
      </c>
    </row>
    <row r="4">
      <c r="A4" s="22" t="inlineStr">
        <is>
          <t>08 Roofing</t>
        </is>
      </c>
      <c r="B4" s="22" t="inlineStr">
        <is>
          <t>Ridgeline Metal Roofs</t>
        </is>
      </c>
      <c r="C4" s="22" t="n"/>
      <c r="D4" s="30" t="n"/>
      <c r="E4" s="22" t="n"/>
      <c r="F4" s="30" t="n"/>
      <c r="G4" s="22" t="inlineStr">
        <is>
          <t>Yes</t>
        </is>
      </c>
      <c r="H4" s="22" t="inlineStr">
        <is>
          <t>Roof plumbing licence</t>
        </is>
      </c>
      <c r="I4" s="30" t="n"/>
      <c r="J4" s="28" t="n"/>
      <c r="K4" s="22" t="n"/>
      <c r="L4" s="28" t="n"/>
      <c r="M4" s="22" t="inlineStr">
        <is>
          <t>Yes</t>
        </is>
      </c>
      <c r="N4" s="22" t="inlineStr">
        <is>
          <t>Yes</t>
        </is>
      </c>
      <c r="O4" s="22" t="inlineStr">
        <is>
          <t>Yes</t>
        </is>
      </c>
      <c r="P4" s="22" t="inlineStr">
        <is>
          <t>Yes</t>
        </is>
      </c>
      <c r="Q4" s="22" t="inlineStr">
        <is>
          <t>Engaged</t>
        </is>
      </c>
      <c r="R4" s="22" t="inlineStr">
        <is>
          <t>Supply &amp; install</t>
        </is>
      </c>
      <c r="S4" s="22" t="inlineStr">
        <is>
          <t>Yes</t>
        </is>
      </c>
      <c r="T4" s="27" t="n">
        <v>36900</v>
      </c>
      <c r="U4" s="27" t="n">
        <v>1845</v>
      </c>
      <c r="V4" s="7">
        <f>IF(OR(N(T4)=0,N(U4)=0),"",IF(U4&gt;T4*IF(T4&lt;20000,0.1,0.05),"Over statutory cap","OK"))</f>
        <v/>
      </c>
      <c r="W4" s="7">
        <f>IF(B4="","",IF(OR(AND(ISNUMBER(J4),J4&lt;TODAY()),AND(ISNUMBER(L4),L4&lt;TODAY())),"Expired",IF(OR(AND(ISNUMBER(J4),J4-TODAY()&lt;=30),AND(ISNUMBER(L4),L4-TODAY()&lt;=30)),"Expires within 30 days","OK")))</f>
        <v/>
      </c>
      <c r="X4" s="7">
        <f>IF(A4="","","04 Trades &amp; Tenders/"&amp;A4)</f>
        <v/>
      </c>
      <c r="Y4" s="7">
        <f>IF(X4="","",IF(IFERROR(INDEX('Drive Map'!$G$4:$G$33,MATCH(X4,'Drive Map'!$B$4:$B$33,0))&amp;"","")="","",HYPERLINK(INDEX('Drive Map'!$G$4:$G$33,MATCH(X4,'Drive Map'!$B$4:$B$33,0)),"Open")))</f>
        <v/>
      </c>
      <c r="Z4" s="25" t="inlineStr">
        <is>
          <t>EXAMPLE: delete this row</t>
        </is>
      </c>
    </row>
    <row r="5">
      <c r="D5" s="31" t="n"/>
      <c r="F5" s="31" t="n"/>
      <c r="I5" s="31" t="n"/>
      <c r="J5" s="21" t="n"/>
      <c r="L5" s="21" t="n"/>
      <c r="T5" s="29" t="n"/>
      <c r="U5" s="29" t="n"/>
      <c r="V5" s="7">
        <f>IF(OR(N(T5)=0,N(U5)=0),"",IF(U5&gt;T5*IF(T5&lt;20000,0.1,0.05),"Over statutory cap","OK"))</f>
        <v/>
      </c>
      <c r="W5" s="7">
        <f>IF(B5="","",IF(OR(AND(ISNUMBER(J5),J5&lt;TODAY()),AND(ISNUMBER(L5),L5&lt;TODAY())),"Expired",IF(OR(AND(ISNUMBER(J5),J5-TODAY()&lt;=30),AND(ISNUMBER(L5),L5-TODAY()&lt;=30)),"Expires within 30 days","OK")))</f>
        <v/>
      </c>
      <c r="X5" s="7">
        <f>IF(A5="","","04 Trades &amp; Tenders/"&amp;A5)</f>
        <v/>
      </c>
      <c r="Y5" s="7">
        <f>IF(X5="","",IF(IFERROR(INDEX('Drive Map'!$G$4:$G$33,MATCH(X5,'Drive Map'!$B$4:$B$33,0))&amp;"","")="","",HYPERLINK(INDEX('Drive Map'!$G$4:$G$33,MATCH(X5,'Drive Map'!$B$4:$B$33,0)),"Open")))</f>
        <v/>
      </c>
      <c r="Z5" s="6" t="n"/>
    </row>
    <row r="6">
      <c r="D6" s="31" t="n"/>
      <c r="F6" s="31" t="n"/>
      <c r="I6" s="31" t="n"/>
      <c r="J6" s="21" t="n"/>
      <c r="L6" s="21" t="n"/>
      <c r="T6" s="29" t="n"/>
      <c r="U6" s="29" t="n"/>
      <c r="V6" s="7">
        <f>IF(OR(N(T6)=0,N(U6)=0),"",IF(U6&gt;T6*IF(T6&lt;20000,0.1,0.05),"Over statutory cap","OK"))</f>
        <v/>
      </c>
      <c r="W6" s="7">
        <f>IF(B6="","",IF(OR(AND(ISNUMBER(J6),J6&lt;TODAY()),AND(ISNUMBER(L6),L6&lt;TODAY())),"Expired",IF(OR(AND(ISNUMBER(J6),J6-TODAY()&lt;=30),AND(ISNUMBER(L6),L6-TODAY()&lt;=30)),"Expires within 30 days","OK")))</f>
        <v/>
      </c>
      <c r="X6" s="7">
        <f>IF(A6="","","04 Trades &amp; Tenders/"&amp;A6)</f>
        <v/>
      </c>
      <c r="Y6" s="7">
        <f>IF(X6="","",IF(IFERROR(INDEX('Drive Map'!$G$4:$G$33,MATCH(X6,'Drive Map'!$B$4:$B$33,0))&amp;"","")="","",HYPERLINK(INDEX('Drive Map'!$G$4:$G$33,MATCH(X6,'Drive Map'!$B$4:$B$33,0)),"Open")))</f>
        <v/>
      </c>
      <c r="Z6" s="6" t="n"/>
    </row>
    <row r="7">
      <c r="D7" s="31" t="n"/>
      <c r="F7" s="31" t="n"/>
      <c r="I7" s="31" t="n"/>
      <c r="J7" s="21" t="n"/>
      <c r="L7" s="21" t="n"/>
      <c r="T7" s="29" t="n"/>
      <c r="U7" s="29" t="n"/>
      <c r="V7" s="7">
        <f>IF(OR(N(T7)=0,N(U7)=0),"",IF(U7&gt;T7*IF(T7&lt;20000,0.1,0.05),"Over statutory cap","OK"))</f>
        <v/>
      </c>
      <c r="W7" s="7">
        <f>IF(B7="","",IF(OR(AND(ISNUMBER(J7),J7&lt;TODAY()),AND(ISNUMBER(L7),L7&lt;TODAY())),"Expired",IF(OR(AND(ISNUMBER(J7),J7-TODAY()&lt;=30),AND(ISNUMBER(L7),L7-TODAY()&lt;=30)),"Expires within 30 days","OK")))</f>
        <v/>
      </c>
      <c r="X7" s="7">
        <f>IF(A7="","","04 Trades &amp; Tenders/"&amp;A7)</f>
        <v/>
      </c>
      <c r="Y7" s="7">
        <f>IF(X7="","",IF(IFERROR(INDEX('Drive Map'!$G$4:$G$33,MATCH(X7,'Drive Map'!$B$4:$B$33,0))&amp;"","")="","",HYPERLINK(INDEX('Drive Map'!$G$4:$G$33,MATCH(X7,'Drive Map'!$B$4:$B$33,0)),"Open")))</f>
        <v/>
      </c>
      <c r="Z7" s="6" t="n"/>
    </row>
    <row r="8">
      <c r="D8" s="31" t="n"/>
      <c r="F8" s="31" t="n"/>
      <c r="I8" s="31" t="n"/>
      <c r="J8" s="21" t="n"/>
      <c r="L8" s="21" t="n"/>
      <c r="T8" s="29" t="n"/>
      <c r="U8" s="29" t="n"/>
      <c r="V8" s="7">
        <f>IF(OR(N(T8)=0,N(U8)=0),"",IF(U8&gt;T8*IF(T8&lt;20000,0.1,0.05),"Over statutory cap","OK"))</f>
        <v/>
      </c>
      <c r="W8" s="7">
        <f>IF(B8="","",IF(OR(AND(ISNUMBER(J8),J8&lt;TODAY()),AND(ISNUMBER(L8),L8&lt;TODAY())),"Expired",IF(OR(AND(ISNUMBER(J8),J8-TODAY()&lt;=30),AND(ISNUMBER(L8),L8-TODAY()&lt;=30)),"Expires within 30 days","OK")))</f>
        <v/>
      </c>
      <c r="X8" s="7">
        <f>IF(A8="","","04 Trades &amp; Tenders/"&amp;A8)</f>
        <v/>
      </c>
      <c r="Y8" s="7">
        <f>IF(X8="","",IF(IFERROR(INDEX('Drive Map'!$G$4:$G$33,MATCH(X8,'Drive Map'!$B$4:$B$33,0))&amp;"","")="","",HYPERLINK(INDEX('Drive Map'!$G$4:$G$33,MATCH(X8,'Drive Map'!$B$4:$B$33,0)),"Open")))</f>
        <v/>
      </c>
      <c r="Z8" s="6" t="n"/>
    </row>
    <row r="9">
      <c r="D9" s="31" t="n"/>
      <c r="F9" s="31" t="n"/>
      <c r="I9" s="31" t="n"/>
      <c r="J9" s="21" t="n"/>
      <c r="L9" s="21" t="n"/>
      <c r="T9" s="29" t="n"/>
      <c r="U9" s="29" t="n"/>
      <c r="V9" s="7">
        <f>IF(OR(N(T9)=0,N(U9)=0),"",IF(U9&gt;T9*IF(T9&lt;20000,0.1,0.05),"Over statutory cap","OK"))</f>
        <v/>
      </c>
      <c r="W9" s="7">
        <f>IF(B9="","",IF(OR(AND(ISNUMBER(J9),J9&lt;TODAY()),AND(ISNUMBER(L9),L9&lt;TODAY())),"Expired",IF(OR(AND(ISNUMBER(J9),J9-TODAY()&lt;=30),AND(ISNUMBER(L9),L9-TODAY()&lt;=30)),"Expires within 30 days","OK")))</f>
        <v/>
      </c>
      <c r="X9" s="7">
        <f>IF(A9="","","04 Trades &amp; Tenders/"&amp;A9)</f>
        <v/>
      </c>
      <c r="Y9" s="7">
        <f>IF(X9="","",IF(IFERROR(INDEX('Drive Map'!$G$4:$G$33,MATCH(X9,'Drive Map'!$B$4:$B$33,0))&amp;"","")="","",HYPERLINK(INDEX('Drive Map'!$G$4:$G$33,MATCH(X9,'Drive Map'!$B$4:$B$33,0)),"Open")))</f>
        <v/>
      </c>
      <c r="Z9" s="6" t="n"/>
    </row>
    <row r="10">
      <c r="D10" s="31" t="n"/>
      <c r="F10" s="31" t="n"/>
      <c r="I10" s="31" t="n"/>
      <c r="J10" s="21" t="n"/>
      <c r="L10" s="21" t="n"/>
      <c r="T10" s="29" t="n"/>
      <c r="U10" s="29" t="n"/>
      <c r="V10" s="7">
        <f>IF(OR(N(T10)=0,N(U10)=0),"",IF(U10&gt;T10*IF(T10&lt;20000,0.1,0.05),"Over statutory cap","OK"))</f>
        <v/>
      </c>
      <c r="W10" s="7">
        <f>IF(B10="","",IF(OR(AND(ISNUMBER(J10),J10&lt;TODAY()),AND(ISNUMBER(L10),L10&lt;TODAY())),"Expired",IF(OR(AND(ISNUMBER(J10),J10-TODAY()&lt;=30),AND(ISNUMBER(L10),L10-TODAY()&lt;=30)),"Expires within 30 days","OK")))</f>
        <v/>
      </c>
      <c r="X10" s="7">
        <f>IF(A10="","","04 Trades &amp; Tenders/"&amp;A10)</f>
        <v/>
      </c>
      <c r="Y10" s="7">
        <f>IF(X10="","",IF(IFERROR(INDEX('Drive Map'!$G$4:$G$33,MATCH(X10,'Drive Map'!$B$4:$B$33,0))&amp;"","")="","",HYPERLINK(INDEX('Drive Map'!$G$4:$G$33,MATCH(X10,'Drive Map'!$B$4:$B$33,0)),"Open")))</f>
        <v/>
      </c>
      <c r="Z10" s="6" t="n"/>
    </row>
    <row r="11">
      <c r="D11" s="31" t="n"/>
      <c r="F11" s="31" t="n"/>
      <c r="I11" s="31" t="n"/>
      <c r="J11" s="21" t="n"/>
      <c r="L11" s="21" t="n"/>
      <c r="T11" s="29" t="n"/>
      <c r="U11" s="29" t="n"/>
      <c r="V11" s="7">
        <f>IF(OR(N(T11)=0,N(U11)=0),"",IF(U11&gt;T11*IF(T11&lt;20000,0.1,0.05),"Over statutory cap","OK"))</f>
        <v/>
      </c>
      <c r="W11" s="7">
        <f>IF(B11="","",IF(OR(AND(ISNUMBER(J11),J11&lt;TODAY()),AND(ISNUMBER(L11),L11&lt;TODAY())),"Expired",IF(OR(AND(ISNUMBER(J11),J11-TODAY()&lt;=30),AND(ISNUMBER(L11),L11-TODAY()&lt;=30)),"Expires within 30 days","OK")))</f>
        <v/>
      </c>
      <c r="X11" s="7">
        <f>IF(A11="","","04 Trades &amp; Tenders/"&amp;A11)</f>
        <v/>
      </c>
      <c r="Y11" s="7">
        <f>IF(X11="","",IF(IFERROR(INDEX('Drive Map'!$G$4:$G$33,MATCH(X11,'Drive Map'!$B$4:$B$33,0))&amp;"","")="","",HYPERLINK(INDEX('Drive Map'!$G$4:$G$33,MATCH(X11,'Drive Map'!$B$4:$B$33,0)),"Open")))</f>
        <v/>
      </c>
      <c r="Z11" s="6" t="n"/>
    </row>
    <row r="12">
      <c r="D12" s="31" t="n"/>
      <c r="F12" s="31" t="n"/>
      <c r="I12" s="31" t="n"/>
      <c r="J12" s="21" t="n"/>
      <c r="L12" s="21" t="n"/>
      <c r="T12" s="29" t="n"/>
      <c r="U12" s="29" t="n"/>
      <c r="V12" s="7">
        <f>IF(OR(N(T12)=0,N(U12)=0),"",IF(U12&gt;T12*IF(T12&lt;20000,0.1,0.05),"Over statutory cap","OK"))</f>
        <v/>
      </c>
      <c r="W12" s="7">
        <f>IF(B12="","",IF(OR(AND(ISNUMBER(J12),J12&lt;TODAY()),AND(ISNUMBER(L12),L12&lt;TODAY())),"Expired",IF(OR(AND(ISNUMBER(J12),J12-TODAY()&lt;=30),AND(ISNUMBER(L12),L12-TODAY()&lt;=30)),"Expires within 30 days","OK")))</f>
        <v/>
      </c>
      <c r="X12" s="7">
        <f>IF(A12="","","04 Trades &amp; Tenders/"&amp;A12)</f>
        <v/>
      </c>
      <c r="Y12" s="7">
        <f>IF(X12="","",IF(IFERROR(INDEX('Drive Map'!$G$4:$G$33,MATCH(X12,'Drive Map'!$B$4:$B$33,0))&amp;"","")="","",HYPERLINK(INDEX('Drive Map'!$G$4:$G$33,MATCH(X12,'Drive Map'!$B$4:$B$33,0)),"Open")))</f>
        <v/>
      </c>
      <c r="Z12" s="6" t="n"/>
    </row>
    <row r="13">
      <c r="D13" s="31" t="n"/>
      <c r="F13" s="31" t="n"/>
      <c r="I13" s="31" t="n"/>
      <c r="J13" s="21" t="n"/>
      <c r="L13" s="21" t="n"/>
      <c r="T13" s="29" t="n"/>
      <c r="U13" s="29" t="n"/>
      <c r="V13" s="7">
        <f>IF(OR(N(T13)=0,N(U13)=0),"",IF(U13&gt;T13*IF(T13&lt;20000,0.1,0.05),"Over statutory cap","OK"))</f>
        <v/>
      </c>
      <c r="W13" s="7">
        <f>IF(B13="","",IF(OR(AND(ISNUMBER(J13),J13&lt;TODAY()),AND(ISNUMBER(L13),L13&lt;TODAY())),"Expired",IF(OR(AND(ISNUMBER(J13),J13-TODAY()&lt;=30),AND(ISNUMBER(L13),L13-TODAY()&lt;=30)),"Expires within 30 days","OK")))</f>
        <v/>
      </c>
      <c r="X13" s="7">
        <f>IF(A13="","","04 Trades &amp; Tenders/"&amp;A13)</f>
        <v/>
      </c>
      <c r="Y13" s="7">
        <f>IF(X13="","",IF(IFERROR(INDEX('Drive Map'!$G$4:$G$33,MATCH(X13,'Drive Map'!$B$4:$B$33,0))&amp;"","")="","",HYPERLINK(INDEX('Drive Map'!$G$4:$G$33,MATCH(X13,'Drive Map'!$B$4:$B$33,0)),"Open")))</f>
        <v/>
      </c>
      <c r="Z13" s="6" t="n"/>
    </row>
    <row r="14">
      <c r="D14" s="31" t="n"/>
      <c r="F14" s="31" t="n"/>
      <c r="I14" s="31" t="n"/>
      <c r="J14" s="21" t="n"/>
      <c r="L14" s="21" t="n"/>
      <c r="T14" s="29" t="n"/>
      <c r="U14" s="29" t="n"/>
      <c r="V14" s="7">
        <f>IF(OR(N(T14)=0,N(U14)=0),"",IF(U14&gt;T14*IF(T14&lt;20000,0.1,0.05),"Over statutory cap","OK"))</f>
        <v/>
      </c>
      <c r="W14" s="7">
        <f>IF(B14="","",IF(OR(AND(ISNUMBER(J14),J14&lt;TODAY()),AND(ISNUMBER(L14),L14&lt;TODAY())),"Expired",IF(OR(AND(ISNUMBER(J14),J14-TODAY()&lt;=30),AND(ISNUMBER(L14),L14-TODAY()&lt;=30)),"Expires within 30 days","OK")))</f>
        <v/>
      </c>
      <c r="X14" s="7">
        <f>IF(A14="","","04 Trades &amp; Tenders/"&amp;A14)</f>
        <v/>
      </c>
      <c r="Y14" s="7">
        <f>IF(X14="","",IF(IFERROR(INDEX('Drive Map'!$G$4:$G$33,MATCH(X14,'Drive Map'!$B$4:$B$33,0))&amp;"","")="","",HYPERLINK(INDEX('Drive Map'!$G$4:$G$33,MATCH(X14,'Drive Map'!$B$4:$B$33,0)),"Open")))</f>
        <v/>
      </c>
      <c r="Z14" s="6" t="n"/>
    </row>
    <row r="15">
      <c r="D15" s="31" t="n"/>
      <c r="F15" s="31" t="n"/>
      <c r="I15" s="31" t="n"/>
      <c r="J15" s="21" t="n"/>
      <c r="L15" s="21" t="n"/>
      <c r="T15" s="29" t="n"/>
      <c r="U15" s="29" t="n"/>
      <c r="V15" s="7">
        <f>IF(OR(N(T15)=0,N(U15)=0),"",IF(U15&gt;T15*IF(T15&lt;20000,0.1,0.05),"Over statutory cap","OK"))</f>
        <v/>
      </c>
      <c r="W15" s="7">
        <f>IF(B15="","",IF(OR(AND(ISNUMBER(J15),J15&lt;TODAY()),AND(ISNUMBER(L15),L15&lt;TODAY())),"Expired",IF(OR(AND(ISNUMBER(J15),J15-TODAY()&lt;=30),AND(ISNUMBER(L15),L15-TODAY()&lt;=30)),"Expires within 30 days","OK")))</f>
        <v/>
      </c>
      <c r="X15" s="7">
        <f>IF(A15="","","04 Trades &amp; Tenders/"&amp;A15)</f>
        <v/>
      </c>
      <c r="Y15" s="7">
        <f>IF(X15="","",IF(IFERROR(INDEX('Drive Map'!$G$4:$G$33,MATCH(X15,'Drive Map'!$B$4:$B$33,0))&amp;"","")="","",HYPERLINK(INDEX('Drive Map'!$G$4:$G$33,MATCH(X15,'Drive Map'!$B$4:$B$33,0)),"Open")))</f>
        <v/>
      </c>
      <c r="Z15" s="6" t="n"/>
    </row>
    <row r="16">
      <c r="D16" s="31" t="n"/>
      <c r="F16" s="31" t="n"/>
      <c r="I16" s="31" t="n"/>
      <c r="J16" s="21" t="n"/>
      <c r="L16" s="21" t="n"/>
      <c r="T16" s="29" t="n"/>
      <c r="U16" s="29" t="n"/>
      <c r="V16" s="7">
        <f>IF(OR(N(T16)=0,N(U16)=0),"",IF(U16&gt;T16*IF(T16&lt;20000,0.1,0.05),"Over statutory cap","OK"))</f>
        <v/>
      </c>
      <c r="W16" s="7">
        <f>IF(B16="","",IF(OR(AND(ISNUMBER(J16),J16&lt;TODAY()),AND(ISNUMBER(L16),L16&lt;TODAY())),"Expired",IF(OR(AND(ISNUMBER(J16),J16-TODAY()&lt;=30),AND(ISNUMBER(L16),L16-TODAY()&lt;=30)),"Expires within 30 days","OK")))</f>
        <v/>
      </c>
      <c r="X16" s="7">
        <f>IF(A16="","","04 Trades &amp; Tenders/"&amp;A16)</f>
        <v/>
      </c>
      <c r="Y16" s="7">
        <f>IF(X16="","",IF(IFERROR(INDEX('Drive Map'!$G$4:$G$33,MATCH(X16,'Drive Map'!$B$4:$B$33,0))&amp;"","")="","",HYPERLINK(INDEX('Drive Map'!$G$4:$G$33,MATCH(X16,'Drive Map'!$B$4:$B$33,0)),"Open")))</f>
        <v/>
      </c>
      <c r="Z16" s="6" t="n"/>
    </row>
    <row r="17">
      <c r="D17" s="31" t="n"/>
      <c r="F17" s="31" t="n"/>
      <c r="I17" s="31" t="n"/>
      <c r="J17" s="21" t="n"/>
      <c r="L17" s="21" t="n"/>
      <c r="T17" s="29" t="n"/>
      <c r="U17" s="29" t="n"/>
      <c r="V17" s="7">
        <f>IF(OR(N(T17)=0,N(U17)=0),"",IF(U17&gt;T17*IF(T17&lt;20000,0.1,0.05),"Over statutory cap","OK"))</f>
        <v/>
      </c>
      <c r="W17" s="7">
        <f>IF(B17="","",IF(OR(AND(ISNUMBER(J17),J17&lt;TODAY()),AND(ISNUMBER(L17),L17&lt;TODAY())),"Expired",IF(OR(AND(ISNUMBER(J17),J17-TODAY()&lt;=30),AND(ISNUMBER(L17),L17-TODAY()&lt;=30)),"Expires within 30 days","OK")))</f>
        <v/>
      </c>
      <c r="X17" s="7">
        <f>IF(A17="","","04 Trades &amp; Tenders/"&amp;A17)</f>
        <v/>
      </c>
      <c r="Y17" s="7">
        <f>IF(X17="","",IF(IFERROR(INDEX('Drive Map'!$G$4:$G$33,MATCH(X17,'Drive Map'!$B$4:$B$33,0))&amp;"","")="","",HYPERLINK(INDEX('Drive Map'!$G$4:$G$33,MATCH(X17,'Drive Map'!$B$4:$B$33,0)),"Open")))</f>
        <v/>
      </c>
      <c r="Z17" s="6" t="n"/>
    </row>
    <row r="18">
      <c r="D18" s="31" t="n"/>
      <c r="F18" s="31" t="n"/>
      <c r="I18" s="31" t="n"/>
      <c r="J18" s="21" t="n"/>
      <c r="L18" s="21" t="n"/>
      <c r="T18" s="29" t="n"/>
      <c r="U18" s="29" t="n"/>
      <c r="V18" s="7">
        <f>IF(OR(N(T18)=0,N(U18)=0),"",IF(U18&gt;T18*IF(T18&lt;20000,0.1,0.05),"Over statutory cap","OK"))</f>
        <v/>
      </c>
      <c r="W18" s="7">
        <f>IF(B18="","",IF(OR(AND(ISNUMBER(J18),J18&lt;TODAY()),AND(ISNUMBER(L18),L18&lt;TODAY())),"Expired",IF(OR(AND(ISNUMBER(J18),J18-TODAY()&lt;=30),AND(ISNUMBER(L18),L18-TODAY()&lt;=30)),"Expires within 30 days","OK")))</f>
        <v/>
      </c>
      <c r="X18" s="7">
        <f>IF(A18="","","04 Trades &amp; Tenders/"&amp;A18)</f>
        <v/>
      </c>
      <c r="Y18" s="7">
        <f>IF(X18="","",IF(IFERROR(INDEX('Drive Map'!$G$4:$G$33,MATCH(X18,'Drive Map'!$B$4:$B$33,0))&amp;"","")="","",HYPERLINK(INDEX('Drive Map'!$G$4:$G$33,MATCH(X18,'Drive Map'!$B$4:$B$33,0)),"Open")))</f>
        <v/>
      </c>
      <c r="Z18" s="6" t="n"/>
    </row>
    <row r="19">
      <c r="D19" s="31" t="n"/>
      <c r="F19" s="31" t="n"/>
      <c r="I19" s="31" t="n"/>
      <c r="J19" s="21" t="n"/>
      <c r="L19" s="21" t="n"/>
      <c r="T19" s="29" t="n"/>
      <c r="U19" s="29" t="n"/>
      <c r="V19" s="7">
        <f>IF(OR(N(T19)=0,N(U19)=0),"",IF(U19&gt;T19*IF(T19&lt;20000,0.1,0.05),"Over statutory cap","OK"))</f>
        <v/>
      </c>
      <c r="W19" s="7">
        <f>IF(B19="","",IF(OR(AND(ISNUMBER(J19),J19&lt;TODAY()),AND(ISNUMBER(L19),L19&lt;TODAY())),"Expired",IF(OR(AND(ISNUMBER(J19),J19-TODAY()&lt;=30),AND(ISNUMBER(L19),L19-TODAY()&lt;=30)),"Expires within 30 days","OK")))</f>
        <v/>
      </c>
      <c r="X19" s="7">
        <f>IF(A19="","","04 Trades &amp; Tenders/"&amp;A19)</f>
        <v/>
      </c>
      <c r="Y19" s="7">
        <f>IF(X19="","",IF(IFERROR(INDEX('Drive Map'!$G$4:$G$33,MATCH(X19,'Drive Map'!$B$4:$B$33,0))&amp;"","")="","",HYPERLINK(INDEX('Drive Map'!$G$4:$G$33,MATCH(X19,'Drive Map'!$B$4:$B$33,0)),"Open")))</f>
        <v/>
      </c>
      <c r="Z19" s="6" t="n"/>
    </row>
    <row r="20">
      <c r="D20" s="31" t="n"/>
      <c r="F20" s="31" t="n"/>
      <c r="I20" s="31" t="n"/>
      <c r="J20" s="21" t="n"/>
      <c r="L20" s="21" t="n"/>
      <c r="T20" s="29" t="n"/>
      <c r="U20" s="29" t="n"/>
      <c r="V20" s="7">
        <f>IF(OR(N(T20)=0,N(U20)=0),"",IF(U20&gt;T20*IF(T20&lt;20000,0.1,0.05),"Over statutory cap","OK"))</f>
        <v/>
      </c>
      <c r="W20" s="7">
        <f>IF(B20="","",IF(OR(AND(ISNUMBER(J20),J20&lt;TODAY()),AND(ISNUMBER(L20),L20&lt;TODAY())),"Expired",IF(OR(AND(ISNUMBER(J20),J20-TODAY()&lt;=30),AND(ISNUMBER(L20),L20-TODAY()&lt;=30)),"Expires within 30 days","OK")))</f>
        <v/>
      </c>
      <c r="X20" s="7">
        <f>IF(A20="","","04 Trades &amp; Tenders/"&amp;A20)</f>
        <v/>
      </c>
      <c r="Y20" s="7">
        <f>IF(X20="","",IF(IFERROR(INDEX('Drive Map'!$G$4:$G$33,MATCH(X20,'Drive Map'!$B$4:$B$33,0))&amp;"","")="","",HYPERLINK(INDEX('Drive Map'!$G$4:$G$33,MATCH(X20,'Drive Map'!$B$4:$B$33,0)),"Open")))</f>
        <v/>
      </c>
      <c r="Z20" s="6" t="n"/>
    </row>
    <row r="21">
      <c r="D21" s="31" t="n"/>
      <c r="F21" s="31" t="n"/>
      <c r="I21" s="31" t="n"/>
      <c r="J21" s="21" t="n"/>
      <c r="L21" s="21" t="n"/>
      <c r="T21" s="29" t="n"/>
      <c r="U21" s="29" t="n"/>
      <c r="V21" s="7">
        <f>IF(OR(N(T21)=0,N(U21)=0),"",IF(U21&gt;T21*IF(T21&lt;20000,0.1,0.05),"Over statutory cap","OK"))</f>
        <v/>
      </c>
      <c r="W21" s="7">
        <f>IF(B21="","",IF(OR(AND(ISNUMBER(J21),J21&lt;TODAY()),AND(ISNUMBER(L21),L21&lt;TODAY())),"Expired",IF(OR(AND(ISNUMBER(J21),J21-TODAY()&lt;=30),AND(ISNUMBER(L21),L21-TODAY()&lt;=30)),"Expires within 30 days","OK")))</f>
        <v/>
      </c>
      <c r="X21" s="7">
        <f>IF(A21="","","04 Trades &amp; Tenders/"&amp;A21)</f>
        <v/>
      </c>
      <c r="Y21" s="7">
        <f>IF(X21="","",IF(IFERROR(INDEX('Drive Map'!$G$4:$G$33,MATCH(X21,'Drive Map'!$B$4:$B$33,0))&amp;"","")="","",HYPERLINK(INDEX('Drive Map'!$G$4:$G$33,MATCH(X21,'Drive Map'!$B$4:$B$33,0)),"Open")))</f>
        <v/>
      </c>
      <c r="Z21" s="6" t="n"/>
    </row>
    <row r="22">
      <c r="D22" s="31" t="n"/>
      <c r="F22" s="31" t="n"/>
      <c r="I22" s="31" t="n"/>
      <c r="J22" s="21" t="n"/>
      <c r="L22" s="21" t="n"/>
      <c r="T22" s="29" t="n"/>
      <c r="U22" s="29" t="n"/>
      <c r="V22" s="7">
        <f>IF(OR(N(T22)=0,N(U22)=0),"",IF(U22&gt;T22*IF(T22&lt;20000,0.1,0.05),"Over statutory cap","OK"))</f>
        <v/>
      </c>
      <c r="W22" s="7">
        <f>IF(B22="","",IF(OR(AND(ISNUMBER(J22),J22&lt;TODAY()),AND(ISNUMBER(L22),L22&lt;TODAY())),"Expired",IF(OR(AND(ISNUMBER(J22),J22-TODAY()&lt;=30),AND(ISNUMBER(L22),L22-TODAY()&lt;=30)),"Expires within 30 days","OK")))</f>
        <v/>
      </c>
      <c r="X22" s="7">
        <f>IF(A22="","","04 Trades &amp; Tenders/"&amp;A22)</f>
        <v/>
      </c>
      <c r="Y22" s="7">
        <f>IF(X22="","",IF(IFERROR(INDEX('Drive Map'!$G$4:$G$33,MATCH(X22,'Drive Map'!$B$4:$B$33,0))&amp;"","")="","",HYPERLINK(INDEX('Drive Map'!$G$4:$G$33,MATCH(X22,'Drive Map'!$B$4:$B$33,0)),"Open")))</f>
        <v/>
      </c>
      <c r="Z22" s="6" t="n"/>
    </row>
    <row r="23">
      <c r="D23" s="31" t="n"/>
      <c r="F23" s="31" t="n"/>
      <c r="I23" s="31" t="n"/>
      <c r="J23" s="21" t="n"/>
      <c r="L23" s="21" t="n"/>
      <c r="T23" s="29" t="n"/>
      <c r="U23" s="29" t="n"/>
      <c r="V23" s="7">
        <f>IF(OR(N(T23)=0,N(U23)=0),"",IF(U23&gt;T23*IF(T23&lt;20000,0.1,0.05),"Over statutory cap","OK"))</f>
        <v/>
      </c>
      <c r="W23" s="7">
        <f>IF(B23="","",IF(OR(AND(ISNUMBER(J23),J23&lt;TODAY()),AND(ISNUMBER(L23),L23&lt;TODAY())),"Expired",IF(OR(AND(ISNUMBER(J23),J23-TODAY()&lt;=30),AND(ISNUMBER(L23),L23-TODAY()&lt;=30)),"Expires within 30 days","OK")))</f>
        <v/>
      </c>
      <c r="X23" s="7">
        <f>IF(A23="","","04 Trades &amp; Tenders/"&amp;A23)</f>
        <v/>
      </c>
      <c r="Y23" s="7">
        <f>IF(X23="","",IF(IFERROR(INDEX('Drive Map'!$G$4:$G$33,MATCH(X23,'Drive Map'!$B$4:$B$33,0))&amp;"","")="","",HYPERLINK(INDEX('Drive Map'!$G$4:$G$33,MATCH(X23,'Drive Map'!$B$4:$B$33,0)),"Open")))</f>
        <v/>
      </c>
      <c r="Z23" s="6" t="n"/>
    </row>
    <row r="24">
      <c r="D24" s="31" t="n"/>
      <c r="F24" s="31" t="n"/>
      <c r="I24" s="31" t="n"/>
      <c r="J24" s="21" t="n"/>
      <c r="L24" s="21" t="n"/>
      <c r="T24" s="29" t="n"/>
      <c r="U24" s="29" t="n"/>
      <c r="V24" s="7">
        <f>IF(OR(N(T24)=0,N(U24)=0),"",IF(U24&gt;T24*IF(T24&lt;20000,0.1,0.05),"Over statutory cap","OK"))</f>
        <v/>
      </c>
      <c r="W24" s="7">
        <f>IF(B24="","",IF(OR(AND(ISNUMBER(J24),J24&lt;TODAY()),AND(ISNUMBER(L24),L24&lt;TODAY())),"Expired",IF(OR(AND(ISNUMBER(J24),J24-TODAY()&lt;=30),AND(ISNUMBER(L24),L24-TODAY()&lt;=30)),"Expires within 30 days","OK")))</f>
        <v/>
      </c>
      <c r="X24" s="7">
        <f>IF(A24="","","04 Trades &amp; Tenders/"&amp;A24)</f>
        <v/>
      </c>
      <c r="Y24" s="7">
        <f>IF(X24="","",IF(IFERROR(INDEX('Drive Map'!$G$4:$G$33,MATCH(X24,'Drive Map'!$B$4:$B$33,0))&amp;"","")="","",HYPERLINK(INDEX('Drive Map'!$G$4:$G$33,MATCH(X24,'Drive Map'!$B$4:$B$33,0)),"Open")))</f>
        <v/>
      </c>
      <c r="Z24" s="6" t="n"/>
    </row>
    <row r="25">
      <c r="D25" s="31" t="n"/>
      <c r="F25" s="31" t="n"/>
      <c r="I25" s="31" t="n"/>
      <c r="J25" s="21" t="n"/>
      <c r="L25" s="21" t="n"/>
      <c r="T25" s="29" t="n"/>
      <c r="U25" s="29" t="n"/>
      <c r="V25" s="7">
        <f>IF(OR(N(T25)=0,N(U25)=0),"",IF(U25&gt;T25*IF(T25&lt;20000,0.1,0.05),"Over statutory cap","OK"))</f>
        <v/>
      </c>
      <c r="W25" s="7">
        <f>IF(B25="","",IF(OR(AND(ISNUMBER(J25),J25&lt;TODAY()),AND(ISNUMBER(L25),L25&lt;TODAY())),"Expired",IF(OR(AND(ISNUMBER(J25),J25-TODAY()&lt;=30),AND(ISNUMBER(L25),L25-TODAY()&lt;=30)),"Expires within 30 days","OK")))</f>
        <v/>
      </c>
      <c r="X25" s="7">
        <f>IF(A25="","","04 Trades &amp; Tenders/"&amp;A25)</f>
        <v/>
      </c>
      <c r="Y25" s="7">
        <f>IF(X25="","",IF(IFERROR(INDEX('Drive Map'!$G$4:$G$33,MATCH(X25,'Drive Map'!$B$4:$B$33,0))&amp;"","")="","",HYPERLINK(INDEX('Drive Map'!$G$4:$G$33,MATCH(X25,'Drive Map'!$B$4:$B$33,0)),"Open")))</f>
        <v/>
      </c>
      <c r="Z25" s="6" t="n"/>
    </row>
    <row r="26">
      <c r="D26" s="31" t="n"/>
      <c r="F26" s="31" t="n"/>
      <c r="I26" s="31" t="n"/>
      <c r="J26" s="21" t="n"/>
      <c r="L26" s="21" t="n"/>
      <c r="T26" s="29" t="n"/>
      <c r="U26" s="29" t="n"/>
      <c r="V26" s="7">
        <f>IF(OR(N(T26)=0,N(U26)=0),"",IF(U26&gt;T26*IF(T26&lt;20000,0.1,0.05),"Over statutory cap","OK"))</f>
        <v/>
      </c>
      <c r="W26" s="7">
        <f>IF(B26="","",IF(OR(AND(ISNUMBER(J26),J26&lt;TODAY()),AND(ISNUMBER(L26),L26&lt;TODAY())),"Expired",IF(OR(AND(ISNUMBER(J26),J26-TODAY()&lt;=30),AND(ISNUMBER(L26),L26-TODAY()&lt;=30)),"Expires within 30 days","OK")))</f>
        <v/>
      </c>
      <c r="X26" s="7">
        <f>IF(A26="","","04 Trades &amp; Tenders/"&amp;A26)</f>
        <v/>
      </c>
      <c r="Y26" s="7">
        <f>IF(X26="","",IF(IFERROR(INDEX('Drive Map'!$G$4:$G$33,MATCH(X26,'Drive Map'!$B$4:$B$33,0))&amp;"","")="","",HYPERLINK(INDEX('Drive Map'!$G$4:$G$33,MATCH(X26,'Drive Map'!$B$4:$B$33,0)),"Open")))</f>
        <v/>
      </c>
      <c r="Z26" s="6" t="n"/>
    </row>
    <row r="27">
      <c r="D27" s="31" t="n"/>
      <c r="F27" s="31" t="n"/>
      <c r="I27" s="31" t="n"/>
      <c r="J27" s="21" t="n"/>
      <c r="L27" s="21" t="n"/>
      <c r="T27" s="29" t="n"/>
      <c r="U27" s="29" t="n"/>
      <c r="V27" s="7">
        <f>IF(OR(N(T27)=0,N(U27)=0),"",IF(U27&gt;T27*IF(T27&lt;20000,0.1,0.05),"Over statutory cap","OK"))</f>
        <v/>
      </c>
      <c r="W27" s="7">
        <f>IF(B27="","",IF(OR(AND(ISNUMBER(J27),J27&lt;TODAY()),AND(ISNUMBER(L27),L27&lt;TODAY())),"Expired",IF(OR(AND(ISNUMBER(J27),J27-TODAY()&lt;=30),AND(ISNUMBER(L27),L27-TODAY()&lt;=30)),"Expires within 30 days","OK")))</f>
        <v/>
      </c>
      <c r="X27" s="7">
        <f>IF(A27="","","04 Trades &amp; Tenders/"&amp;A27)</f>
        <v/>
      </c>
      <c r="Y27" s="7">
        <f>IF(X27="","",IF(IFERROR(INDEX('Drive Map'!$G$4:$G$33,MATCH(X27,'Drive Map'!$B$4:$B$33,0))&amp;"","")="","",HYPERLINK(INDEX('Drive Map'!$G$4:$G$33,MATCH(X27,'Drive Map'!$B$4:$B$33,0)),"Open")))</f>
        <v/>
      </c>
      <c r="Z27" s="6" t="n"/>
    </row>
    <row r="28">
      <c r="D28" s="31" t="n"/>
      <c r="F28" s="31" t="n"/>
      <c r="I28" s="31" t="n"/>
      <c r="J28" s="21" t="n"/>
      <c r="L28" s="21" t="n"/>
      <c r="T28" s="29" t="n"/>
      <c r="U28" s="29" t="n"/>
      <c r="V28" s="7">
        <f>IF(OR(N(T28)=0,N(U28)=0),"",IF(U28&gt;T28*IF(T28&lt;20000,0.1,0.05),"Over statutory cap","OK"))</f>
        <v/>
      </c>
      <c r="W28" s="7">
        <f>IF(B28="","",IF(OR(AND(ISNUMBER(J28),J28&lt;TODAY()),AND(ISNUMBER(L28),L28&lt;TODAY())),"Expired",IF(OR(AND(ISNUMBER(J28),J28-TODAY()&lt;=30),AND(ISNUMBER(L28),L28-TODAY()&lt;=30)),"Expires within 30 days","OK")))</f>
        <v/>
      </c>
      <c r="X28" s="7">
        <f>IF(A28="","","04 Trades &amp; Tenders/"&amp;A28)</f>
        <v/>
      </c>
      <c r="Y28" s="7">
        <f>IF(X28="","",IF(IFERROR(INDEX('Drive Map'!$G$4:$G$33,MATCH(X28,'Drive Map'!$B$4:$B$33,0))&amp;"","")="","",HYPERLINK(INDEX('Drive Map'!$G$4:$G$33,MATCH(X28,'Drive Map'!$B$4:$B$33,0)),"Open")))</f>
        <v/>
      </c>
      <c r="Z28" s="6" t="n"/>
    </row>
    <row r="29">
      <c r="D29" s="31" t="n"/>
      <c r="F29" s="31" t="n"/>
      <c r="I29" s="31" t="n"/>
      <c r="J29" s="21" t="n"/>
      <c r="L29" s="21" t="n"/>
      <c r="T29" s="29" t="n"/>
      <c r="U29" s="29" t="n"/>
      <c r="V29" s="7">
        <f>IF(OR(N(T29)=0,N(U29)=0),"",IF(U29&gt;T29*IF(T29&lt;20000,0.1,0.05),"Over statutory cap","OK"))</f>
        <v/>
      </c>
      <c r="W29" s="7">
        <f>IF(B29="","",IF(OR(AND(ISNUMBER(J29),J29&lt;TODAY()),AND(ISNUMBER(L29),L29&lt;TODAY())),"Expired",IF(OR(AND(ISNUMBER(J29),J29-TODAY()&lt;=30),AND(ISNUMBER(L29),L29-TODAY()&lt;=30)),"Expires within 30 days","OK")))</f>
        <v/>
      </c>
      <c r="X29" s="7">
        <f>IF(A29="","","04 Trades &amp; Tenders/"&amp;A29)</f>
        <v/>
      </c>
      <c r="Y29" s="7">
        <f>IF(X29="","",IF(IFERROR(INDEX('Drive Map'!$G$4:$G$33,MATCH(X29,'Drive Map'!$B$4:$B$33,0))&amp;"","")="","",HYPERLINK(INDEX('Drive Map'!$G$4:$G$33,MATCH(X29,'Drive Map'!$B$4:$B$33,0)),"Open")))</f>
        <v/>
      </c>
      <c r="Z29" s="6" t="n"/>
    </row>
    <row r="30">
      <c r="D30" s="31" t="n"/>
      <c r="F30" s="31" t="n"/>
      <c r="I30" s="31" t="n"/>
      <c r="J30" s="21" t="n"/>
      <c r="L30" s="21" t="n"/>
      <c r="T30" s="29" t="n"/>
      <c r="U30" s="29" t="n"/>
      <c r="V30" s="7">
        <f>IF(OR(N(T30)=0,N(U30)=0),"",IF(U30&gt;T30*IF(T30&lt;20000,0.1,0.05),"Over statutory cap","OK"))</f>
        <v/>
      </c>
      <c r="W30" s="7">
        <f>IF(B30="","",IF(OR(AND(ISNUMBER(J30),J30&lt;TODAY()),AND(ISNUMBER(L30),L30&lt;TODAY())),"Expired",IF(OR(AND(ISNUMBER(J30),J30-TODAY()&lt;=30),AND(ISNUMBER(L30),L30-TODAY()&lt;=30)),"Expires within 30 days","OK")))</f>
        <v/>
      </c>
      <c r="X30" s="7">
        <f>IF(A30="","","04 Trades &amp; Tenders/"&amp;A30)</f>
        <v/>
      </c>
      <c r="Y30" s="7">
        <f>IF(X30="","",IF(IFERROR(INDEX('Drive Map'!$G$4:$G$33,MATCH(X30,'Drive Map'!$B$4:$B$33,0))&amp;"","")="","",HYPERLINK(INDEX('Drive Map'!$G$4:$G$33,MATCH(X30,'Drive Map'!$B$4:$B$33,0)),"Open")))</f>
        <v/>
      </c>
      <c r="Z30" s="6" t="n"/>
    </row>
    <row r="31">
      <c r="D31" s="31" t="n"/>
      <c r="F31" s="31" t="n"/>
      <c r="I31" s="31" t="n"/>
      <c r="J31" s="21" t="n"/>
      <c r="L31" s="21" t="n"/>
      <c r="T31" s="29" t="n"/>
      <c r="U31" s="29" t="n"/>
      <c r="V31" s="7">
        <f>IF(OR(N(T31)=0,N(U31)=0),"",IF(U31&gt;T31*IF(T31&lt;20000,0.1,0.05),"Over statutory cap","OK"))</f>
        <v/>
      </c>
      <c r="W31" s="7">
        <f>IF(B31="","",IF(OR(AND(ISNUMBER(J31),J31&lt;TODAY()),AND(ISNUMBER(L31),L31&lt;TODAY())),"Expired",IF(OR(AND(ISNUMBER(J31),J31-TODAY()&lt;=30),AND(ISNUMBER(L31),L31-TODAY()&lt;=30)),"Expires within 30 days","OK")))</f>
        <v/>
      </c>
      <c r="X31" s="7">
        <f>IF(A31="","","04 Trades &amp; Tenders/"&amp;A31)</f>
        <v/>
      </c>
      <c r="Y31" s="7">
        <f>IF(X31="","",IF(IFERROR(INDEX('Drive Map'!$G$4:$G$33,MATCH(X31,'Drive Map'!$B$4:$B$33,0))&amp;"","")="","",HYPERLINK(INDEX('Drive Map'!$G$4:$G$33,MATCH(X31,'Drive Map'!$B$4:$B$33,0)),"Open")))</f>
        <v/>
      </c>
      <c r="Z31" s="6" t="n"/>
    </row>
    <row r="32">
      <c r="D32" s="31" t="n"/>
      <c r="F32" s="31" t="n"/>
      <c r="I32" s="31" t="n"/>
      <c r="J32" s="21" t="n"/>
      <c r="L32" s="21" t="n"/>
      <c r="T32" s="29" t="n"/>
      <c r="U32" s="29" t="n"/>
      <c r="V32" s="7">
        <f>IF(OR(N(T32)=0,N(U32)=0),"",IF(U32&gt;T32*IF(T32&lt;20000,0.1,0.05),"Over statutory cap","OK"))</f>
        <v/>
      </c>
      <c r="W32" s="7">
        <f>IF(B32="","",IF(OR(AND(ISNUMBER(J32),J32&lt;TODAY()),AND(ISNUMBER(L32),L32&lt;TODAY())),"Expired",IF(OR(AND(ISNUMBER(J32),J32-TODAY()&lt;=30),AND(ISNUMBER(L32),L32-TODAY()&lt;=30)),"Expires within 30 days","OK")))</f>
        <v/>
      </c>
      <c r="X32" s="7">
        <f>IF(A32="","","04 Trades &amp; Tenders/"&amp;A32)</f>
        <v/>
      </c>
      <c r="Y32" s="7">
        <f>IF(X32="","",IF(IFERROR(INDEX('Drive Map'!$G$4:$G$33,MATCH(X32,'Drive Map'!$B$4:$B$33,0))&amp;"","")="","",HYPERLINK(INDEX('Drive Map'!$G$4:$G$33,MATCH(X32,'Drive Map'!$B$4:$B$33,0)),"Open")))</f>
        <v/>
      </c>
      <c r="Z32" s="6" t="n"/>
    </row>
    <row r="33">
      <c r="D33" s="31" t="n"/>
      <c r="F33" s="31" t="n"/>
      <c r="I33" s="31" t="n"/>
      <c r="J33" s="21" t="n"/>
      <c r="L33" s="21" t="n"/>
      <c r="T33" s="29" t="n"/>
      <c r="U33" s="29" t="n"/>
      <c r="V33" s="7">
        <f>IF(OR(N(T33)=0,N(U33)=0),"",IF(U33&gt;T33*IF(T33&lt;20000,0.1,0.05),"Over statutory cap","OK"))</f>
        <v/>
      </c>
      <c r="W33" s="7">
        <f>IF(B33="","",IF(OR(AND(ISNUMBER(J33),J33&lt;TODAY()),AND(ISNUMBER(L33),L33&lt;TODAY())),"Expired",IF(OR(AND(ISNUMBER(J33),J33-TODAY()&lt;=30),AND(ISNUMBER(L33),L33-TODAY()&lt;=30)),"Expires within 30 days","OK")))</f>
        <v/>
      </c>
      <c r="X33" s="7">
        <f>IF(A33="","","04 Trades &amp; Tenders/"&amp;A33)</f>
        <v/>
      </c>
      <c r="Y33" s="7">
        <f>IF(X33="","",IF(IFERROR(INDEX('Drive Map'!$G$4:$G$33,MATCH(X33,'Drive Map'!$B$4:$B$33,0))&amp;"","")="","",HYPERLINK(INDEX('Drive Map'!$G$4:$G$33,MATCH(X33,'Drive Map'!$B$4:$B$33,0)),"Open")))</f>
        <v/>
      </c>
      <c r="Z33" s="6" t="n"/>
    </row>
    <row r="34">
      <c r="D34" s="31" t="n"/>
      <c r="F34" s="31" t="n"/>
      <c r="I34" s="31" t="n"/>
      <c r="J34" s="21" t="n"/>
      <c r="L34" s="21" t="n"/>
      <c r="T34" s="29" t="n"/>
      <c r="U34" s="29" t="n"/>
      <c r="V34" s="7">
        <f>IF(OR(N(T34)=0,N(U34)=0),"",IF(U34&gt;T34*IF(T34&lt;20000,0.1,0.05),"Over statutory cap","OK"))</f>
        <v/>
      </c>
      <c r="W34" s="7">
        <f>IF(B34="","",IF(OR(AND(ISNUMBER(J34),J34&lt;TODAY()),AND(ISNUMBER(L34),L34&lt;TODAY())),"Expired",IF(OR(AND(ISNUMBER(J34),J34-TODAY()&lt;=30),AND(ISNUMBER(L34),L34-TODAY()&lt;=30)),"Expires within 30 days","OK")))</f>
        <v/>
      </c>
      <c r="X34" s="7">
        <f>IF(A34="","","04 Trades &amp; Tenders/"&amp;A34)</f>
        <v/>
      </c>
      <c r="Y34" s="7">
        <f>IF(X34="","",IF(IFERROR(INDEX('Drive Map'!$G$4:$G$33,MATCH(X34,'Drive Map'!$B$4:$B$33,0))&amp;"","")="","",HYPERLINK(INDEX('Drive Map'!$G$4:$G$33,MATCH(X34,'Drive Map'!$B$4:$B$33,0)),"Open")))</f>
        <v/>
      </c>
      <c r="Z34" s="6" t="n"/>
    </row>
    <row r="35">
      <c r="D35" s="31" t="n"/>
      <c r="F35" s="31" t="n"/>
      <c r="I35" s="31" t="n"/>
      <c r="J35" s="21" t="n"/>
      <c r="L35" s="21" t="n"/>
      <c r="T35" s="29" t="n"/>
      <c r="U35" s="29" t="n"/>
      <c r="V35" s="7">
        <f>IF(OR(N(T35)=0,N(U35)=0),"",IF(U35&gt;T35*IF(T35&lt;20000,0.1,0.05),"Over statutory cap","OK"))</f>
        <v/>
      </c>
      <c r="W35" s="7">
        <f>IF(B35="","",IF(OR(AND(ISNUMBER(J35),J35&lt;TODAY()),AND(ISNUMBER(L35),L35&lt;TODAY())),"Expired",IF(OR(AND(ISNUMBER(J35),J35-TODAY()&lt;=30),AND(ISNUMBER(L35),L35-TODAY()&lt;=30)),"Expires within 30 days","OK")))</f>
        <v/>
      </c>
      <c r="X35" s="7">
        <f>IF(A35="","","04 Trades &amp; Tenders/"&amp;A35)</f>
        <v/>
      </c>
      <c r="Y35" s="7">
        <f>IF(X35="","",IF(IFERROR(INDEX('Drive Map'!$G$4:$G$33,MATCH(X35,'Drive Map'!$B$4:$B$33,0))&amp;"","")="","",HYPERLINK(INDEX('Drive Map'!$G$4:$G$33,MATCH(X35,'Drive Map'!$B$4:$B$33,0)),"Open")))</f>
        <v/>
      </c>
      <c r="Z35" s="6" t="n"/>
    </row>
    <row r="36">
      <c r="D36" s="31" t="n"/>
      <c r="F36" s="31" t="n"/>
      <c r="I36" s="31" t="n"/>
      <c r="J36" s="21" t="n"/>
      <c r="L36" s="21" t="n"/>
      <c r="T36" s="29" t="n"/>
      <c r="U36" s="29" t="n"/>
      <c r="V36" s="7">
        <f>IF(OR(N(T36)=0,N(U36)=0),"",IF(U36&gt;T36*IF(T36&lt;20000,0.1,0.05),"Over statutory cap","OK"))</f>
        <v/>
      </c>
      <c r="W36" s="7">
        <f>IF(B36="","",IF(OR(AND(ISNUMBER(J36),J36&lt;TODAY()),AND(ISNUMBER(L36),L36&lt;TODAY())),"Expired",IF(OR(AND(ISNUMBER(J36),J36-TODAY()&lt;=30),AND(ISNUMBER(L36),L36-TODAY()&lt;=30)),"Expires within 30 days","OK")))</f>
        <v/>
      </c>
      <c r="X36" s="7">
        <f>IF(A36="","","04 Trades &amp; Tenders/"&amp;A36)</f>
        <v/>
      </c>
      <c r="Y36" s="7">
        <f>IF(X36="","",IF(IFERROR(INDEX('Drive Map'!$G$4:$G$33,MATCH(X36,'Drive Map'!$B$4:$B$33,0))&amp;"","")="","",HYPERLINK(INDEX('Drive Map'!$G$4:$G$33,MATCH(X36,'Drive Map'!$B$4:$B$33,0)),"Open")))</f>
        <v/>
      </c>
      <c r="Z36" s="6" t="n"/>
    </row>
    <row r="37">
      <c r="D37" s="31" t="n"/>
      <c r="F37" s="31" t="n"/>
      <c r="I37" s="31" t="n"/>
      <c r="J37" s="21" t="n"/>
      <c r="L37" s="21" t="n"/>
      <c r="T37" s="29" t="n"/>
      <c r="U37" s="29" t="n"/>
      <c r="V37" s="7">
        <f>IF(OR(N(T37)=0,N(U37)=0),"",IF(U37&gt;T37*IF(T37&lt;20000,0.1,0.05),"Over statutory cap","OK"))</f>
        <v/>
      </c>
      <c r="W37" s="7">
        <f>IF(B37="","",IF(OR(AND(ISNUMBER(J37),J37&lt;TODAY()),AND(ISNUMBER(L37),L37&lt;TODAY())),"Expired",IF(OR(AND(ISNUMBER(J37),J37-TODAY()&lt;=30),AND(ISNUMBER(L37),L37-TODAY()&lt;=30)),"Expires within 30 days","OK")))</f>
        <v/>
      </c>
      <c r="X37" s="7">
        <f>IF(A37="","","04 Trades &amp; Tenders/"&amp;A37)</f>
        <v/>
      </c>
      <c r="Y37" s="7">
        <f>IF(X37="","",IF(IFERROR(INDEX('Drive Map'!$G$4:$G$33,MATCH(X37,'Drive Map'!$B$4:$B$33,0))&amp;"","")="","",HYPERLINK(INDEX('Drive Map'!$G$4:$G$33,MATCH(X37,'Drive Map'!$B$4:$B$33,0)),"Open")))</f>
        <v/>
      </c>
      <c r="Z37" s="6" t="n"/>
    </row>
    <row r="38">
      <c r="D38" s="31" t="n"/>
      <c r="F38" s="31" t="n"/>
      <c r="I38" s="31" t="n"/>
      <c r="J38" s="21" t="n"/>
      <c r="L38" s="21" t="n"/>
      <c r="T38" s="29" t="n"/>
      <c r="U38" s="29" t="n"/>
      <c r="V38" s="7">
        <f>IF(OR(N(T38)=0,N(U38)=0),"",IF(U38&gt;T38*IF(T38&lt;20000,0.1,0.05),"Over statutory cap","OK"))</f>
        <v/>
      </c>
      <c r="W38" s="7">
        <f>IF(B38="","",IF(OR(AND(ISNUMBER(J38),J38&lt;TODAY()),AND(ISNUMBER(L38),L38&lt;TODAY())),"Expired",IF(OR(AND(ISNUMBER(J38),J38-TODAY()&lt;=30),AND(ISNUMBER(L38),L38-TODAY()&lt;=30)),"Expires within 30 days","OK")))</f>
        <v/>
      </c>
      <c r="X38" s="7">
        <f>IF(A38="","","04 Trades &amp; Tenders/"&amp;A38)</f>
        <v/>
      </c>
      <c r="Y38" s="7">
        <f>IF(X38="","",IF(IFERROR(INDEX('Drive Map'!$G$4:$G$33,MATCH(X38,'Drive Map'!$B$4:$B$33,0))&amp;"","")="","",HYPERLINK(INDEX('Drive Map'!$G$4:$G$33,MATCH(X38,'Drive Map'!$B$4:$B$33,0)),"Open")))</f>
        <v/>
      </c>
      <c r="Z38" s="6" t="n"/>
    </row>
    <row r="39">
      <c r="D39" s="31" t="n"/>
      <c r="F39" s="31" t="n"/>
      <c r="I39" s="31" t="n"/>
      <c r="J39" s="21" t="n"/>
      <c r="L39" s="21" t="n"/>
      <c r="T39" s="29" t="n"/>
      <c r="U39" s="29" t="n"/>
      <c r="V39" s="7">
        <f>IF(OR(N(T39)=0,N(U39)=0),"",IF(U39&gt;T39*IF(T39&lt;20000,0.1,0.05),"Over statutory cap","OK"))</f>
        <v/>
      </c>
      <c r="W39" s="7">
        <f>IF(B39="","",IF(OR(AND(ISNUMBER(J39),J39&lt;TODAY()),AND(ISNUMBER(L39),L39&lt;TODAY())),"Expired",IF(OR(AND(ISNUMBER(J39),J39-TODAY()&lt;=30),AND(ISNUMBER(L39),L39-TODAY()&lt;=30)),"Expires within 30 days","OK")))</f>
        <v/>
      </c>
      <c r="X39" s="7">
        <f>IF(A39="","","04 Trades &amp; Tenders/"&amp;A39)</f>
        <v/>
      </c>
      <c r="Y39" s="7">
        <f>IF(X39="","",IF(IFERROR(INDEX('Drive Map'!$G$4:$G$33,MATCH(X39,'Drive Map'!$B$4:$B$33,0))&amp;"","")="","",HYPERLINK(INDEX('Drive Map'!$G$4:$G$33,MATCH(X39,'Drive Map'!$B$4:$B$33,0)),"Open")))</f>
        <v/>
      </c>
      <c r="Z39" s="6" t="n"/>
    </row>
    <row r="40">
      <c r="D40" s="31" t="n"/>
      <c r="F40" s="31" t="n"/>
      <c r="I40" s="31" t="n"/>
      <c r="J40" s="21" t="n"/>
      <c r="L40" s="21" t="n"/>
      <c r="T40" s="29" t="n"/>
      <c r="U40" s="29" t="n"/>
      <c r="V40" s="7">
        <f>IF(OR(N(T40)=0,N(U40)=0),"",IF(U40&gt;T40*IF(T40&lt;20000,0.1,0.05),"Over statutory cap","OK"))</f>
        <v/>
      </c>
      <c r="W40" s="7">
        <f>IF(B40="","",IF(OR(AND(ISNUMBER(J40),J40&lt;TODAY()),AND(ISNUMBER(L40),L40&lt;TODAY())),"Expired",IF(OR(AND(ISNUMBER(J40),J40-TODAY()&lt;=30),AND(ISNUMBER(L40),L40-TODAY()&lt;=30)),"Expires within 30 days","OK")))</f>
        <v/>
      </c>
      <c r="X40" s="7">
        <f>IF(A40="","","04 Trades &amp; Tenders/"&amp;A40)</f>
        <v/>
      </c>
      <c r="Y40" s="7">
        <f>IF(X40="","",IF(IFERROR(INDEX('Drive Map'!$G$4:$G$33,MATCH(X40,'Drive Map'!$B$4:$B$33,0))&amp;"","")="","",HYPERLINK(INDEX('Drive Map'!$G$4:$G$33,MATCH(X40,'Drive Map'!$B$4:$B$33,0)),"Open")))</f>
        <v/>
      </c>
      <c r="Z40" s="6" t="n"/>
    </row>
    <row r="41">
      <c r="D41" s="31" t="n"/>
      <c r="F41" s="31" t="n"/>
      <c r="I41" s="31" t="n"/>
      <c r="J41" s="21" t="n"/>
      <c r="L41" s="21" t="n"/>
      <c r="T41" s="29" t="n"/>
      <c r="U41" s="29" t="n"/>
      <c r="V41" s="7">
        <f>IF(OR(N(T41)=0,N(U41)=0),"",IF(U41&gt;T41*IF(T41&lt;20000,0.1,0.05),"Over statutory cap","OK"))</f>
        <v/>
      </c>
      <c r="W41" s="7">
        <f>IF(B41="","",IF(OR(AND(ISNUMBER(J41),J41&lt;TODAY()),AND(ISNUMBER(L41),L41&lt;TODAY())),"Expired",IF(OR(AND(ISNUMBER(J41),J41-TODAY()&lt;=30),AND(ISNUMBER(L41),L41-TODAY()&lt;=30)),"Expires within 30 days","OK")))</f>
        <v/>
      </c>
      <c r="X41" s="7">
        <f>IF(A41="","","04 Trades &amp; Tenders/"&amp;A41)</f>
        <v/>
      </c>
      <c r="Y41" s="7">
        <f>IF(X41="","",IF(IFERROR(INDEX('Drive Map'!$G$4:$G$33,MATCH(X41,'Drive Map'!$B$4:$B$33,0))&amp;"","")="","",HYPERLINK(INDEX('Drive Map'!$G$4:$G$33,MATCH(X41,'Drive Map'!$B$4:$B$33,0)),"Open")))</f>
        <v/>
      </c>
      <c r="Z41" s="6" t="n"/>
    </row>
    <row r="42">
      <c r="D42" s="31" t="n"/>
      <c r="F42" s="31" t="n"/>
      <c r="I42" s="31" t="n"/>
      <c r="J42" s="21" t="n"/>
      <c r="L42" s="21" t="n"/>
      <c r="T42" s="29" t="n"/>
      <c r="U42" s="29" t="n"/>
      <c r="V42" s="7">
        <f>IF(OR(N(T42)=0,N(U42)=0),"",IF(U42&gt;T42*IF(T42&lt;20000,0.1,0.05),"Over statutory cap","OK"))</f>
        <v/>
      </c>
      <c r="W42" s="7">
        <f>IF(B42="","",IF(OR(AND(ISNUMBER(J42),J42&lt;TODAY()),AND(ISNUMBER(L42),L42&lt;TODAY())),"Expired",IF(OR(AND(ISNUMBER(J42),J42-TODAY()&lt;=30),AND(ISNUMBER(L42),L42-TODAY()&lt;=30)),"Expires within 30 days","OK")))</f>
        <v/>
      </c>
      <c r="X42" s="7">
        <f>IF(A42="","","04 Trades &amp; Tenders/"&amp;A42)</f>
        <v/>
      </c>
      <c r="Y42" s="7">
        <f>IF(X42="","",IF(IFERROR(INDEX('Drive Map'!$G$4:$G$33,MATCH(X42,'Drive Map'!$B$4:$B$33,0))&amp;"","")="","",HYPERLINK(INDEX('Drive Map'!$G$4:$G$33,MATCH(X42,'Drive Map'!$B$4:$B$33,0)),"Open")))</f>
        <v/>
      </c>
      <c r="Z42" s="6" t="n"/>
    </row>
    <row r="43">
      <c r="D43" s="31" t="n"/>
      <c r="F43" s="31" t="n"/>
      <c r="I43" s="31" t="n"/>
      <c r="J43" s="21" t="n"/>
      <c r="L43" s="21" t="n"/>
      <c r="T43" s="29" t="n"/>
      <c r="U43" s="29" t="n"/>
      <c r="V43" s="7">
        <f>IF(OR(N(T43)=0,N(U43)=0),"",IF(U43&gt;T43*IF(T43&lt;20000,0.1,0.05),"Over statutory cap","OK"))</f>
        <v/>
      </c>
      <c r="W43" s="7">
        <f>IF(B43="","",IF(OR(AND(ISNUMBER(J43),J43&lt;TODAY()),AND(ISNUMBER(L43),L43&lt;TODAY())),"Expired",IF(OR(AND(ISNUMBER(J43),J43-TODAY()&lt;=30),AND(ISNUMBER(L43),L43-TODAY()&lt;=30)),"Expires within 30 days","OK")))</f>
        <v/>
      </c>
      <c r="X43" s="7">
        <f>IF(A43="","","04 Trades &amp; Tenders/"&amp;A43)</f>
        <v/>
      </c>
      <c r="Y43" s="7">
        <f>IF(X43="","",IF(IFERROR(INDEX('Drive Map'!$G$4:$G$33,MATCH(X43,'Drive Map'!$B$4:$B$33,0))&amp;"","")="","",HYPERLINK(INDEX('Drive Map'!$G$4:$G$33,MATCH(X43,'Drive Map'!$B$4:$B$33,0)),"Open")))</f>
        <v/>
      </c>
      <c r="Z43" s="6" t="n"/>
    </row>
    <row r="44">
      <c r="D44" s="31" t="n"/>
      <c r="F44" s="31" t="n"/>
      <c r="I44" s="31" t="n"/>
      <c r="J44" s="21" t="n"/>
      <c r="L44" s="21" t="n"/>
      <c r="T44" s="29" t="n"/>
      <c r="U44" s="29" t="n"/>
      <c r="V44" s="7">
        <f>IF(OR(N(T44)=0,N(U44)=0),"",IF(U44&gt;T44*IF(T44&lt;20000,0.1,0.05),"Over statutory cap","OK"))</f>
        <v/>
      </c>
      <c r="W44" s="7">
        <f>IF(B44="","",IF(OR(AND(ISNUMBER(J44),J44&lt;TODAY()),AND(ISNUMBER(L44),L44&lt;TODAY())),"Expired",IF(OR(AND(ISNUMBER(J44),J44-TODAY()&lt;=30),AND(ISNUMBER(L44),L44-TODAY()&lt;=30)),"Expires within 30 days","OK")))</f>
        <v/>
      </c>
      <c r="X44" s="7">
        <f>IF(A44="","","04 Trades &amp; Tenders/"&amp;A44)</f>
        <v/>
      </c>
      <c r="Y44" s="7">
        <f>IF(X44="","",IF(IFERROR(INDEX('Drive Map'!$G$4:$G$33,MATCH(X44,'Drive Map'!$B$4:$B$33,0))&amp;"","")="","",HYPERLINK(INDEX('Drive Map'!$G$4:$G$33,MATCH(X44,'Drive Map'!$B$4:$B$33,0)),"Open")))</f>
        <v/>
      </c>
      <c r="Z44" s="6" t="n"/>
    </row>
    <row r="45">
      <c r="D45" s="31" t="n"/>
      <c r="F45" s="31" t="n"/>
      <c r="I45" s="31" t="n"/>
      <c r="J45" s="21" t="n"/>
      <c r="L45" s="21" t="n"/>
      <c r="T45" s="29" t="n"/>
      <c r="U45" s="29" t="n"/>
      <c r="V45" s="7">
        <f>IF(OR(N(T45)=0,N(U45)=0),"",IF(U45&gt;T45*IF(T45&lt;20000,0.1,0.05),"Over statutory cap","OK"))</f>
        <v/>
      </c>
      <c r="W45" s="7">
        <f>IF(B45="","",IF(OR(AND(ISNUMBER(J45),J45&lt;TODAY()),AND(ISNUMBER(L45),L45&lt;TODAY())),"Expired",IF(OR(AND(ISNUMBER(J45),J45-TODAY()&lt;=30),AND(ISNUMBER(L45),L45-TODAY()&lt;=30)),"Expires within 30 days","OK")))</f>
        <v/>
      </c>
      <c r="X45" s="7">
        <f>IF(A45="","","04 Trades &amp; Tenders/"&amp;A45)</f>
        <v/>
      </c>
      <c r="Y45" s="7">
        <f>IF(X45="","",IF(IFERROR(INDEX('Drive Map'!$G$4:$G$33,MATCH(X45,'Drive Map'!$B$4:$B$33,0))&amp;"","")="","",HYPERLINK(INDEX('Drive Map'!$G$4:$G$33,MATCH(X45,'Drive Map'!$B$4:$B$33,0)),"Open")))</f>
        <v/>
      </c>
      <c r="Z45" s="6" t="n"/>
    </row>
    <row r="46">
      <c r="D46" s="31" t="n"/>
      <c r="F46" s="31" t="n"/>
      <c r="I46" s="31" t="n"/>
      <c r="J46" s="21" t="n"/>
      <c r="L46" s="21" t="n"/>
      <c r="T46" s="29" t="n"/>
      <c r="U46" s="29" t="n"/>
      <c r="V46" s="7">
        <f>IF(OR(N(T46)=0,N(U46)=0),"",IF(U46&gt;T46*IF(T46&lt;20000,0.1,0.05),"Over statutory cap","OK"))</f>
        <v/>
      </c>
      <c r="W46" s="7">
        <f>IF(B46="","",IF(OR(AND(ISNUMBER(J46),J46&lt;TODAY()),AND(ISNUMBER(L46),L46&lt;TODAY())),"Expired",IF(OR(AND(ISNUMBER(J46),J46-TODAY()&lt;=30),AND(ISNUMBER(L46),L46-TODAY()&lt;=30)),"Expires within 30 days","OK")))</f>
        <v/>
      </c>
      <c r="X46" s="7">
        <f>IF(A46="","","04 Trades &amp; Tenders/"&amp;A46)</f>
        <v/>
      </c>
      <c r="Y46" s="7">
        <f>IF(X46="","",IF(IFERROR(INDEX('Drive Map'!$G$4:$G$33,MATCH(X46,'Drive Map'!$B$4:$B$33,0))&amp;"","")="","",HYPERLINK(INDEX('Drive Map'!$G$4:$G$33,MATCH(X46,'Drive Map'!$B$4:$B$33,0)),"Open")))</f>
        <v/>
      </c>
      <c r="Z46" s="6" t="n"/>
    </row>
    <row r="47">
      <c r="D47" s="31" t="n"/>
      <c r="F47" s="31" t="n"/>
      <c r="I47" s="31" t="n"/>
      <c r="J47" s="21" t="n"/>
      <c r="L47" s="21" t="n"/>
      <c r="T47" s="29" t="n"/>
      <c r="U47" s="29" t="n"/>
      <c r="V47" s="7">
        <f>IF(OR(N(T47)=0,N(U47)=0),"",IF(U47&gt;T47*IF(T47&lt;20000,0.1,0.05),"Over statutory cap","OK"))</f>
        <v/>
      </c>
      <c r="W47" s="7">
        <f>IF(B47="","",IF(OR(AND(ISNUMBER(J47),J47&lt;TODAY()),AND(ISNUMBER(L47),L47&lt;TODAY())),"Expired",IF(OR(AND(ISNUMBER(J47),J47-TODAY()&lt;=30),AND(ISNUMBER(L47),L47-TODAY()&lt;=30)),"Expires within 30 days","OK")))</f>
        <v/>
      </c>
      <c r="X47" s="7">
        <f>IF(A47="","","04 Trades &amp; Tenders/"&amp;A47)</f>
        <v/>
      </c>
      <c r="Y47" s="7">
        <f>IF(X47="","",IF(IFERROR(INDEX('Drive Map'!$G$4:$G$33,MATCH(X47,'Drive Map'!$B$4:$B$33,0))&amp;"","")="","",HYPERLINK(INDEX('Drive Map'!$G$4:$G$33,MATCH(X47,'Drive Map'!$B$4:$B$33,0)),"Open")))</f>
        <v/>
      </c>
      <c r="Z47" s="6" t="n"/>
    </row>
    <row r="48">
      <c r="D48" s="31" t="n"/>
      <c r="F48" s="31" t="n"/>
      <c r="I48" s="31" t="n"/>
      <c r="J48" s="21" t="n"/>
      <c r="L48" s="21" t="n"/>
      <c r="T48" s="29" t="n"/>
      <c r="U48" s="29" t="n"/>
      <c r="V48" s="7">
        <f>IF(OR(N(T48)=0,N(U48)=0),"",IF(U48&gt;T48*IF(T48&lt;20000,0.1,0.05),"Over statutory cap","OK"))</f>
        <v/>
      </c>
      <c r="W48" s="7">
        <f>IF(B48="","",IF(OR(AND(ISNUMBER(J48),J48&lt;TODAY()),AND(ISNUMBER(L48),L48&lt;TODAY())),"Expired",IF(OR(AND(ISNUMBER(J48),J48-TODAY()&lt;=30),AND(ISNUMBER(L48),L48-TODAY()&lt;=30)),"Expires within 30 days","OK")))</f>
        <v/>
      </c>
      <c r="X48" s="7">
        <f>IF(A48="","","04 Trades &amp; Tenders/"&amp;A48)</f>
        <v/>
      </c>
      <c r="Y48" s="7">
        <f>IF(X48="","",IF(IFERROR(INDEX('Drive Map'!$G$4:$G$33,MATCH(X48,'Drive Map'!$B$4:$B$33,0))&amp;"","")="","",HYPERLINK(INDEX('Drive Map'!$G$4:$G$33,MATCH(X48,'Drive Map'!$B$4:$B$33,0)),"Open")))</f>
        <v/>
      </c>
      <c r="Z48" s="6" t="n"/>
    </row>
    <row r="49">
      <c r="D49" s="31" t="n"/>
      <c r="F49" s="31" t="n"/>
      <c r="I49" s="31" t="n"/>
      <c r="J49" s="21" t="n"/>
      <c r="L49" s="21" t="n"/>
      <c r="T49" s="29" t="n"/>
      <c r="U49" s="29" t="n"/>
      <c r="V49" s="7">
        <f>IF(OR(N(T49)=0,N(U49)=0),"",IF(U49&gt;T49*IF(T49&lt;20000,0.1,0.05),"Over statutory cap","OK"))</f>
        <v/>
      </c>
      <c r="W49" s="7">
        <f>IF(B49="","",IF(OR(AND(ISNUMBER(J49),J49&lt;TODAY()),AND(ISNUMBER(L49),L49&lt;TODAY())),"Expired",IF(OR(AND(ISNUMBER(J49),J49-TODAY()&lt;=30),AND(ISNUMBER(L49),L49-TODAY()&lt;=30)),"Expires within 30 days","OK")))</f>
        <v/>
      </c>
      <c r="X49" s="7">
        <f>IF(A49="","","04 Trades &amp; Tenders/"&amp;A49)</f>
        <v/>
      </c>
      <c r="Y49" s="7">
        <f>IF(X49="","",IF(IFERROR(INDEX('Drive Map'!$G$4:$G$33,MATCH(X49,'Drive Map'!$B$4:$B$33,0))&amp;"","")="","",HYPERLINK(INDEX('Drive Map'!$G$4:$G$33,MATCH(X49,'Drive Map'!$B$4:$B$33,0)),"Open")))</f>
        <v/>
      </c>
      <c r="Z49" s="6" t="n"/>
    </row>
    <row r="50">
      <c r="D50" s="31" t="n"/>
      <c r="F50" s="31" t="n"/>
      <c r="I50" s="31" t="n"/>
      <c r="J50" s="21" t="n"/>
      <c r="L50" s="21" t="n"/>
      <c r="T50" s="29" t="n"/>
      <c r="U50" s="29" t="n"/>
      <c r="V50" s="7">
        <f>IF(OR(N(T50)=0,N(U50)=0),"",IF(U50&gt;T50*IF(T50&lt;20000,0.1,0.05),"Over statutory cap","OK"))</f>
        <v/>
      </c>
      <c r="W50" s="7">
        <f>IF(B50="","",IF(OR(AND(ISNUMBER(J50),J50&lt;TODAY()),AND(ISNUMBER(L50),L50&lt;TODAY())),"Expired",IF(OR(AND(ISNUMBER(J50),J50-TODAY()&lt;=30),AND(ISNUMBER(L50),L50-TODAY()&lt;=30)),"Expires within 30 days","OK")))</f>
        <v/>
      </c>
      <c r="X50" s="7">
        <f>IF(A50="","","04 Trades &amp; Tenders/"&amp;A50)</f>
        <v/>
      </c>
      <c r="Y50" s="7">
        <f>IF(X50="","",IF(IFERROR(INDEX('Drive Map'!$G$4:$G$33,MATCH(X50,'Drive Map'!$B$4:$B$33,0))&amp;"","")="","",HYPERLINK(INDEX('Drive Map'!$G$4:$G$33,MATCH(X50,'Drive Map'!$B$4:$B$33,0)),"Open")))</f>
        <v/>
      </c>
      <c r="Z50" s="6" t="n"/>
    </row>
    <row r="51">
      <c r="D51" s="31" t="n"/>
      <c r="F51" s="31" t="n"/>
      <c r="I51" s="31" t="n"/>
      <c r="J51" s="21" t="n"/>
      <c r="L51" s="21" t="n"/>
      <c r="T51" s="29" t="n"/>
      <c r="U51" s="29" t="n"/>
      <c r="V51" s="7">
        <f>IF(OR(N(T51)=0,N(U51)=0),"",IF(U51&gt;T51*IF(T51&lt;20000,0.1,0.05),"Over statutory cap","OK"))</f>
        <v/>
      </c>
      <c r="W51" s="7">
        <f>IF(B51="","",IF(OR(AND(ISNUMBER(J51),J51&lt;TODAY()),AND(ISNUMBER(L51),L51&lt;TODAY())),"Expired",IF(OR(AND(ISNUMBER(J51),J51-TODAY()&lt;=30),AND(ISNUMBER(L51),L51-TODAY()&lt;=30)),"Expires within 30 days","OK")))</f>
        <v/>
      </c>
      <c r="X51" s="7">
        <f>IF(A51="","","04 Trades &amp; Tenders/"&amp;A51)</f>
        <v/>
      </c>
      <c r="Y51" s="7">
        <f>IF(X51="","",IF(IFERROR(INDEX('Drive Map'!$G$4:$G$33,MATCH(X51,'Drive Map'!$B$4:$B$33,0))&amp;"","")="","",HYPERLINK(INDEX('Drive Map'!$G$4:$G$33,MATCH(X51,'Drive Map'!$B$4:$B$33,0)),"Open")))</f>
        <v/>
      </c>
      <c r="Z51" s="6" t="n"/>
    </row>
    <row r="52">
      <c r="D52" s="31" t="n"/>
      <c r="F52" s="31" t="n"/>
      <c r="I52" s="31" t="n"/>
      <c r="J52" s="21" t="n"/>
      <c r="L52" s="21" t="n"/>
      <c r="T52" s="29" t="n"/>
      <c r="U52" s="29" t="n"/>
      <c r="V52" s="7">
        <f>IF(OR(N(T52)=0,N(U52)=0),"",IF(U52&gt;T52*IF(T52&lt;20000,0.1,0.05),"Over statutory cap","OK"))</f>
        <v/>
      </c>
      <c r="W52" s="7">
        <f>IF(B52="","",IF(OR(AND(ISNUMBER(J52),J52&lt;TODAY()),AND(ISNUMBER(L52),L52&lt;TODAY())),"Expired",IF(OR(AND(ISNUMBER(J52),J52-TODAY()&lt;=30),AND(ISNUMBER(L52),L52-TODAY()&lt;=30)),"Expires within 30 days","OK")))</f>
        <v/>
      </c>
      <c r="X52" s="7">
        <f>IF(A52="","","04 Trades &amp; Tenders/"&amp;A52)</f>
        <v/>
      </c>
      <c r="Y52" s="7">
        <f>IF(X52="","",IF(IFERROR(INDEX('Drive Map'!$G$4:$G$33,MATCH(X52,'Drive Map'!$B$4:$B$33,0))&amp;"","")="","",HYPERLINK(INDEX('Drive Map'!$G$4:$G$33,MATCH(X52,'Drive Map'!$B$4:$B$33,0)),"Open")))</f>
        <v/>
      </c>
      <c r="Z52" s="6" t="n"/>
    </row>
    <row r="53">
      <c r="D53" s="31" t="n"/>
      <c r="F53" s="31" t="n"/>
      <c r="I53" s="31" t="n"/>
      <c r="J53" s="21" t="n"/>
      <c r="L53" s="21" t="n"/>
      <c r="T53" s="29" t="n"/>
      <c r="U53" s="29" t="n"/>
      <c r="V53" s="7">
        <f>IF(OR(N(T53)=0,N(U53)=0),"",IF(U53&gt;T53*IF(T53&lt;20000,0.1,0.05),"Over statutory cap","OK"))</f>
        <v/>
      </c>
      <c r="W53" s="7">
        <f>IF(B53="","",IF(OR(AND(ISNUMBER(J53),J53&lt;TODAY()),AND(ISNUMBER(L53),L53&lt;TODAY())),"Expired",IF(OR(AND(ISNUMBER(J53),J53-TODAY()&lt;=30),AND(ISNUMBER(L53),L53-TODAY()&lt;=30)),"Expires within 30 days","OK")))</f>
        <v/>
      </c>
      <c r="X53" s="7">
        <f>IF(A53="","","04 Trades &amp; Tenders/"&amp;A53)</f>
        <v/>
      </c>
      <c r="Y53" s="7">
        <f>IF(X53="","",IF(IFERROR(INDEX('Drive Map'!$G$4:$G$33,MATCH(X53,'Drive Map'!$B$4:$B$33,0))&amp;"","")="","",HYPERLINK(INDEX('Drive Map'!$G$4:$G$33,MATCH(X53,'Drive Map'!$B$4:$B$33,0)),"Open")))</f>
        <v/>
      </c>
      <c r="Z53" s="6" t="n"/>
    </row>
    <row r="54">
      <c r="D54" s="31" t="n"/>
      <c r="F54" s="31" t="n"/>
      <c r="I54" s="31" t="n"/>
      <c r="J54" s="21" t="n"/>
      <c r="L54" s="21" t="n"/>
      <c r="T54" s="29" t="n"/>
      <c r="U54" s="29" t="n"/>
      <c r="V54" s="7">
        <f>IF(OR(N(T54)=0,N(U54)=0),"",IF(U54&gt;T54*IF(T54&lt;20000,0.1,0.05),"Over statutory cap","OK"))</f>
        <v/>
      </c>
      <c r="W54" s="7">
        <f>IF(B54="","",IF(OR(AND(ISNUMBER(J54),J54&lt;TODAY()),AND(ISNUMBER(L54),L54&lt;TODAY())),"Expired",IF(OR(AND(ISNUMBER(J54),J54-TODAY()&lt;=30),AND(ISNUMBER(L54),L54-TODAY()&lt;=30)),"Expires within 30 days","OK")))</f>
        <v/>
      </c>
      <c r="X54" s="7">
        <f>IF(A54="","","04 Trades &amp; Tenders/"&amp;A54)</f>
        <v/>
      </c>
      <c r="Y54" s="7">
        <f>IF(X54="","",IF(IFERROR(INDEX('Drive Map'!$G$4:$G$33,MATCH(X54,'Drive Map'!$B$4:$B$33,0))&amp;"","")="","",HYPERLINK(INDEX('Drive Map'!$G$4:$G$33,MATCH(X54,'Drive Map'!$B$4:$B$33,0)),"Open")))</f>
        <v/>
      </c>
      <c r="Z54" s="6" t="n"/>
    </row>
    <row r="55">
      <c r="D55" s="31" t="n"/>
      <c r="F55" s="31" t="n"/>
      <c r="I55" s="31" t="n"/>
      <c r="J55" s="21" t="n"/>
      <c r="L55" s="21" t="n"/>
      <c r="T55" s="29" t="n"/>
      <c r="U55" s="29" t="n"/>
      <c r="V55" s="7">
        <f>IF(OR(N(T55)=0,N(U55)=0),"",IF(U55&gt;T55*IF(T55&lt;20000,0.1,0.05),"Over statutory cap","OK"))</f>
        <v/>
      </c>
      <c r="W55" s="7">
        <f>IF(B55="","",IF(OR(AND(ISNUMBER(J55),J55&lt;TODAY()),AND(ISNUMBER(L55),L55&lt;TODAY())),"Expired",IF(OR(AND(ISNUMBER(J55),J55-TODAY()&lt;=30),AND(ISNUMBER(L55),L55-TODAY()&lt;=30)),"Expires within 30 days","OK")))</f>
        <v/>
      </c>
      <c r="X55" s="7">
        <f>IF(A55="","","04 Trades &amp; Tenders/"&amp;A55)</f>
        <v/>
      </c>
      <c r="Y55" s="7">
        <f>IF(X55="","",IF(IFERROR(INDEX('Drive Map'!$G$4:$G$33,MATCH(X55,'Drive Map'!$B$4:$B$33,0))&amp;"","")="","",HYPERLINK(INDEX('Drive Map'!$G$4:$G$33,MATCH(X55,'Drive Map'!$B$4:$B$33,0)),"Open")))</f>
        <v/>
      </c>
      <c r="Z55" s="6" t="n"/>
    </row>
    <row r="56">
      <c r="D56" s="31" t="n"/>
      <c r="F56" s="31" t="n"/>
      <c r="I56" s="31" t="n"/>
      <c r="J56" s="21" t="n"/>
      <c r="L56" s="21" t="n"/>
      <c r="T56" s="29" t="n"/>
      <c r="U56" s="29" t="n"/>
      <c r="V56" s="7">
        <f>IF(OR(N(T56)=0,N(U56)=0),"",IF(U56&gt;T56*IF(T56&lt;20000,0.1,0.05),"Over statutory cap","OK"))</f>
        <v/>
      </c>
      <c r="W56" s="7">
        <f>IF(B56="","",IF(OR(AND(ISNUMBER(J56),J56&lt;TODAY()),AND(ISNUMBER(L56),L56&lt;TODAY())),"Expired",IF(OR(AND(ISNUMBER(J56),J56-TODAY()&lt;=30),AND(ISNUMBER(L56),L56-TODAY()&lt;=30)),"Expires within 30 days","OK")))</f>
        <v/>
      </c>
      <c r="X56" s="7">
        <f>IF(A56="","","04 Trades &amp; Tenders/"&amp;A56)</f>
        <v/>
      </c>
      <c r="Y56" s="7">
        <f>IF(X56="","",IF(IFERROR(INDEX('Drive Map'!$G$4:$G$33,MATCH(X56,'Drive Map'!$B$4:$B$33,0))&amp;"","")="","",HYPERLINK(INDEX('Drive Map'!$G$4:$G$33,MATCH(X56,'Drive Map'!$B$4:$B$33,0)),"Open")))</f>
        <v/>
      </c>
      <c r="Z56" s="6" t="n"/>
    </row>
    <row r="57">
      <c r="D57" s="31" t="n"/>
      <c r="F57" s="31" t="n"/>
      <c r="I57" s="31" t="n"/>
      <c r="J57" s="21" t="n"/>
      <c r="L57" s="21" t="n"/>
      <c r="T57" s="29" t="n"/>
      <c r="U57" s="29" t="n"/>
      <c r="V57" s="7">
        <f>IF(OR(N(T57)=0,N(U57)=0),"",IF(U57&gt;T57*IF(T57&lt;20000,0.1,0.05),"Over statutory cap","OK"))</f>
        <v/>
      </c>
      <c r="W57" s="7">
        <f>IF(B57="","",IF(OR(AND(ISNUMBER(J57),J57&lt;TODAY()),AND(ISNUMBER(L57),L57&lt;TODAY())),"Expired",IF(OR(AND(ISNUMBER(J57),J57-TODAY()&lt;=30),AND(ISNUMBER(L57),L57-TODAY()&lt;=30)),"Expires within 30 days","OK")))</f>
        <v/>
      </c>
      <c r="X57" s="7">
        <f>IF(A57="","","04 Trades &amp; Tenders/"&amp;A57)</f>
        <v/>
      </c>
      <c r="Y57" s="7">
        <f>IF(X57="","",IF(IFERROR(INDEX('Drive Map'!$G$4:$G$33,MATCH(X57,'Drive Map'!$B$4:$B$33,0))&amp;"","")="","",HYPERLINK(INDEX('Drive Map'!$G$4:$G$33,MATCH(X57,'Drive Map'!$B$4:$B$33,0)),"Open")))</f>
        <v/>
      </c>
      <c r="Z57" s="6" t="n"/>
    </row>
    <row r="58">
      <c r="D58" s="31" t="n"/>
      <c r="F58" s="31" t="n"/>
      <c r="I58" s="31" t="n"/>
      <c r="J58" s="21" t="n"/>
      <c r="L58" s="21" t="n"/>
      <c r="T58" s="29" t="n"/>
      <c r="U58" s="29" t="n"/>
      <c r="V58" s="7">
        <f>IF(OR(N(T58)=0,N(U58)=0),"",IF(U58&gt;T58*IF(T58&lt;20000,0.1,0.05),"Over statutory cap","OK"))</f>
        <v/>
      </c>
      <c r="W58" s="7">
        <f>IF(B58="","",IF(OR(AND(ISNUMBER(J58),J58&lt;TODAY()),AND(ISNUMBER(L58),L58&lt;TODAY())),"Expired",IF(OR(AND(ISNUMBER(J58),J58-TODAY()&lt;=30),AND(ISNUMBER(L58),L58-TODAY()&lt;=30)),"Expires within 30 days","OK")))</f>
        <v/>
      </c>
      <c r="X58" s="7">
        <f>IF(A58="","","04 Trades &amp; Tenders/"&amp;A58)</f>
        <v/>
      </c>
      <c r="Y58" s="7">
        <f>IF(X58="","",IF(IFERROR(INDEX('Drive Map'!$G$4:$G$33,MATCH(X58,'Drive Map'!$B$4:$B$33,0))&amp;"","")="","",HYPERLINK(INDEX('Drive Map'!$G$4:$G$33,MATCH(X58,'Drive Map'!$B$4:$B$33,0)),"Open")))</f>
        <v/>
      </c>
      <c r="Z58" s="6" t="n"/>
    </row>
    <row r="59">
      <c r="D59" s="31" t="n"/>
      <c r="F59" s="31" t="n"/>
      <c r="I59" s="31" t="n"/>
      <c r="J59" s="21" t="n"/>
      <c r="L59" s="21" t="n"/>
      <c r="T59" s="29" t="n"/>
      <c r="U59" s="29" t="n"/>
      <c r="V59" s="7">
        <f>IF(OR(N(T59)=0,N(U59)=0),"",IF(U59&gt;T59*IF(T59&lt;20000,0.1,0.05),"Over statutory cap","OK"))</f>
        <v/>
      </c>
      <c r="W59" s="7">
        <f>IF(B59="","",IF(OR(AND(ISNUMBER(J59),J59&lt;TODAY()),AND(ISNUMBER(L59),L59&lt;TODAY())),"Expired",IF(OR(AND(ISNUMBER(J59),J59-TODAY()&lt;=30),AND(ISNUMBER(L59),L59-TODAY()&lt;=30)),"Expires within 30 days","OK")))</f>
        <v/>
      </c>
      <c r="X59" s="7">
        <f>IF(A59="","","04 Trades &amp; Tenders/"&amp;A59)</f>
        <v/>
      </c>
      <c r="Y59" s="7">
        <f>IF(X59="","",IF(IFERROR(INDEX('Drive Map'!$G$4:$G$33,MATCH(X59,'Drive Map'!$B$4:$B$33,0))&amp;"","")="","",HYPERLINK(INDEX('Drive Map'!$G$4:$G$33,MATCH(X59,'Drive Map'!$B$4:$B$33,0)),"Open")))</f>
        <v/>
      </c>
      <c r="Z59" s="6" t="n"/>
    </row>
    <row r="60">
      <c r="D60" s="31" t="n"/>
      <c r="F60" s="31" t="n"/>
      <c r="I60" s="31" t="n"/>
      <c r="J60" s="21" t="n"/>
      <c r="L60" s="21" t="n"/>
      <c r="T60" s="29" t="n"/>
      <c r="U60" s="29" t="n"/>
      <c r="V60" s="7">
        <f>IF(OR(N(T60)=0,N(U60)=0),"",IF(U60&gt;T60*IF(T60&lt;20000,0.1,0.05),"Over statutory cap","OK"))</f>
        <v/>
      </c>
      <c r="W60" s="7">
        <f>IF(B60="","",IF(OR(AND(ISNUMBER(J60),J60&lt;TODAY()),AND(ISNUMBER(L60),L60&lt;TODAY())),"Expired",IF(OR(AND(ISNUMBER(J60),J60-TODAY()&lt;=30),AND(ISNUMBER(L60),L60-TODAY()&lt;=30)),"Expires within 30 days","OK")))</f>
        <v/>
      </c>
      <c r="X60" s="7">
        <f>IF(A60="","","04 Trades &amp; Tenders/"&amp;A60)</f>
        <v/>
      </c>
      <c r="Y60" s="7">
        <f>IF(X60="","",IF(IFERROR(INDEX('Drive Map'!$G$4:$G$33,MATCH(X60,'Drive Map'!$B$4:$B$33,0))&amp;"","")="","",HYPERLINK(INDEX('Drive Map'!$G$4:$G$33,MATCH(X60,'Drive Map'!$B$4:$B$33,0)),"Open")))</f>
        <v/>
      </c>
      <c r="Z60" s="6" t="n"/>
    </row>
    <row r="61">
      <c r="D61" s="31" t="n"/>
      <c r="F61" s="31" t="n"/>
      <c r="I61" s="31" t="n"/>
      <c r="J61" s="21" t="n"/>
      <c r="L61" s="21" t="n"/>
      <c r="T61" s="29" t="n"/>
      <c r="U61" s="29" t="n"/>
      <c r="V61" s="7">
        <f>IF(OR(N(T61)=0,N(U61)=0),"",IF(U61&gt;T61*IF(T61&lt;20000,0.1,0.05),"Over statutory cap","OK"))</f>
        <v/>
      </c>
      <c r="W61" s="7">
        <f>IF(B61="","",IF(OR(AND(ISNUMBER(J61),J61&lt;TODAY()),AND(ISNUMBER(L61),L61&lt;TODAY())),"Expired",IF(OR(AND(ISNUMBER(J61),J61-TODAY()&lt;=30),AND(ISNUMBER(L61),L61-TODAY()&lt;=30)),"Expires within 30 days","OK")))</f>
        <v/>
      </c>
      <c r="X61" s="7">
        <f>IF(A61="","","04 Trades &amp; Tenders/"&amp;A61)</f>
        <v/>
      </c>
      <c r="Y61" s="7">
        <f>IF(X61="","",IF(IFERROR(INDEX('Drive Map'!$G$4:$G$33,MATCH(X61,'Drive Map'!$B$4:$B$33,0))&amp;"","")="","",HYPERLINK(INDEX('Drive Map'!$G$4:$G$33,MATCH(X61,'Drive Map'!$B$4:$B$33,0)),"Open")))</f>
        <v/>
      </c>
      <c r="Z61" s="6" t="n"/>
    </row>
    <row r="62">
      <c r="D62" s="31" t="n"/>
      <c r="F62" s="31" t="n"/>
      <c r="I62" s="31" t="n"/>
      <c r="J62" s="21" t="n"/>
      <c r="L62" s="21" t="n"/>
      <c r="T62" s="29" t="n"/>
      <c r="U62" s="29" t="n"/>
      <c r="V62" s="7">
        <f>IF(OR(N(T62)=0,N(U62)=0),"",IF(U62&gt;T62*IF(T62&lt;20000,0.1,0.05),"Over statutory cap","OK"))</f>
        <v/>
      </c>
      <c r="W62" s="7">
        <f>IF(B62="","",IF(OR(AND(ISNUMBER(J62),J62&lt;TODAY()),AND(ISNUMBER(L62),L62&lt;TODAY())),"Expired",IF(OR(AND(ISNUMBER(J62),J62-TODAY()&lt;=30),AND(ISNUMBER(L62),L62-TODAY()&lt;=30)),"Expires within 30 days","OK")))</f>
        <v/>
      </c>
      <c r="X62" s="7">
        <f>IF(A62="","","04 Trades &amp; Tenders/"&amp;A62)</f>
        <v/>
      </c>
      <c r="Y62" s="7">
        <f>IF(X62="","",IF(IFERROR(INDEX('Drive Map'!$G$4:$G$33,MATCH(X62,'Drive Map'!$B$4:$B$33,0))&amp;"","")="","",HYPERLINK(INDEX('Drive Map'!$G$4:$G$33,MATCH(X62,'Drive Map'!$B$4:$B$33,0)),"Open")))</f>
        <v/>
      </c>
      <c r="Z62" s="6" t="n"/>
    </row>
    <row r="63">
      <c r="D63" s="31" t="n"/>
      <c r="F63" s="31" t="n"/>
      <c r="I63" s="31" t="n"/>
      <c r="J63" s="21" t="n"/>
      <c r="L63" s="21" t="n"/>
      <c r="T63" s="29" t="n"/>
      <c r="U63" s="29" t="n"/>
      <c r="V63" s="7">
        <f>IF(OR(N(T63)=0,N(U63)=0),"",IF(U63&gt;T63*IF(T63&lt;20000,0.1,0.05),"Over statutory cap","OK"))</f>
        <v/>
      </c>
      <c r="W63" s="7">
        <f>IF(B63="","",IF(OR(AND(ISNUMBER(J63),J63&lt;TODAY()),AND(ISNUMBER(L63),L63&lt;TODAY())),"Expired",IF(OR(AND(ISNUMBER(J63),J63-TODAY()&lt;=30),AND(ISNUMBER(L63),L63-TODAY()&lt;=30)),"Expires within 30 days","OK")))</f>
        <v/>
      </c>
      <c r="X63" s="7">
        <f>IF(A63="","","04 Trades &amp; Tenders/"&amp;A63)</f>
        <v/>
      </c>
      <c r="Y63" s="7">
        <f>IF(X63="","",IF(IFERROR(INDEX('Drive Map'!$G$4:$G$33,MATCH(X63,'Drive Map'!$B$4:$B$33,0))&amp;"","")="","",HYPERLINK(INDEX('Drive Map'!$G$4:$G$33,MATCH(X63,'Drive Map'!$B$4:$B$33,0)),"Open")))</f>
        <v/>
      </c>
      <c r="Z63" s="6" t="n"/>
    </row>
    <row r="64">
      <c r="D64" s="31" t="n"/>
      <c r="F64" s="31" t="n"/>
      <c r="I64" s="31" t="n"/>
      <c r="J64" s="21" t="n"/>
      <c r="L64" s="21" t="n"/>
      <c r="T64" s="29" t="n"/>
      <c r="U64" s="29" t="n"/>
      <c r="V64" s="7">
        <f>IF(OR(N(T64)=0,N(U64)=0),"",IF(U64&gt;T64*IF(T64&lt;20000,0.1,0.05),"Over statutory cap","OK"))</f>
        <v/>
      </c>
      <c r="W64" s="7">
        <f>IF(B64="","",IF(OR(AND(ISNUMBER(J64),J64&lt;TODAY()),AND(ISNUMBER(L64),L64&lt;TODAY())),"Expired",IF(OR(AND(ISNUMBER(J64),J64-TODAY()&lt;=30),AND(ISNUMBER(L64),L64-TODAY()&lt;=30)),"Expires within 30 days","OK")))</f>
        <v/>
      </c>
      <c r="X64" s="7">
        <f>IF(A64="","","04 Trades &amp; Tenders/"&amp;A64)</f>
        <v/>
      </c>
      <c r="Y64" s="7">
        <f>IF(X64="","",IF(IFERROR(INDEX('Drive Map'!$G$4:$G$33,MATCH(X64,'Drive Map'!$B$4:$B$33,0))&amp;"","")="","",HYPERLINK(INDEX('Drive Map'!$G$4:$G$33,MATCH(X64,'Drive Map'!$B$4:$B$33,0)),"Open")))</f>
        <v/>
      </c>
      <c r="Z64" s="6" t="n"/>
    </row>
    <row r="65">
      <c r="D65" s="31" t="n"/>
      <c r="F65" s="31" t="n"/>
      <c r="I65" s="31" t="n"/>
      <c r="J65" s="21" t="n"/>
      <c r="L65" s="21" t="n"/>
      <c r="T65" s="29" t="n"/>
      <c r="U65" s="29" t="n"/>
      <c r="V65" s="7">
        <f>IF(OR(N(T65)=0,N(U65)=0),"",IF(U65&gt;T65*IF(T65&lt;20000,0.1,0.05),"Over statutory cap","OK"))</f>
        <v/>
      </c>
      <c r="W65" s="7">
        <f>IF(B65="","",IF(OR(AND(ISNUMBER(J65),J65&lt;TODAY()),AND(ISNUMBER(L65),L65&lt;TODAY())),"Expired",IF(OR(AND(ISNUMBER(J65),J65-TODAY()&lt;=30),AND(ISNUMBER(L65),L65-TODAY()&lt;=30)),"Expires within 30 days","OK")))</f>
        <v/>
      </c>
      <c r="X65" s="7">
        <f>IF(A65="","","04 Trades &amp; Tenders/"&amp;A65)</f>
        <v/>
      </c>
      <c r="Y65" s="7">
        <f>IF(X65="","",IF(IFERROR(INDEX('Drive Map'!$G$4:$G$33,MATCH(X65,'Drive Map'!$B$4:$B$33,0))&amp;"","")="","",HYPERLINK(INDEX('Drive Map'!$G$4:$G$33,MATCH(X65,'Drive Map'!$B$4:$B$33,0)),"Open")))</f>
        <v/>
      </c>
      <c r="Z65" s="6" t="n"/>
    </row>
    <row r="66">
      <c r="D66" s="31" t="n"/>
      <c r="F66" s="31" t="n"/>
      <c r="I66" s="31" t="n"/>
      <c r="J66" s="21" t="n"/>
      <c r="L66" s="21" t="n"/>
      <c r="T66" s="29" t="n"/>
      <c r="U66" s="29" t="n"/>
      <c r="V66" s="7">
        <f>IF(OR(N(T66)=0,N(U66)=0),"",IF(U66&gt;T66*IF(T66&lt;20000,0.1,0.05),"Over statutory cap","OK"))</f>
        <v/>
      </c>
      <c r="W66" s="7">
        <f>IF(B66="","",IF(OR(AND(ISNUMBER(J66),J66&lt;TODAY()),AND(ISNUMBER(L66),L66&lt;TODAY())),"Expired",IF(OR(AND(ISNUMBER(J66),J66-TODAY()&lt;=30),AND(ISNUMBER(L66),L66-TODAY()&lt;=30)),"Expires within 30 days","OK")))</f>
        <v/>
      </c>
      <c r="X66" s="7">
        <f>IF(A66="","","04 Trades &amp; Tenders/"&amp;A66)</f>
        <v/>
      </c>
      <c r="Y66" s="7">
        <f>IF(X66="","",IF(IFERROR(INDEX('Drive Map'!$G$4:$G$33,MATCH(X66,'Drive Map'!$B$4:$B$33,0))&amp;"","")="","",HYPERLINK(INDEX('Drive Map'!$G$4:$G$33,MATCH(X66,'Drive Map'!$B$4:$B$33,0)),"Open")))</f>
        <v/>
      </c>
      <c r="Z66" s="6" t="n"/>
    </row>
    <row r="67">
      <c r="D67" s="31" t="n"/>
      <c r="F67" s="31" t="n"/>
      <c r="I67" s="31" t="n"/>
      <c r="J67" s="21" t="n"/>
      <c r="L67" s="21" t="n"/>
      <c r="T67" s="29" t="n"/>
      <c r="U67" s="29" t="n"/>
      <c r="V67" s="7">
        <f>IF(OR(N(T67)=0,N(U67)=0),"",IF(U67&gt;T67*IF(T67&lt;20000,0.1,0.05),"Over statutory cap","OK"))</f>
        <v/>
      </c>
      <c r="W67" s="7">
        <f>IF(B67="","",IF(OR(AND(ISNUMBER(J67),J67&lt;TODAY()),AND(ISNUMBER(L67),L67&lt;TODAY())),"Expired",IF(OR(AND(ISNUMBER(J67),J67-TODAY()&lt;=30),AND(ISNUMBER(L67),L67-TODAY()&lt;=30)),"Expires within 30 days","OK")))</f>
        <v/>
      </c>
      <c r="X67" s="7">
        <f>IF(A67="","","04 Trades &amp; Tenders/"&amp;A67)</f>
        <v/>
      </c>
      <c r="Y67" s="7">
        <f>IF(X67="","",IF(IFERROR(INDEX('Drive Map'!$G$4:$G$33,MATCH(X67,'Drive Map'!$B$4:$B$33,0))&amp;"","")="","",HYPERLINK(INDEX('Drive Map'!$G$4:$G$33,MATCH(X67,'Drive Map'!$B$4:$B$33,0)),"Open")))</f>
        <v/>
      </c>
      <c r="Z67" s="6" t="n"/>
    </row>
    <row r="68">
      <c r="D68" s="31" t="n"/>
      <c r="F68" s="31" t="n"/>
      <c r="I68" s="31" t="n"/>
      <c r="J68" s="21" t="n"/>
      <c r="L68" s="21" t="n"/>
      <c r="T68" s="29" t="n"/>
      <c r="U68" s="29" t="n"/>
      <c r="V68" s="7">
        <f>IF(OR(N(T68)=0,N(U68)=0),"",IF(U68&gt;T68*IF(T68&lt;20000,0.1,0.05),"Over statutory cap","OK"))</f>
        <v/>
      </c>
      <c r="W68" s="7">
        <f>IF(B68="","",IF(OR(AND(ISNUMBER(J68),J68&lt;TODAY()),AND(ISNUMBER(L68),L68&lt;TODAY())),"Expired",IF(OR(AND(ISNUMBER(J68),J68-TODAY()&lt;=30),AND(ISNUMBER(L68),L68-TODAY()&lt;=30)),"Expires within 30 days","OK")))</f>
        <v/>
      </c>
      <c r="X68" s="7">
        <f>IF(A68="","","04 Trades &amp; Tenders/"&amp;A68)</f>
        <v/>
      </c>
      <c r="Y68" s="7">
        <f>IF(X68="","",IF(IFERROR(INDEX('Drive Map'!$G$4:$G$33,MATCH(X68,'Drive Map'!$B$4:$B$33,0))&amp;"","")="","",HYPERLINK(INDEX('Drive Map'!$G$4:$G$33,MATCH(X68,'Drive Map'!$B$4:$B$33,0)),"Open")))</f>
        <v/>
      </c>
      <c r="Z68" s="6" t="n"/>
    </row>
    <row r="69">
      <c r="D69" s="31" t="n"/>
      <c r="F69" s="31" t="n"/>
      <c r="I69" s="31" t="n"/>
      <c r="J69" s="21" t="n"/>
      <c r="L69" s="21" t="n"/>
      <c r="T69" s="29" t="n"/>
      <c r="U69" s="29" t="n"/>
      <c r="V69" s="7">
        <f>IF(OR(N(T69)=0,N(U69)=0),"",IF(U69&gt;T69*IF(T69&lt;20000,0.1,0.05),"Over statutory cap","OK"))</f>
        <v/>
      </c>
      <c r="W69" s="7">
        <f>IF(B69="","",IF(OR(AND(ISNUMBER(J69),J69&lt;TODAY()),AND(ISNUMBER(L69),L69&lt;TODAY())),"Expired",IF(OR(AND(ISNUMBER(J69),J69-TODAY()&lt;=30),AND(ISNUMBER(L69),L69-TODAY()&lt;=30)),"Expires within 30 days","OK")))</f>
        <v/>
      </c>
      <c r="X69" s="7">
        <f>IF(A69="","","04 Trades &amp; Tenders/"&amp;A69)</f>
        <v/>
      </c>
      <c r="Y69" s="7">
        <f>IF(X69="","",IF(IFERROR(INDEX('Drive Map'!$G$4:$G$33,MATCH(X69,'Drive Map'!$B$4:$B$33,0))&amp;"","")="","",HYPERLINK(INDEX('Drive Map'!$G$4:$G$33,MATCH(X69,'Drive Map'!$B$4:$B$33,0)),"Open")))</f>
        <v/>
      </c>
      <c r="Z69" s="6" t="n"/>
    </row>
    <row r="70">
      <c r="D70" s="31" t="n"/>
      <c r="F70" s="31" t="n"/>
      <c r="I70" s="31" t="n"/>
      <c r="J70" s="21" t="n"/>
      <c r="L70" s="21" t="n"/>
      <c r="T70" s="29" t="n"/>
      <c r="U70" s="29" t="n"/>
      <c r="V70" s="7">
        <f>IF(OR(N(T70)=0,N(U70)=0),"",IF(U70&gt;T70*IF(T70&lt;20000,0.1,0.05),"Over statutory cap","OK"))</f>
        <v/>
      </c>
      <c r="W70" s="7">
        <f>IF(B70="","",IF(OR(AND(ISNUMBER(J70),J70&lt;TODAY()),AND(ISNUMBER(L70),L70&lt;TODAY())),"Expired",IF(OR(AND(ISNUMBER(J70),J70-TODAY()&lt;=30),AND(ISNUMBER(L70),L70-TODAY()&lt;=30)),"Expires within 30 days","OK")))</f>
        <v/>
      </c>
      <c r="X70" s="7">
        <f>IF(A70="","","04 Trades &amp; Tenders/"&amp;A70)</f>
        <v/>
      </c>
      <c r="Y70" s="7">
        <f>IF(X70="","",IF(IFERROR(INDEX('Drive Map'!$G$4:$G$33,MATCH(X70,'Drive Map'!$B$4:$B$33,0))&amp;"","")="","",HYPERLINK(INDEX('Drive Map'!$G$4:$G$33,MATCH(X70,'Drive Map'!$B$4:$B$33,0)),"Open")))</f>
        <v/>
      </c>
      <c r="Z70" s="6" t="n"/>
    </row>
    <row r="71">
      <c r="D71" s="31" t="n"/>
      <c r="F71" s="31" t="n"/>
      <c r="I71" s="31" t="n"/>
      <c r="J71" s="21" t="n"/>
      <c r="L71" s="21" t="n"/>
      <c r="T71" s="29" t="n"/>
      <c r="U71" s="29" t="n"/>
      <c r="V71" s="7">
        <f>IF(OR(N(T71)=0,N(U71)=0),"",IF(U71&gt;T71*IF(T71&lt;20000,0.1,0.05),"Over statutory cap","OK"))</f>
        <v/>
      </c>
      <c r="W71" s="7">
        <f>IF(B71="","",IF(OR(AND(ISNUMBER(J71),J71&lt;TODAY()),AND(ISNUMBER(L71),L71&lt;TODAY())),"Expired",IF(OR(AND(ISNUMBER(J71),J71-TODAY()&lt;=30),AND(ISNUMBER(L71),L71-TODAY()&lt;=30)),"Expires within 30 days","OK")))</f>
        <v/>
      </c>
      <c r="X71" s="7">
        <f>IF(A71="","","04 Trades &amp; Tenders/"&amp;A71)</f>
        <v/>
      </c>
      <c r="Y71" s="7">
        <f>IF(X71="","",IF(IFERROR(INDEX('Drive Map'!$G$4:$G$33,MATCH(X71,'Drive Map'!$B$4:$B$33,0))&amp;"","")="","",HYPERLINK(INDEX('Drive Map'!$G$4:$G$33,MATCH(X71,'Drive Map'!$B$4:$B$33,0)),"Open")))</f>
        <v/>
      </c>
      <c r="Z71" s="6" t="n"/>
    </row>
    <row r="72">
      <c r="D72" s="31" t="n"/>
      <c r="F72" s="31" t="n"/>
      <c r="I72" s="31" t="n"/>
      <c r="J72" s="21" t="n"/>
      <c r="L72" s="21" t="n"/>
      <c r="T72" s="29" t="n"/>
      <c r="U72" s="29" t="n"/>
      <c r="V72" s="7">
        <f>IF(OR(N(T72)=0,N(U72)=0),"",IF(U72&gt;T72*IF(T72&lt;20000,0.1,0.05),"Over statutory cap","OK"))</f>
        <v/>
      </c>
      <c r="W72" s="7">
        <f>IF(B72="","",IF(OR(AND(ISNUMBER(J72),J72&lt;TODAY()),AND(ISNUMBER(L72),L72&lt;TODAY())),"Expired",IF(OR(AND(ISNUMBER(J72),J72-TODAY()&lt;=30),AND(ISNUMBER(L72),L72-TODAY()&lt;=30)),"Expires within 30 days","OK")))</f>
        <v/>
      </c>
      <c r="X72" s="7">
        <f>IF(A72="","","04 Trades &amp; Tenders/"&amp;A72)</f>
        <v/>
      </c>
      <c r="Y72" s="7">
        <f>IF(X72="","",IF(IFERROR(INDEX('Drive Map'!$G$4:$G$33,MATCH(X72,'Drive Map'!$B$4:$B$33,0))&amp;"","")="","",HYPERLINK(INDEX('Drive Map'!$G$4:$G$33,MATCH(X72,'Drive Map'!$B$4:$B$33,0)),"Open")))</f>
        <v/>
      </c>
      <c r="Z72" s="6" t="n"/>
    </row>
    <row r="73">
      <c r="D73" s="31" t="n"/>
      <c r="F73" s="31" t="n"/>
      <c r="I73" s="31" t="n"/>
      <c r="J73" s="21" t="n"/>
      <c r="L73" s="21" t="n"/>
      <c r="T73" s="29" t="n"/>
      <c r="U73" s="29" t="n"/>
      <c r="V73" s="7">
        <f>IF(OR(N(T73)=0,N(U73)=0),"",IF(U73&gt;T73*IF(T73&lt;20000,0.1,0.05),"Over statutory cap","OK"))</f>
        <v/>
      </c>
      <c r="W73" s="7">
        <f>IF(B73="","",IF(OR(AND(ISNUMBER(J73),J73&lt;TODAY()),AND(ISNUMBER(L73),L73&lt;TODAY())),"Expired",IF(OR(AND(ISNUMBER(J73),J73-TODAY()&lt;=30),AND(ISNUMBER(L73),L73-TODAY()&lt;=30)),"Expires within 30 days","OK")))</f>
        <v/>
      </c>
      <c r="X73" s="7">
        <f>IF(A73="","","04 Trades &amp; Tenders/"&amp;A73)</f>
        <v/>
      </c>
      <c r="Y73" s="7">
        <f>IF(X73="","",IF(IFERROR(INDEX('Drive Map'!$G$4:$G$33,MATCH(X73,'Drive Map'!$B$4:$B$33,0))&amp;"","")="","",HYPERLINK(INDEX('Drive Map'!$G$4:$G$33,MATCH(X73,'Drive Map'!$B$4:$B$33,0)),"Open")))</f>
        <v/>
      </c>
      <c r="Z73" s="6" t="n"/>
    </row>
    <row r="74">
      <c r="D74" s="31" t="n"/>
      <c r="F74" s="31" t="n"/>
      <c r="I74" s="31" t="n"/>
      <c r="J74" s="21" t="n"/>
      <c r="L74" s="21" t="n"/>
      <c r="T74" s="29" t="n"/>
      <c r="U74" s="29" t="n"/>
      <c r="V74" s="7">
        <f>IF(OR(N(T74)=0,N(U74)=0),"",IF(U74&gt;T74*IF(T74&lt;20000,0.1,0.05),"Over statutory cap","OK"))</f>
        <v/>
      </c>
      <c r="W74" s="7">
        <f>IF(B74="","",IF(OR(AND(ISNUMBER(J74),J74&lt;TODAY()),AND(ISNUMBER(L74),L74&lt;TODAY())),"Expired",IF(OR(AND(ISNUMBER(J74),J74-TODAY()&lt;=30),AND(ISNUMBER(L74),L74-TODAY()&lt;=30)),"Expires within 30 days","OK")))</f>
        <v/>
      </c>
      <c r="X74" s="7">
        <f>IF(A74="","","04 Trades &amp; Tenders/"&amp;A74)</f>
        <v/>
      </c>
      <c r="Y74" s="7">
        <f>IF(X74="","",IF(IFERROR(INDEX('Drive Map'!$G$4:$G$33,MATCH(X74,'Drive Map'!$B$4:$B$33,0))&amp;"","")="","",HYPERLINK(INDEX('Drive Map'!$G$4:$G$33,MATCH(X74,'Drive Map'!$B$4:$B$33,0)),"Open")))</f>
        <v/>
      </c>
      <c r="Z74" s="6" t="n"/>
    </row>
    <row r="75">
      <c r="D75" s="31" t="n"/>
      <c r="F75" s="31" t="n"/>
      <c r="I75" s="31" t="n"/>
      <c r="J75" s="21" t="n"/>
      <c r="L75" s="21" t="n"/>
      <c r="T75" s="29" t="n"/>
      <c r="U75" s="29" t="n"/>
      <c r="V75" s="7">
        <f>IF(OR(N(T75)=0,N(U75)=0),"",IF(U75&gt;T75*IF(T75&lt;20000,0.1,0.05),"Over statutory cap","OK"))</f>
        <v/>
      </c>
      <c r="W75" s="7">
        <f>IF(B75="","",IF(OR(AND(ISNUMBER(J75),J75&lt;TODAY()),AND(ISNUMBER(L75),L75&lt;TODAY())),"Expired",IF(OR(AND(ISNUMBER(J75),J75-TODAY()&lt;=30),AND(ISNUMBER(L75),L75-TODAY()&lt;=30)),"Expires within 30 days","OK")))</f>
        <v/>
      </c>
      <c r="X75" s="7">
        <f>IF(A75="","","04 Trades &amp; Tenders/"&amp;A75)</f>
        <v/>
      </c>
      <c r="Y75" s="7">
        <f>IF(X75="","",IF(IFERROR(INDEX('Drive Map'!$G$4:$G$33,MATCH(X75,'Drive Map'!$B$4:$B$33,0))&amp;"","")="","",HYPERLINK(INDEX('Drive Map'!$G$4:$G$33,MATCH(X75,'Drive Map'!$B$4:$B$33,0)),"Open")))</f>
        <v/>
      </c>
      <c r="Z75" s="6" t="n"/>
    </row>
    <row r="76">
      <c r="D76" s="31" t="n"/>
      <c r="F76" s="31" t="n"/>
      <c r="I76" s="31" t="n"/>
      <c r="J76" s="21" t="n"/>
      <c r="L76" s="21" t="n"/>
      <c r="T76" s="29" t="n"/>
      <c r="U76" s="29" t="n"/>
      <c r="V76" s="7">
        <f>IF(OR(N(T76)=0,N(U76)=0),"",IF(U76&gt;T76*IF(T76&lt;20000,0.1,0.05),"Over statutory cap","OK"))</f>
        <v/>
      </c>
      <c r="W76" s="7">
        <f>IF(B76="","",IF(OR(AND(ISNUMBER(J76),J76&lt;TODAY()),AND(ISNUMBER(L76),L76&lt;TODAY())),"Expired",IF(OR(AND(ISNUMBER(J76),J76-TODAY()&lt;=30),AND(ISNUMBER(L76),L76-TODAY()&lt;=30)),"Expires within 30 days","OK")))</f>
        <v/>
      </c>
      <c r="X76" s="7">
        <f>IF(A76="","","04 Trades &amp; Tenders/"&amp;A76)</f>
        <v/>
      </c>
      <c r="Y76" s="7">
        <f>IF(X76="","",IF(IFERROR(INDEX('Drive Map'!$G$4:$G$33,MATCH(X76,'Drive Map'!$B$4:$B$33,0))&amp;"","")="","",HYPERLINK(INDEX('Drive Map'!$G$4:$G$33,MATCH(X76,'Drive Map'!$B$4:$B$33,0)),"Open")))</f>
        <v/>
      </c>
      <c r="Z76" s="6" t="n"/>
    </row>
    <row r="77">
      <c r="D77" s="31" t="n"/>
      <c r="F77" s="31" t="n"/>
      <c r="I77" s="31" t="n"/>
      <c r="J77" s="21" t="n"/>
      <c r="L77" s="21" t="n"/>
      <c r="T77" s="29" t="n"/>
      <c r="U77" s="29" t="n"/>
      <c r="V77" s="7">
        <f>IF(OR(N(T77)=0,N(U77)=0),"",IF(U77&gt;T77*IF(T77&lt;20000,0.1,0.05),"Over statutory cap","OK"))</f>
        <v/>
      </c>
      <c r="W77" s="7">
        <f>IF(B77="","",IF(OR(AND(ISNUMBER(J77),J77&lt;TODAY()),AND(ISNUMBER(L77),L77&lt;TODAY())),"Expired",IF(OR(AND(ISNUMBER(J77),J77-TODAY()&lt;=30),AND(ISNUMBER(L77),L77-TODAY()&lt;=30)),"Expires within 30 days","OK")))</f>
        <v/>
      </c>
      <c r="X77" s="7">
        <f>IF(A77="","","04 Trades &amp; Tenders/"&amp;A77)</f>
        <v/>
      </c>
      <c r="Y77" s="7">
        <f>IF(X77="","",IF(IFERROR(INDEX('Drive Map'!$G$4:$G$33,MATCH(X77,'Drive Map'!$B$4:$B$33,0))&amp;"","")="","",HYPERLINK(INDEX('Drive Map'!$G$4:$G$33,MATCH(X77,'Drive Map'!$B$4:$B$33,0)),"Open")))</f>
        <v/>
      </c>
      <c r="Z77" s="6" t="n"/>
    </row>
    <row r="78">
      <c r="D78" s="31" t="n"/>
      <c r="F78" s="31" t="n"/>
      <c r="I78" s="31" t="n"/>
      <c r="J78" s="21" t="n"/>
      <c r="L78" s="21" t="n"/>
      <c r="T78" s="29" t="n"/>
      <c r="U78" s="29" t="n"/>
      <c r="V78" s="7">
        <f>IF(OR(N(T78)=0,N(U78)=0),"",IF(U78&gt;T78*IF(T78&lt;20000,0.1,0.05),"Over statutory cap","OK"))</f>
        <v/>
      </c>
      <c r="W78" s="7">
        <f>IF(B78="","",IF(OR(AND(ISNUMBER(J78),J78&lt;TODAY()),AND(ISNUMBER(L78),L78&lt;TODAY())),"Expired",IF(OR(AND(ISNUMBER(J78),J78-TODAY()&lt;=30),AND(ISNUMBER(L78),L78-TODAY()&lt;=30)),"Expires within 30 days","OK")))</f>
        <v/>
      </c>
      <c r="X78" s="7">
        <f>IF(A78="","","04 Trades &amp; Tenders/"&amp;A78)</f>
        <v/>
      </c>
      <c r="Y78" s="7">
        <f>IF(X78="","",IF(IFERROR(INDEX('Drive Map'!$G$4:$G$33,MATCH(X78,'Drive Map'!$B$4:$B$33,0))&amp;"","")="","",HYPERLINK(INDEX('Drive Map'!$G$4:$G$33,MATCH(X78,'Drive Map'!$B$4:$B$33,0)),"Open")))</f>
        <v/>
      </c>
      <c r="Z78" s="6" t="n"/>
    </row>
    <row r="79">
      <c r="D79" s="31" t="n"/>
      <c r="F79" s="31" t="n"/>
      <c r="I79" s="31" t="n"/>
      <c r="J79" s="21" t="n"/>
      <c r="L79" s="21" t="n"/>
      <c r="T79" s="29" t="n"/>
      <c r="U79" s="29" t="n"/>
      <c r="V79" s="7">
        <f>IF(OR(N(T79)=0,N(U79)=0),"",IF(U79&gt;T79*IF(T79&lt;20000,0.1,0.05),"Over statutory cap","OK"))</f>
        <v/>
      </c>
      <c r="W79" s="7">
        <f>IF(B79="","",IF(OR(AND(ISNUMBER(J79),J79&lt;TODAY()),AND(ISNUMBER(L79),L79&lt;TODAY())),"Expired",IF(OR(AND(ISNUMBER(J79),J79-TODAY()&lt;=30),AND(ISNUMBER(L79),L79-TODAY()&lt;=30)),"Expires within 30 days","OK")))</f>
        <v/>
      </c>
      <c r="X79" s="7">
        <f>IF(A79="","","04 Trades &amp; Tenders/"&amp;A79)</f>
        <v/>
      </c>
      <c r="Y79" s="7">
        <f>IF(X79="","",IF(IFERROR(INDEX('Drive Map'!$G$4:$G$33,MATCH(X79,'Drive Map'!$B$4:$B$33,0))&amp;"","")="","",HYPERLINK(INDEX('Drive Map'!$G$4:$G$33,MATCH(X79,'Drive Map'!$B$4:$B$33,0)),"Open")))</f>
        <v/>
      </c>
      <c r="Z79" s="6" t="n"/>
    </row>
    <row r="80">
      <c r="D80" s="31" t="n"/>
      <c r="F80" s="31" t="n"/>
      <c r="I80" s="31" t="n"/>
      <c r="J80" s="21" t="n"/>
      <c r="L80" s="21" t="n"/>
      <c r="T80" s="29" t="n"/>
      <c r="U80" s="29" t="n"/>
      <c r="V80" s="7">
        <f>IF(OR(N(T80)=0,N(U80)=0),"",IF(U80&gt;T80*IF(T80&lt;20000,0.1,0.05),"Over statutory cap","OK"))</f>
        <v/>
      </c>
      <c r="W80" s="7">
        <f>IF(B80="","",IF(OR(AND(ISNUMBER(J80),J80&lt;TODAY()),AND(ISNUMBER(L80),L80&lt;TODAY())),"Expired",IF(OR(AND(ISNUMBER(J80),J80-TODAY()&lt;=30),AND(ISNUMBER(L80),L80-TODAY()&lt;=30)),"Expires within 30 days","OK")))</f>
        <v/>
      </c>
      <c r="X80" s="7">
        <f>IF(A80="","","04 Trades &amp; Tenders/"&amp;A80)</f>
        <v/>
      </c>
      <c r="Y80" s="7">
        <f>IF(X80="","",IF(IFERROR(INDEX('Drive Map'!$G$4:$G$33,MATCH(X80,'Drive Map'!$B$4:$B$33,0))&amp;"","")="","",HYPERLINK(INDEX('Drive Map'!$G$4:$G$33,MATCH(X80,'Drive Map'!$B$4:$B$33,0)),"Open")))</f>
        <v/>
      </c>
      <c r="Z80" s="6" t="n"/>
    </row>
    <row r="81">
      <c r="D81" s="31" t="n"/>
      <c r="F81" s="31" t="n"/>
      <c r="I81" s="31" t="n"/>
      <c r="J81" s="21" t="n"/>
      <c r="L81" s="21" t="n"/>
      <c r="T81" s="29" t="n"/>
      <c r="U81" s="29" t="n"/>
      <c r="V81" s="7">
        <f>IF(OR(N(T81)=0,N(U81)=0),"",IF(U81&gt;T81*IF(T81&lt;20000,0.1,0.05),"Over statutory cap","OK"))</f>
        <v/>
      </c>
      <c r="W81" s="7">
        <f>IF(B81="","",IF(OR(AND(ISNUMBER(J81),J81&lt;TODAY()),AND(ISNUMBER(L81),L81&lt;TODAY())),"Expired",IF(OR(AND(ISNUMBER(J81),J81-TODAY()&lt;=30),AND(ISNUMBER(L81),L81-TODAY()&lt;=30)),"Expires within 30 days","OK")))</f>
        <v/>
      </c>
      <c r="X81" s="7">
        <f>IF(A81="","","04 Trades &amp; Tenders/"&amp;A81)</f>
        <v/>
      </c>
      <c r="Y81" s="7">
        <f>IF(X81="","",IF(IFERROR(INDEX('Drive Map'!$G$4:$G$33,MATCH(X81,'Drive Map'!$B$4:$B$33,0))&amp;"","")="","",HYPERLINK(INDEX('Drive Map'!$G$4:$G$33,MATCH(X81,'Drive Map'!$B$4:$B$33,0)),"Open")))</f>
        <v/>
      </c>
      <c r="Z81" s="6" t="n"/>
    </row>
    <row r="82">
      <c r="D82" s="31" t="n"/>
      <c r="F82" s="31" t="n"/>
      <c r="I82" s="31" t="n"/>
      <c r="J82" s="21" t="n"/>
      <c r="L82" s="21" t="n"/>
      <c r="T82" s="29" t="n"/>
      <c r="U82" s="29" t="n"/>
      <c r="V82" s="7">
        <f>IF(OR(N(T82)=0,N(U82)=0),"",IF(U82&gt;T82*IF(T82&lt;20000,0.1,0.05),"Over statutory cap","OK"))</f>
        <v/>
      </c>
      <c r="W82" s="7">
        <f>IF(B82="","",IF(OR(AND(ISNUMBER(J82),J82&lt;TODAY()),AND(ISNUMBER(L82),L82&lt;TODAY())),"Expired",IF(OR(AND(ISNUMBER(J82),J82-TODAY()&lt;=30),AND(ISNUMBER(L82),L82-TODAY()&lt;=30)),"Expires within 30 days","OK")))</f>
        <v/>
      </c>
      <c r="X82" s="7">
        <f>IF(A82="","","04 Trades &amp; Tenders/"&amp;A82)</f>
        <v/>
      </c>
      <c r="Y82" s="7">
        <f>IF(X82="","",IF(IFERROR(INDEX('Drive Map'!$G$4:$G$33,MATCH(X82,'Drive Map'!$B$4:$B$33,0))&amp;"","")="","",HYPERLINK(INDEX('Drive Map'!$G$4:$G$33,MATCH(X82,'Drive Map'!$B$4:$B$33,0)),"Open")))</f>
        <v/>
      </c>
      <c r="Z82" s="6" t="n"/>
    </row>
    <row r="83">
      <c r="D83" s="31" t="n"/>
      <c r="F83" s="31" t="n"/>
      <c r="I83" s="31" t="n"/>
      <c r="J83" s="21" t="n"/>
      <c r="L83" s="21" t="n"/>
      <c r="T83" s="29" t="n"/>
      <c r="U83" s="29" t="n"/>
      <c r="V83" s="7">
        <f>IF(OR(N(T83)=0,N(U83)=0),"",IF(U83&gt;T83*IF(T83&lt;20000,0.1,0.05),"Over statutory cap","OK"))</f>
        <v/>
      </c>
      <c r="W83" s="7">
        <f>IF(B83="","",IF(OR(AND(ISNUMBER(J83),J83&lt;TODAY()),AND(ISNUMBER(L83),L83&lt;TODAY())),"Expired",IF(OR(AND(ISNUMBER(J83),J83-TODAY()&lt;=30),AND(ISNUMBER(L83),L83-TODAY()&lt;=30)),"Expires within 30 days","OK")))</f>
        <v/>
      </c>
      <c r="X83" s="7">
        <f>IF(A83="","","04 Trades &amp; Tenders/"&amp;A83)</f>
        <v/>
      </c>
      <c r="Y83" s="7">
        <f>IF(X83="","",IF(IFERROR(INDEX('Drive Map'!$G$4:$G$33,MATCH(X83,'Drive Map'!$B$4:$B$33,0))&amp;"","")="","",HYPERLINK(INDEX('Drive Map'!$G$4:$G$33,MATCH(X83,'Drive Map'!$B$4:$B$33,0)),"Open")))</f>
        <v/>
      </c>
      <c r="Z83" s="6" t="n"/>
    </row>
    <row r="84">
      <c r="D84" s="31" t="n"/>
      <c r="F84" s="31" t="n"/>
      <c r="I84" s="31" t="n"/>
      <c r="J84" s="21" t="n"/>
      <c r="L84" s="21" t="n"/>
      <c r="T84" s="29" t="n"/>
      <c r="U84" s="29" t="n"/>
      <c r="V84" s="7">
        <f>IF(OR(N(T84)=0,N(U84)=0),"",IF(U84&gt;T84*IF(T84&lt;20000,0.1,0.05),"Over statutory cap","OK"))</f>
        <v/>
      </c>
      <c r="W84" s="7">
        <f>IF(B84="","",IF(OR(AND(ISNUMBER(J84),J84&lt;TODAY()),AND(ISNUMBER(L84),L84&lt;TODAY())),"Expired",IF(OR(AND(ISNUMBER(J84),J84-TODAY()&lt;=30),AND(ISNUMBER(L84),L84-TODAY()&lt;=30)),"Expires within 30 days","OK")))</f>
        <v/>
      </c>
      <c r="X84" s="7">
        <f>IF(A84="","","04 Trades &amp; Tenders/"&amp;A84)</f>
        <v/>
      </c>
      <c r="Y84" s="7">
        <f>IF(X84="","",IF(IFERROR(INDEX('Drive Map'!$G$4:$G$33,MATCH(X84,'Drive Map'!$B$4:$B$33,0))&amp;"","")="","",HYPERLINK(INDEX('Drive Map'!$G$4:$G$33,MATCH(X84,'Drive Map'!$B$4:$B$33,0)),"Open")))</f>
        <v/>
      </c>
      <c r="Z84" s="6" t="n"/>
    </row>
    <row r="85">
      <c r="D85" s="31" t="n"/>
      <c r="F85" s="31" t="n"/>
      <c r="I85" s="31" t="n"/>
      <c r="J85" s="21" t="n"/>
      <c r="L85" s="21" t="n"/>
      <c r="T85" s="29" t="n"/>
      <c r="U85" s="29" t="n"/>
      <c r="V85" s="7">
        <f>IF(OR(N(T85)=0,N(U85)=0),"",IF(U85&gt;T85*IF(T85&lt;20000,0.1,0.05),"Over statutory cap","OK"))</f>
        <v/>
      </c>
      <c r="W85" s="7">
        <f>IF(B85="","",IF(OR(AND(ISNUMBER(J85),J85&lt;TODAY()),AND(ISNUMBER(L85),L85&lt;TODAY())),"Expired",IF(OR(AND(ISNUMBER(J85),J85-TODAY()&lt;=30),AND(ISNUMBER(L85),L85-TODAY()&lt;=30)),"Expires within 30 days","OK")))</f>
        <v/>
      </c>
      <c r="X85" s="7">
        <f>IF(A85="","","04 Trades &amp; Tenders/"&amp;A85)</f>
        <v/>
      </c>
      <c r="Y85" s="7">
        <f>IF(X85="","",IF(IFERROR(INDEX('Drive Map'!$G$4:$G$33,MATCH(X85,'Drive Map'!$B$4:$B$33,0))&amp;"","")="","",HYPERLINK(INDEX('Drive Map'!$G$4:$G$33,MATCH(X85,'Drive Map'!$B$4:$B$33,0)),"Open")))</f>
        <v/>
      </c>
      <c r="Z85" s="6" t="n"/>
    </row>
    <row r="86">
      <c r="D86" s="31" t="n"/>
      <c r="F86" s="31" t="n"/>
      <c r="I86" s="31" t="n"/>
      <c r="J86" s="21" t="n"/>
      <c r="L86" s="21" t="n"/>
      <c r="T86" s="29" t="n"/>
      <c r="U86" s="29" t="n"/>
      <c r="V86" s="7">
        <f>IF(OR(N(T86)=0,N(U86)=0),"",IF(U86&gt;T86*IF(T86&lt;20000,0.1,0.05),"Over statutory cap","OK"))</f>
        <v/>
      </c>
      <c r="W86" s="7">
        <f>IF(B86="","",IF(OR(AND(ISNUMBER(J86),J86&lt;TODAY()),AND(ISNUMBER(L86),L86&lt;TODAY())),"Expired",IF(OR(AND(ISNUMBER(J86),J86-TODAY()&lt;=30),AND(ISNUMBER(L86),L86-TODAY()&lt;=30)),"Expires within 30 days","OK")))</f>
        <v/>
      </c>
      <c r="X86" s="7">
        <f>IF(A86="","","04 Trades &amp; Tenders/"&amp;A86)</f>
        <v/>
      </c>
      <c r="Y86" s="7">
        <f>IF(X86="","",IF(IFERROR(INDEX('Drive Map'!$G$4:$G$33,MATCH(X86,'Drive Map'!$B$4:$B$33,0))&amp;"","")="","",HYPERLINK(INDEX('Drive Map'!$G$4:$G$33,MATCH(X86,'Drive Map'!$B$4:$B$33,0)),"Open")))</f>
        <v/>
      </c>
      <c r="Z86" s="6" t="n"/>
    </row>
    <row r="87">
      <c r="D87" s="31" t="n"/>
      <c r="F87" s="31" t="n"/>
      <c r="I87" s="31" t="n"/>
      <c r="J87" s="21" t="n"/>
      <c r="L87" s="21" t="n"/>
      <c r="T87" s="29" t="n"/>
      <c r="U87" s="29" t="n"/>
      <c r="V87" s="7">
        <f>IF(OR(N(T87)=0,N(U87)=0),"",IF(U87&gt;T87*IF(T87&lt;20000,0.1,0.05),"Over statutory cap","OK"))</f>
        <v/>
      </c>
      <c r="W87" s="7">
        <f>IF(B87="","",IF(OR(AND(ISNUMBER(J87),J87&lt;TODAY()),AND(ISNUMBER(L87),L87&lt;TODAY())),"Expired",IF(OR(AND(ISNUMBER(J87),J87-TODAY()&lt;=30),AND(ISNUMBER(L87),L87-TODAY()&lt;=30)),"Expires within 30 days","OK")))</f>
        <v/>
      </c>
      <c r="X87" s="7">
        <f>IF(A87="","","04 Trades &amp; Tenders/"&amp;A87)</f>
        <v/>
      </c>
      <c r="Y87" s="7">
        <f>IF(X87="","",IF(IFERROR(INDEX('Drive Map'!$G$4:$G$33,MATCH(X87,'Drive Map'!$B$4:$B$33,0))&amp;"","")="","",HYPERLINK(INDEX('Drive Map'!$G$4:$G$33,MATCH(X87,'Drive Map'!$B$4:$B$33,0)),"Open")))</f>
        <v/>
      </c>
      <c r="Z87" s="6" t="n"/>
    </row>
    <row r="88">
      <c r="D88" s="31" t="n"/>
      <c r="F88" s="31" t="n"/>
      <c r="I88" s="31" t="n"/>
      <c r="J88" s="21" t="n"/>
      <c r="L88" s="21" t="n"/>
      <c r="T88" s="29" t="n"/>
      <c r="U88" s="29" t="n"/>
      <c r="V88" s="7">
        <f>IF(OR(N(T88)=0,N(U88)=0),"",IF(U88&gt;T88*IF(T88&lt;20000,0.1,0.05),"Over statutory cap","OK"))</f>
        <v/>
      </c>
      <c r="W88" s="7">
        <f>IF(B88="","",IF(OR(AND(ISNUMBER(J88),J88&lt;TODAY()),AND(ISNUMBER(L88),L88&lt;TODAY())),"Expired",IF(OR(AND(ISNUMBER(J88),J88-TODAY()&lt;=30),AND(ISNUMBER(L88),L88-TODAY()&lt;=30)),"Expires within 30 days","OK")))</f>
        <v/>
      </c>
      <c r="X88" s="7">
        <f>IF(A88="","","04 Trades &amp; Tenders/"&amp;A88)</f>
        <v/>
      </c>
      <c r="Y88" s="7">
        <f>IF(X88="","",IF(IFERROR(INDEX('Drive Map'!$G$4:$G$33,MATCH(X88,'Drive Map'!$B$4:$B$33,0))&amp;"","")="","",HYPERLINK(INDEX('Drive Map'!$G$4:$G$33,MATCH(X88,'Drive Map'!$B$4:$B$33,0)),"Open")))</f>
        <v/>
      </c>
      <c r="Z88" s="6" t="n"/>
    </row>
    <row r="89">
      <c r="D89" s="31" t="n"/>
      <c r="F89" s="31" t="n"/>
      <c r="I89" s="31" t="n"/>
      <c r="J89" s="21" t="n"/>
      <c r="L89" s="21" t="n"/>
      <c r="T89" s="29" t="n"/>
      <c r="U89" s="29" t="n"/>
      <c r="V89" s="7">
        <f>IF(OR(N(T89)=0,N(U89)=0),"",IF(U89&gt;T89*IF(T89&lt;20000,0.1,0.05),"Over statutory cap","OK"))</f>
        <v/>
      </c>
      <c r="W89" s="7">
        <f>IF(B89="","",IF(OR(AND(ISNUMBER(J89),J89&lt;TODAY()),AND(ISNUMBER(L89),L89&lt;TODAY())),"Expired",IF(OR(AND(ISNUMBER(J89),J89-TODAY()&lt;=30),AND(ISNUMBER(L89),L89-TODAY()&lt;=30)),"Expires within 30 days","OK")))</f>
        <v/>
      </c>
      <c r="X89" s="7">
        <f>IF(A89="","","04 Trades &amp; Tenders/"&amp;A89)</f>
        <v/>
      </c>
      <c r="Y89" s="7">
        <f>IF(X89="","",IF(IFERROR(INDEX('Drive Map'!$G$4:$G$33,MATCH(X89,'Drive Map'!$B$4:$B$33,0))&amp;"","")="","",HYPERLINK(INDEX('Drive Map'!$G$4:$G$33,MATCH(X89,'Drive Map'!$B$4:$B$33,0)),"Open")))</f>
        <v/>
      </c>
      <c r="Z89" s="6" t="n"/>
    </row>
    <row r="90">
      <c r="D90" s="31" t="n"/>
      <c r="F90" s="31" t="n"/>
      <c r="I90" s="31" t="n"/>
      <c r="J90" s="21" t="n"/>
      <c r="L90" s="21" t="n"/>
      <c r="T90" s="29" t="n"/>
      <c r="U90" s="29" t="n"/>
      <c r="V90" s="7">
        <f>IF(OR(N(T90)=0,N(U90)=0),"",IF(U90&gt;T90*IF(T90&lt;20000,0.1,0.05),"Over statutory cap","OK"))</f>
        <v/>
      </c>
      <c r="W90" s="7">
        <f>IF(B90="","",IF(OR(AND(ISNUMBER(J90),J90&lt;TODAY()),AND(ISNUMBER(L90),L90&lt;TODAY())),"Expired",IF(OR(AND(ISNUMBER(J90),J90-TODAY()&lt;=30),AND(ISNUMBER(L90),L90-TODAY()&lt;=30)),"Expires within 30 days","OK")))</f>
        <v/>
      </c>
      <c r="X90" s="7">
        <f>IF(A90="","","04 Trades &amp; Tenders/"&amp;A90)</f>
        <v/>
      </c>
      <c r="Y90" s="7">
        <f>IF(X90="","",IF(IFERROR(INDEX('Drive Map'!$G$4:$G$33,MATCH(X90,'Drive Map'!$B$4:$B$33,0))&amp;"","")="","",HYPERLINK(INDEX('Drive Map'!$G$4:$G$33,MATCH(X90,'Drive Map'!$B$4:$B$33,0)),"Open")))</f>
        <v/>
      </c>
      <c r="Z90" s="6" t="n"/>
    </row>
    <row r="91">
      <c r="D91" s="31" t="n"/>
      <c r="F91" s="31" t="n"/>
      <c r="I91" s="31" t="n"/>
      <c r="J91" s="21" t="n"/>
      <c r="L91" s="21" t="n"/>
      <c r="T91" s="29" t="n"/>
      <c r="U91" s="29" t="n"/>
      <c r="V91" s="7">
        <f>IF(OR(N(T91)=0,N(U91)=0),"",IF(U91&gt;T91*IF(T91&lt;20000,0.1,0.05),"Over statutory cap","OK"))</f>
        <v/>
      </c>
      <c r="W91" s="7">
        <f>IF(B91="","",IF(OR(AND(ISNUMBER(J91),J91&lt;TODAY()),AND(ISNUMBER(L91),L91&lt;TODAY())),"Expired",IF(OR(AND(ISNUMBER(J91),J91-TODAY()&lt;=30),AND(ISNUMBER(L91),L91-TODAY()&lt;=30)),"Expires within 30 days","OK")))</f>
        <v/>
      </c>
      <c r="X91" s="7">
        <f>IF(A91="","","04 Trades &amp; Tenders/"&amp;A91)</f>
        <v/>
      </c>
      <c r="Y91" s="7">
        <f>IF(X91="","",IF(IFERROR(INDEX('Drive Map'!$G$4:$G$33,MATCH(X91,'Drive Map'!$B$4:$B$33,0))&amp;"","")="","",HYPERLINK(INDEX('Drive Map'!$G$4:$G$33,MATCH(X91,'Drive Map'!$B$4:$B$33,0)),"Open")))</f>
        <v/>
      </c>
      <c r="Z91" s="6" t="n"/>
    </row>
    <row r="92">
      <c r="D92" s="31" t="n"/>
      <c r="F92" s="31" t="n"/>
      <c r="I92" s="31" t="n"/>
      <c r="J92" s="21" t="n"/>
      <c r="L92" s="21" t="n"/>
      <c r="T92" s="29" t="n"/>
      <c r="U92" s="29" t="n"/>
      <c r="V92" s="7">
        <f>IF(OR(N(T92)=0,N(U92)=0),"",IF(U92&gt;T92*IF(T92&lt;20000,0.1,0.05),"Over statutory cap","OK"))</f>
        <v/>
      </c>
      <c r="W92" s="7">
        <f>IF(B92="","",IF(OR(AND(ISNUMBER(J92),J92&lt;TODAY()),AND(ISNUMBER(L92),L92&lt;TODAY())),"Expired",IF(OR(AND(ISNUMBER(J92),J92-TODAY()&lt;=30),AND(ISNUMBER(L92),L92-TODAY()&lt;=30)),"Expires within 30 days","OK")))</f>
        <v/>
      </c>
      <c r="X92" s="7">
        <f>IF(A92="","","04 Trades &amp; Tenders/"&amp;A92)</f>
        <v/>
      </c>
      <c r="Y92" s="7">
        <f>IF(X92="","",IF(IFERROR(INDEX('Drive Map'!$G$4:$G$33,MATCH(X92,'Drive Map'!$B$4:$B$33,0))&amp;"","")="","",HYPERLINK(INDEX('Drive Map'!$G$4:$G$33,MATCH(X92,'Drive Map'!$B$4:$B$33,0)),"Open")))</f>
        <v/>
      </c>
      <c r="Z92" s="6" t="n"/>
    </row>
    <row r="93">
      <c r="D93" s="31" t="n"/>
      <c r="F93" s="31" t="n"/>
      <c r="I93" s="31" t="n"/>
      <c r="J93" s="21" t="n"/>
      <c r="L93" s="21" t="n"/>
      <c r="T93" s="29" t="n"/>
      <c r="U93" s="29" t="n"/>
      <c r="V93" s="7">
        <f>IF(OR(N(T93)=0,N(U93)=0),"",IF(U93&gt;T93*IF(T93&lt;20000,0.1,0.05),"Over statutory cap","OK"))</f>
        <v/>
      </c>
      <c r="W93" s="7">
        <f>IF(B93="","",IF(OR(AND(ISNUMBER(J93),J93&lt;TODAY()),AND(ISNUMBER(L93),L93&lt;TODAY())),"Expired",IF(OR(AND(ISNUMBER(J93),J93-TODAY()&lt;=30),AND(ISNUMBER(L93),L93-TODAY()&lt;=30)),"Expires within 30 days","OK")))</f>
        <v/>
      </c>
      <c r="X93" s="7">
        <f>IF(A93="","","04 Trades &amp; Tenders/"&amp;A93)</f>
        <v/>
      </c>
      <c r="Y93" s="7">
        <f>IF(X93="","",IF(IFERROR(INDEX('Drive Map'!$G$4:$G$33,MATCH(X93,'Drive Map'!$B$4:$B$33,0))&amp;"","")="","",HYPERLINK(INDEX('Drive Map'!$G$4:$G$33,MATCH(X93,'Drive Map'!$B$4:$B$33,0)),"Open")))</f>
        <v/>
      </c>
      <c r="Z93" s="6" t="n"/>
    </row>
    <row r="94">
      <c r="D94" s="31" t="n"/>
      <c r="F94" s="31" t="n"/>
      <c r="I94" s="31" t="n"/>
      <c r="J94" s="21" t="n"/>
      <c r="L94" s="21" t="n"/>
      <c r="T94" s="29" t="n"/>
      <c r="U94" s="29" t="n"/>
      <c r="V94" s="7">
        <f>IF(OR(N(T94)=0,N(U94)=0),"",IF(U94&gt;T94*IF(T94&lt;20000,0.1,0.05),"Over statutory cap","OK"))</f>
        <v/>
      </c>
      <c r="W94" s="7">
        <f>IF(B94="","",IF(OR(AND(ISNUMBER(J94),J94&lt;TODAY()),AND(ISNUMBER(L94),L94&lt;TODAY())),"Expired",IF(OR(AND(ISNUMBER(J94),J94-TODAY()&lt;=30),AND(ISNUMBER(L94),L94-TODAY()&lt;=30)),"Expires within 30 days","OK")))</f>
        <v/>
      </c>
      <c r="X94" s="7">
        <f>IF(A94="","","04 Trades &amp; Tenders/"&amp;A94)</f>
        <v/>
      </c>
      <c r="Y94" s="7">
        <f>IF(X94="","",IF(IFERROR(INDEX('Drive Map'!$G$4:$G$33,MATCH(X94,'Drive Map'!$B$4:$B$33,0))&amp;"","")="","",HYPERLINK(INDEX('Drive Map'!$G$4:$G$33,MATCH(X94,'Drive Map'!$B$4:$B$33,0)),"Open")))</f>
        <v/>
      </c>
      <c r="Z94" s="6" t="n"/>
    </row>
    <row r="95">
      <c r="D95" s="31" t="n"/>
      <c r="F95" s="31" t="n"/>
      <c r="I95" s="31" t="n"/>
      <c r="J95" s="21" t="n"/>
      <c r="L95" s="21" t="n"/>
      <c r="T95" s="29" t="n"/>
      <c r="U95" s="29" t="n"/>
      <c r="V95" s="7">
        <f>IF(OR(N(T95)=0,N(U95)=0),"",IF(U95&gt;T95*IF(T95&lt;20000,0.1,0.05),"Over statutory cap","OK"))</f>
        <v/>
      </c>
      <c r="W95" s="7">
        <f>IF(B95="","",IF(OR(AND(ISNUMBER(J95),J95&lt;TODAY()),AND(ISNUMBER(L95),L95&lt;TODAY())),"Expired",IF(OR(AND(ISNUMBER(J95),J95-TODAY()&lt;=30),AND(ISNUMBER(L95),L95-TODAY()&lt;=30)),"Expires within 30 days","OK")))</f>
        <v/>
      </c>
      <c r="X95" s="7">
        <f>IF(A95="","","04 Trades &amp; Tenders/"&amp;A95)</f>
        <v/>
      </c>
      <c r="Y95" s="7">
        <f>IF(X95="","",IF(IFERROR(INDEX('Drive Map'!$G$4:$G$33,MATCH(X95,'Drive Map'!$B$4:$B$33,0))&amp;"","")="","",HYPERLINK(INDEX('Drive Map'!$G$4:$G$33,MATCH(X95,'Drive Map'!$B$4:$B$33,0)),"Open")))</f>
        <v/>
      </c>
      <c r="Z95" s="6" t="n"/>
    </row>
    <row r="96">
      <c r="D96" s="31" t="n"/>
      <c r="F96" s="31" t="n"/>
      <c r="I96" s="31" t="n"/>
      <c r="J96" s="21" t="n"/>
      <c r="L96" s="21" t="n"/>
      <c r="T96" s="29" t="n"/>
      <c r="U96" s="29" t="n"/>
      <c r="V96" s="7">
        <f>IF(OR(N(T96)=0,N(U96)=0),"",IF(U96&gt;T96*IF(T96&lt;20000,0.1,0.05),"Over statutory cap","OK"))</f>
        <v/>
      </c>
      <c r="W96" s="7">
        <f>IF(B96="","",IF(OR(AND(ISNUMBER(J96),J96&lt;TODAY()),AND(ISNUMBER(L96),L96&lt;TODAY())),"Expired",IF(OR(AND(ISNUMBER(J96),J96-TODAY()&lt;=30),AND(ISNUMBER(L96),L96-TODAY()&lt;=30)),"Expires within 30 days","OK")))</f>
        <v/>
      </c>
      <c r="X96" s="7">
        <f>IF(A96="","","04 Trades &amp; Tenders/"&amp;A96)</f>
        <v/>
      </c>
      <c r="Y96" s="7">
        <f>IF(X96="","",IF(IFERROR(INDEX('Drive Map'!$G$4:$G$33,MATCH(X96,'Drive Map'!$B$4:$B$33,0))&amp;"","")="","",HYPERLINK(INDEX('Drive Map'!$G$4:$G$33,MATCH(X96,'Drive Map'!$B$4:$B$33,0)),"Open")))</f>
        <v/>
      </c>
      <c r="Z96" s="6" t="n"/>
    </row>
    <row r="97">
      <c r="D97" s="31" t="n"/>
      <c r="F97" s="31" t="n"/>
      <c r="I97" s="31" t="n"/>
      <c r="J97" s="21" t="n"/>
      <c r="L97" s="21" t="n"/>
      <c r="T97" s="29" t="n"/>
      <c r="U97" s="29" t="n"/>
      <c r="V97" s="7">
        <f>IF(OR(N(T97)=0,N(U97)=0),"",IF(U97&gt;T97*IF(T97&lt;20000,0.1,0.05),"Over statutory cap","OK"))</f>
        <v/>
      </c>
      <c r="W97" s="7">
        <f>IF(B97="","",IF(OR(AND(ISNUMBER(J97),J97&lt;TODAY()),AND(ISNUMBER(L97),L97&lt;TODAY())),"Expired",IF(OR(AND(ISNUMBER(J97),J97-TODAY()&lt;=30),AND(ISNUMBER(L97),L97-TODAY()&lt;=30)),"Expires within 30 days","OK")))</f>
        <v/>
      </c>
      <c r="X97" s="7">
        <f>IF(A97="","","04 Trades &amp; Tenders/"&amp;A97)</f>
        <v/>
      </c>
      <c r="Y97" s="7">
        <f>IF(X97="","",IF(IFERROR(INDEX('Drive Map'!$G$4:$G$33,MATCH(X97,'Drive Map'!$B$4:$B$33,0))&amp;"","")="","",HYPERLINK(INDEX('Drive Map'!$G$4:$G$33,MATCH(X97,'Drive Map'!$B$4:$B$33,0)),"Open")))</f>
        <v/>
      </c>
      <c r="Z97" s="6" t="n"/>
    </row>
    <row r="98">
      <c r="D98" s="31" t="n"/>
      <c r="F98" s="31" t="n"/>
      <c r="I98" s="31" t="n"/>
      <c r="J98" s="21" t="n"/>
      <c r="L98" s="21" t="n"/>
      <c r="T98" s="29" t="n"/>
      <c r="U98" s="29" t="n"/>
      <c r="V98" s="7">
        <f>IF(OR(N(T98)=0,N(U98)=0),"",IF(U98&gt;T98*IF(T98&lt;20000,0.1,0.05),"Over statutory cap","OK"))</f>
        <v/>
      </c>
      <c r="W98" s="7">
        <f>IF(B98="","",IF(OR(AND(ISNUMBER(J98),J98&lt;TODAY()),AND(ISNUMBER(L98),L98&lt;TODAY())),"Expired",IF(OR(AND(ISNUMBER(J98),J98-TODAY()&lt;=30),AND(ISNUMBER(L98),L98-TODAY()&lt;=30)),"Expires within 30 days","OK")))</f>
        <v/>
      </c>
      <c r="X98" s="7">
        <f>IF(A98="","","04 Trades &amp; Tenders/"&amp;A98)</f>
        <v/>
      </c>
      <c r="Y98" s="7">
        <f>IF(X98="","",IF(IFERROR(INDEX('Drive Map'!$G$4:$G$33,MATCH(X98,'Drive Map'!$B$4:$B$33,0))&amp;"","")="","",HYPERLINK(INDEX('Drive Map'!$G$4:$G$33,MATCH(X98,'Drive Map'!$B$4:$B$33,0)),"Open")))</f>
        <v/>
      </c>
      <c r="Z98" s="6" t="n"/>
    </row>
    <row r="99">
      <c r="D99" s="31" t="n"/>
      <c r="F99" s="31" t="n"/>
      <c r="I99" s="31" t="n"/>
      <c r="J99" s="21" t="n"/>
      <c r="L99" s="21" t="n"/>
      <c r="T99" s="29" t="n"/>
      <c r="U99" s="29" t="n"/>
      <c r="V99" s="7">
        <f>IF(OR(N(T99)=0,N(U99)=0),"",IF(U99&gt;T99*IF(T99&lt;20000,0.1,0.05),"Over statutory cap","OK"))</f>
        <v/>
      </c>
      <c r="W99" s="7">
        <f>IF(B99="","",IF(OR(AND(ISNUMBER(J99),J99&lt;TODAY()),AND(ISNUMBER(L99),L99&lt;TODAY())),"Expired",IF(OR(AND(ISNUMBER(J99),J99-TODAY()&lt;=30),AND(ISNUMBER(L99),L99-TODAY()&lt;=30)),"Expires within 30 days","OK")))</f>
        <v/>
      </c>
      <c r="X99" s="7">
        <f>IF(A99="","","04 Trades &amp; Tenders/"&amp;A99)</f>
        <v/>
      </c>
      <c r="Y99" s="7">
        <f>IF(X99="","",IF(IFERROR(INDEX('Drive Map'!$G$4:$G$33,MATCH(X99,'Drive Map'!$B$4:$B$33,0))&amp;"","")="","",HYPERLINK(INDEX('Drive Map'!$G$4:$G$33,MATCH(X99,'Drive Map'!$B$4:$B$33,0)),"Open")))</f>
        <v/>
      </c>
      <c r="Z99" s="6" t="n"/>
    </row>
    <row r="100">
      <c r="D100" s="31" t="n"/>
      <c r="F100" s="31" t="n"/>
      <c r="I100" s="31" t="n"/>
      <c r="J100" s="21" t="n"/>
      <c r="L100" s="21" t="n"/>
      <c r="T100" s="29" t="n"/>
      <c r="U100" s="29" t="n"/>
      <c r="V100" s="7">
        <f>IF(OR(N(T100)=0,N(U100)=0),"",IF(U100&gt;T100*IF(T100&lt;20000,0.1,0.05),"Over statutory cap","OK"))</f>
        <v/>
      </c>
      <c r="W100" s="7">
        <f>IF(B100="","",IF(OR(AND(ISNUMBER(J100),J100&lt;TODAY()),AND(ISNUMBER(L100),L100&lt;TODAY())),"Expired",IF(OR(AND(ISNUMBER(J100),J100-TODAY()&lt;=30),AND(ISNUMBER(L100),L100-TODAY()&lt;=30)),"Expires within 30 days","OK")))</f>
        <v/>
      </c>
      <c r="X100" s="7">
        <f>IF(A100="","","04 Trades &amp; Tenders/"&amp;A100)</f>
        <v/>
      </c>
      <c r="Y100" s="7">
        <f>IF(X100="","",IF(IFERROR(INDEX('Drive Map'!$G$4:$G$33,MATCH(X100,'Drive Map'!$B$4:$B$33,0))&amp;"","")="","",HYPERLINK(INDEX('Drive Map'!$G$4:$G$33,MATCH(X100,'Drive Map'!$B$4:$B$33,0)),"Open")))</f>
        <v/>
      </c>
      <c r="Z100" s="6" t="n"/>
    </row>
    <row r="101">
      <c r="D101" s="31" t="n"/>
      <c r="F101" s="31" t="n"/>
      <c r="I101" s="31" t="n"/>
      <c r="J101" s="21" t="n"/>
      <c r="L101" s="21" t="n"/>
      <c r="T101" s="29" t="n"/>
      <c r="U101" s="29" t="n"/>
      <c r="V101" s="7">
        <f>IF(OR(N(T101)=0,N(U101)=0),"",IF(U101&gt;T101*IF(T101&lt;20000,0.1,0.05),"Over statutory cap","OK"))</f>
        <v/>
      </c>
      <c r="W101" s="7">
        <f>IF(B101="","",IF(OR(AND(ISNUMBER(J101),J101&lt;TODAY()),AND(ISNUMBER(L101),L101&lt;TODAY())),"Expired",IF(OR(AND(ISNUMBER(J101),J101-TODAY()&lt;=30),AND(ISNUMBER(L101),L101-TODAY()&lt;=30)),"Expires within 30 days","OK")))</f>
        <v/>
      </c>
      <c r="X101" s="7">
        <f>IF(A101="","","04 Trades &amp; Tenders/"&amp;A101)</f>
        <v/>
      </c>
      <c r="Y101" s="7">
        <f>IF(X101="","",IF(IFERROR(INDEX('Drive Map'!$G$4:$G$33,MATCH(X101,'Drive Map'!$B$4:$B$33,0))&amp;"","")="","",HYPERLINK(INDEX('Drive Map'!$G$4:$G$33,MATCH(X101,'Drive Map'!$B$4:$B$33,0)),"Open")))</f>
        <v/>
      </c>
      <c r="Z101" s="6" t="n"/>
    </row>
    <row r="102">
      <c r="D102" s="31" t="n"/>
      <c r="F102" s="31" t="n"/>
      <c r="I102" s="31" t="n"/>
      <c r="J102" s="21" t="n"/>
      <c r="L102" s="21" t="n"/>
      <c r="T102" s="29" t="n"/>
      <c r="U102" s="29" t="n"/>
      <c r="V102" s="7">
        <f>IF(OR(N(T102)=0,N(U102)=0),"",IF(U102&gt;T102*IF(T102&lt;20000,0.1,0.05),"Over statutory cap","OK"))</f>
        <v/>
      </c>
      <c r="W102" s="7">
        <f>IF(B102="","",IF(OR(AND(ISNUMBER(J102),J102&lt;TODAY()),AND(ISNUMBER(L102),L102&lt;TODAY())),"Expired",IF(OR(AND(ISNUMBER(J102),J102-TODAY()&lt;=30),AND(ISNUMBER(L102),L102-TODAY()&lt;=30)),"Expires within 30 days","OK")))</f>
        <v/>
      </c>
      <c r="X102" s="7">
        <f>IF(A102="","","04 Trades &amp; Tenders/"&amp;A102)</f>
        <v/>
      </c>
      <c r="Y102" s="7">
        <f>IF(X102="","",IF(IFERROR(INDEX('Drive Map'!$G$4:$G$33,MATCH(X102,'Drive Map'!$B$4:$B$33,0))&amp;"","")="","",HYPERLINK(INDEX('Drive Map'!$G$4:$G$33,MATCH(X102,'Drive Map'!$B$4:$B$33,0)),"Open")))</f>
        <v/>
      </c>
      <c r="Z102" s="6" t="n"/>
    </row>
    <row r="103">
      <c r="D103" s="31" t="n"/>
      <c r="F103" s="31" t="n"/>
      <c r="I103" s="31" t="n"/>
      <c r="J103" s="21" t="n"/>
      <c r="L103" s="21" t="n"/>
      <c r="T103" s="29" t="n"/>
      <c r="U103" s="29" t="n"/>
      <c r="V103" s="7">
        <f>IF(OR(N(T103)=0,N(U103)=0),"",IF(U103&gt;T103*IF(T103&lt;20000,0.1,0.05),"Over statutory cap","OK"))</f>
        <v/>
      </c>
      <c r="W103" s="7">
        <f>IF(B103="","",IF(OR(AND(ISNUMBER(J103),J103&lt;TODAY()),AND(ISNUMBER(L103),L103&lt;TODAY())),"Expired",IF(OR(AND(ISNUMBER(J103),J103-TODAY()&lt;=30),AND(ISNUMBER(L103),L103-TODAY()&lt;=30)),"Expires within 30 days","OK")))</f>
        <v/>
      </c>
      <c r="X103" s="7">
        <f>IF(A103="","","04 Trades &amp; Tenders/"&amp;A103)</f>
        <v/>
      </c>
      <c r="Y103" s="7">
        <f>IF(X103="","",IF(IFERROR(INDEX('Drive Map'!$G$4:$G$33,MATCH(X103,'Drive Map'!$B$4:$B$33,0))&amp;"","")="","",HYPERLINK(INDEX('Drive Map'!$G$4:$G$33,MATCH(X103,'Drive Map'!$B$4:$B$33,0)),"Open")))</f>
        <v/>
      </c>
      <c r="Z103" s="6" t="n"/>
    </row>
  </sheetData>
  <autoFilter ref="A3:Z103"/>
  <conditionalFormatting sqref="W4:W103">
    <cfRule type="cellIs" priority="1" operator="equal" dxfId="2">
      <formula>"Expired"</formula>
    </cfRule>
    <cfRule type="cellIs" priority="2" operator="equal" dxfId="1">
      <formula>"Expires within 30 days"</formula>
    </cfRule>
  </conditionalFormatting>
  <conditionalFormatting sqref="V4:V103">
    <cfRule type="cellIs" priority="3" operator="equal" dxfId="2">
      <formula>"Over statutory cap"</formula>
    </cfRule>
  </conditionalFormatting>
  <dataValidations count="9">
    <dataValidation sqref="A4:A103" showDropDown="0" showInputMessage="0" showErrorMessage="0" allowBlank="1" error="Pick a value from the list." type="list" errorStyle="warning">
      <formula1>='Packages'!$B$4:$B$33</formula1>
    </dataValidation>
    <dataValidation sqref="G4:G103" showDropDown="0" showInputMessage="0" showErrorMessage="0" allowBlank="1" error="Pick a value from the list." type="list" errorStyle="warning">
      <formula1>=Lists!$B$2:$B$3</formula1>
    </dataValidation>
    <dataValidation sqref="M4:M103" showDropDown="0" showInputMessage="0" showErrorMessage="0" allowBlank="1" error="Pick a value from the list." type="list" errorStyle="warning">
      <formula1>=Lists!$C$2:$C$4</formula1>
    </dataValidation>
    <dataValidation sqref="N4:N103" showDropDown="0" showInputMessage="0" showErrorMessage="0" allowBlank="1" error="Pick a value from the list." type="list" errorStyle="warning">
      <formula1>=Lists!$C$2:$C$4</formula1>
    </dataValidation>
    <dataValidation sqref="O4:O103" showDropDown="0" showInputMessage="0" showErrorMessage="0" allowBlank="1" error="Pick a value from the list." type="list" errorStyle="warning">
      <formula1>=Lists!$C$2:$C$4</formula1>
    </dataValidation>
    <dataValidation sqref="P4:P103" showDropDown="0" showInputMessage="0" showErrorMessage="0" allowBlank="1" error="Pick a value from the list." type="list" errorStyle="warning">
      <formula1>=Lists!$B$2:$B$3</formula1>
    </dataValidation>
    <dataValidation sqref="Q4:Q103" showDropDown="0" showInputMessage="0" showErrorMessage="0" allowBlank="1" error="Pick a value from the list." type="list" errorStyle="warning">
      <formula1>=Lists!$O$2:$O$6</formula1>
    </dataValidation>
    <dataValidation sqref="R4:R103" showDropDown="0" showInputMessage="0" showErrorMessage="0" allowBlank="1" error="Pick a value from the list." type="list" errorStyle="warning">
      <formula1>=Lists!$W$2:$W$7</formula1>
    </dataValidation>
    <dataValidation sqref="S4:S1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8" customWidth="1" min="3" max="3"/>
    <col width="10" customWidth="1" min="4" max="4"/>
    <col width="9" customWidth="1" min="5" max="5"/>
    <col width="9" customWidth="1" min="6" max="6"/>
    <col width="9" customWidth="1" min="7" max="7"/>
    <col width="9" customWidth="1" min="8" max="8"/>
    <col width="8" customWidth="1" min="9" max="9"/>
    <col width="10" customWidth="1" min="10" max="10"/>
    <col width="24" customWidth="1" min="11" max="11"/>
    <col width="9" customWidth="1" min="12" max="12"/>
    <col width="14" customWidth="1" min="13" max="13"/>
    <col width="14" customWidth="1" min="14" max="14"/>
    <col width="11" customWidth="1" min="15" max="15"/>
    <col width="30" customWidth="1" min="16" max="16"/>
  </cols>
  <sheetData>
    <row r="1" ht="24" customHeight="1">
      <c r="A1" s="1" t="inlineStr">
        <is>
          <t>Tender weights &amp; recommendations</t>
        </is>
      </c>
    </row>
    <row r="2">
      <c r="A2" s="2" t="inlineStr">
        <is>
          <t>Set the scoring weights for each package (they must add to 100). The recommendation updates as you enter quotes on the Tenders tab.</t>
        </is>
      </c>
    </row>
    <row r="3" ht="32" customHeight="1">
      <c r="A3" s="20" t="inlineStr">
        <is>
          <t>Package</t>
        </is>
      </c>
      <c r="B3" s="20" t="inlineStr">
        <is>
          <t>Budget ($)</t>
        </is>
      </c>
      <c r="C3" s="19" t="inlineStr">
        <is>
          <t>Price %</t>
        </is>
      </c>
      <c r="D3" s="19" t="inlineStr">
        <is>
          <t>Experience %</t>
        </is>
      </c>
      <c r="E3" s="19" t="inlineStr">
        <is>
          <t>Program %</t>
        </is>
      </c>
      <c r="F3" s="19" t="inlineStr">
        <is>
          <t>Quality %</t>
        </is>
      </c>
      <c r="G3" s="19" t="inlineStr">
        <is>
          <t>Comms %</t>
        </is>
      </c>
      <c r="H3" s="19" t="inlineStr">
        <is>
          <t>Warranty %</t>
        </is>
      </c>
      <c r="I3" s="20" t="inlineStr">
        <is>
          <t>Total %</t>
        </is>
      </c>
      <c r="J3" s="20" t="inlineStr">
        <is>
          <t>Compliant tenders</t>
        </is>
      </c>
      <c r="K3" s="20" t="inlineStr">
        <is>
          <t>Recommended</t>
        </is>
      </c>
      <c r="L3" s="20" t="inlineStr">
        <is>
          <t>Score /100</t>
        </is>
      </c>
      <c r="M3" s="20" t="inlineStr">
        <is>
          <t>Levelled price ($)</t>
        </is>
      </c>
      <c r="N3" s="20" t="inlineStr">
        <is>
          <t>Over / (under) budget ($)</t>
        </is>
      </c>
      <c r="O3" s="20" t="inlineStr">
        <is>
          <t>Lead over #2 (points)</t>
        </is>
      </c>
      <c r="P3" s="19" t="inlineStr">
        <is>
          <t>Notes</t>
        </is>
      </c>
    </row>
    <row r="4">
      <c r="A4" s="7">
        <f>IF('Packages'!B4="","",'Packages'!B4)</f>
        <v/>
      </c>
      <c r="B4" s="9">
        <f>IF('Packages'!H4="","",'Packages'!H4)</f>
        <v/>
      </c>
      <c r="C4" t="n">
        <v>50</v>
      </c>
      <c r="D4" t="n">
        <v>15</v>
      </c>
      <c r="E4" t="n">
        <v>15</v>
      </c>
      <c r="F4" t="n">
        <v>10</v>
      </c>
      <c r="G4" t="n">
        <v>5</v>
      </c>
      <c r="H4" t="n">
        <v>5</v>
      </c>
      <c r="I4" s="7">
        <f>IF(A4="","",SUM(C4:H4))</f>
        <v/>
      </c>
      <c r="J4" s="7">
        <f>IF($A4="","",COUNTIFS('Tenders'!$A$4:$A$103,$A4,'Tenders'!$I$4:$I$103,"Yes"))</f>
        <v/>
      </c>
      <c r="K4" s="7">
        <f>IF($A4="","",IFERROR(INDEX('Tenders'!$B$4:$B$103,MATCH($A4&amp;"|1",'Tenders'!$AB$4:$AB$103,0)),""))</f>
        <v/>
      </c>
      <c r="L4" s="24">
        <f>IF($A4="","",IFERROR(INDEX('Tenders'!$Y$4:$Y$103,MATCH($A4&amp;"|1",'Tenders'!$AB$4:$AB$103,0)),""))</f>
        <v/>
      </c>
      <c r="M4" s="9">
        <f>IF($A4="","",IFERROR(INDEX('Tenders'!$N$4:$N$103,MATCH($A4&amp;"|1",'Tenders'!$AB$4:$AB$103,0)),""))</f>
        <v/>
      </c>
      <c r="N4" s="10">
        <f>IF(OR(M4="",N(B4)=0),"",M4-B4)</f>
        <v/>
      </c>
      <c r="O4" s="24">
        <f>IF($A4="","",IFERROR(L4-INDEX('Tenders'!$Y$4:$Y$103,MATCH($A4&amp;"|2",'Tenders'!$AB$4:$AB$103,0)),""))</f>
        <v/>
      </c>
      <c r="P4" s="6" t="n"/>
    </row>
    <row r="5">
      <c r="A5" s="7">
        <f>IF('Packages'!B5="","",'Packages'!B5)</f>
        <v/>
      </c>
      <c r="B5" s="9">
        <f>IF('Packages'!H5="","",'Packages'!H5)</f>
        <v/>
      </c>
      <c r="C5" t="n">
        <v>50</v>
      </c>
      <c r="D5" t="n">
        <v>15</v>
      </c>
      <c r="E5" t="n">
        <v>15</v>
      </c>
      <c r="F5" t="n">
        <v>10</v>
      </c>
      <c r="G5" t="n">
        <v>5</v>
      </c>
      <c r="H5" t="n">
        <v>5</v>
      </c>
      <c r="I5" s="7">
        <f>IF(A5="","",SUM(C5:H5))</f>
        <v/>
      </c>
      <c r="J5" s="7">
        <f>IF($A5="","",COUNTIFS('Tenders'!$A$4:$A$103,$A5,'Tenders'!$I$4:$I$103,"Yes"))</f>
        <v/>
      </c>
      <c r="K5" s="7">
        <f>IF($A5="","",IFERROR(INDEX('Tenders'!$B$4:$B$103,MATCH($A5&amp;"|1",'Tenders'!$AB$4:$AB$103,0)),""))</f>
        <v/>
      </c>
      <c r="L5" s="24">
        <f>IF($A5="","",IFERROR(INDEX('Tenders'!$Y$4:$Y$103,MATCH($A5&amp;"|1",'Tenders'!$AB$4:$AB$103,0)),""))</f>
        <v/>
      </c>
      <c r="M5" s="9">
        <f>IF($A5="","",IFERROR(INDEX('Tenders'!$N$4:$N$103,MATCH($A5&amp;"|1",'Tenders'!$AB$4:$AB$103,0)),""))</f>
        <v/>
      </c>
      <c r="N5" s="10">
        <f>IF(OR(M5="",N(B5)=0),"",M5-B5)</f>
        <v/>
      </c>
      <c r="O5" s="24">
        <f>IF($A5="","",IFERROR(L5-INDEX('Tenders'!$Y$4:$Y$103,MATCH($A5&amp;"|2",'Tenders'!$AB$4:$AB$103,0)),""))</f>
        <v/>
      </c>
      <c r="P5" s="6" t="n"/>
    </row>
    <row r="6">
      <c r="A6" s="7">
        <f>IF('Packages'!B6="","",'Packages'!B6)</f>
        <v/>
      </c>
      <c r="B6" s="9">
        <f>IF('Packages'!H6="","",'Packages'!H6)</f>
        <v/>
      </c>
      <c r="C6" t="n">
        <v>50</v>
      </c>
      <c r="D6" t="n">
        <v>15</v>
      </c>
      <c r="E6" t="n">
        <v>15</v>
      </c>
      <c r="F6" t="n">
        <v>10</v>
      </c>
      <c r="G6" t="n">
        <v>5</v>
      </c>
      <c r="H6" t="n">
        <v>5</v>
      </c>
      <c r="I6" s="7">
        <f>IF(A6="","",SUM(C6:H6))</f>
        <v/>
      </c>
      <c r="J6" s="7">
        <f>IF($A6="","",COUNTIFS('Tenders'!$A$4:$A$103,$A6,'Tenders'!$I$4:$I$103,"Yes"))</f>
        <v/>
      </c>
      <c r="K6" s="7">
        <f>IF($A6="","",IFERROR(INDEX('Tenders'!$B$4:$B$103,MATCH($A6&amp;"|1",'Tenders'!$AB$4:$AB$103,0)),""))</f>
        <v/>
      </c>
      <c r="L6" s="24">
        <f>IF($A6="","",IFERROR(INDEX('Tenders'!$Y$4:$Y$103,MATCH($A6&amp;"|1",'Tenders'!$AB$4:$AB$103,0)),""))</f>
        <v/>
      </c>
      <c r="M6" s="9">
        <f>IF($A6="","",IFERROR(INDEX('Tenders'!$N$4:$N$103,MATCH($A6&amp;"|1",'Tenders'!$AB$4:$AB$103,0)),""))</f>
        <v/>
      </c>
      <c r="N6" s="10">
        <f>IF(OR(M6="",N(B6)=0),"",M6-B6)</f>
        <v/>
      </c>
      <c r="O6" s="24">
        <f>IF($A6="","",IFERROR(L6-INDEX('Tenders'!$Y$4:$Y$103,MATCH($A6&amp;"|2",'Tenders'!$AB$4:$AB$103,0)),""))</f>
        <v/>
      </c>
      <c r="P6" s="6" t="n"/>
    </row>
    <row r="7">
      <c r="A7" s="7">
        <f>IF('Packages'!B7="","",'Packages'!B7)</f>
        <v/>
      </c>
      <c r="B7" s="9">
        <f>IF('Packages'!H7="","",'Packages'!H7)</f>
        <v/>
      </c>
      <c r="C7" t="n">
        <v>50</v>
      </c>
      <c r="D7" t="n">
        <v>15</v>
      </c>
      <c r="E7" t="n">
        <v>15</v>
      </c>
      <c r="F7" t="n">
        <v>10</v>
      </c>
      <c r="G7" t="n">
        <v>5</v>
      </c>
      <c r="H7" t="n">
        <v>5</v>
      </c>
      <c r="I7" s="7">
        <f>IF(A7="","",SUM(C7:H7))</f>
        <v/>
      </c>
      <c r="J7" s="7">
        <f>IF($A7="","",COUNTIFS('Tenders'!$A$4:$A$103,$A7,'Tenders'!$I$4:$I$103,"Yes"))</f>
        <v/>
      </c>
      <c r="K7" s="7">
        <f>IF($A7="","",IFERROR(INDEX('Tenders'!$B$4:$B$103,MATCH($A7&amp;"|1",'Tenders'!$AB$4:$AB$103,0)),""))</f>
        <v/>
      </c>
      <c r="L7" s="24">
        <f>IF($A7="","",IFERROR(INDEX('Tenders'!$Y$4:$Y$103,MATCH($A7&amp;"|1",'Tenders'!$AB$4:$AB$103,0)),""))</f>
        <v/>
      </c>
      <c r="M7" s="9">
        <f>IF($A7="","",IFERROR(INDEX('Tenders'!$N$4:$N$103,MATCH($A7&amp;"|1",'Tenders'!$AB$4:$AB$103,0)),""))</f>
        <v/>
      </c>
      <c r="N7" s="10">
        <f>IF(OR(M7="",N(B7)=0),"",M7-B7)</f>
        <v/>
      </c>
      <c r="O7" s="24">
        <f>IF($A7="","",IFERROR(L7-INDEX('Tenders'!$Y$4:$Y$103,MATCH($A7&amp;"|2",'Tenders'!$AB$4:$AB$103,0)),""))</f>
        <v/>
      </c>
      <c r="P7" s="6" t="n"/>
    </row>
    <row r="8">
      <c r="A8" s="7">
        <f>IF('Packages'!B8="","",'Packages'!B8)</f>
        <v/>
      </c>
      <c r="B8" s="9">
        <f>IF('Packages'!H8="","",'Packages'!H8)</f>
        <v/>
      </c>
      <c r="C8" t="n">
        <v>50</v>
      </c>
      <c r="D8" t="n">
        <v>15</v>
      </c>
      <c r="E8" t="n">
        <v>15</v>
      </c>
      <c r="F8" t="n">
        <v>10</v>
      </c>
      <c r="G8" t="n">
        <v>5</v>
      </c>
      <c r="H8" t="n">
        <v>5</v>
      </c>
      <c r="I8" s="7">
        <f>IF(A8="","",SUM(C8:H8))</f>
        <v/>
      </c>
      <c r="J8" s="7">
        <f>IF($A8="","",COUNTIFS('Tenders'!$A$4:$A$103,$A8,'Tenders'!$I$4:$I$103,"Yes"))</f>
        <v/>
      </c>
      <c r="K8" s="7">
        <f>IF($A8="","",IFERROR(INDEX('Tenders'!$B$4:$B$103,MATCH($A8&amp;"|1",'Tenders'!$AB$4:$AB$103,0)),""))</f>
        <v/>
      </c>
      <c r="L8" s="24">
        <f>IF($A8="","",IFERROR(INDEX('Tenders'!$Y$4:$Y$103,MATCH($A8&amp;"|1",'Tenders'!$AB$4:$AB$103,0)),""))</f>
        <v/>
      </c>
      <c r="M8" s="9">
        <f>IF($A8="","",IFERROR(INDEX('Tenders'!$N$4:$N$103,MATCH($A8&amp;"|1",'Tenders'!$AB$4:$AB$103,0)),""))</f>
        <v/>
      </c>
      <c r="N8" s="10">
        <f>IF(OR(M8="",N(B8)=0),"",M8-B8)</f>
        <v/>
      </c>
      <c r="O8" s="24">
        <f>IF($A8="","",IFERROR(L8-INDEX('Tenders'!$Y$4:$Y$103,MATCH($A8&amp;"|2",'Tenders'!$AB$4:$AB$103,0)),""))</f>
        <v/>
      </c>
      <c r="P8" s="6" t="n"/>
    </row>
    <row r="9">
      <c r="A9" s="7">
        <f>IF('Packages'!B9="","",'Packages'!B9)</f>
        <v/>
      </c>
      <c r="B9" s="9">
        <f>IF('Packages'!H9="","",'Packages'!H9)</f>
        <v/>
      </c>
      <c r="C9" t="n">
        <v>50</v>
      </c>
      <c r="D9" t="n">
        <v>15</v>
      </c>
      <c r="E9" t="n">
        <v>15</v>
      </c>
      <c r="F9" t="n">
        <v>10</v>
      </c>
      <c r="G9" t="n">
        <v>5</v>
      </c>
      <c r="H9" t="n">
        <v>5</v>
      </c>
      <c r="I9" s="7">
        <f>IF(A9="","",SUM(C9:H9))</f>
        <v/>
      </c>
      <c r="J9" s="7">
        <f>IF($A9="","",COUNTIFS('Tenders'!$A$4:$A$103,$A9,'Tenders'!$I$4:$I$103,"Yes"))</f>
        <v/>
      </c>
      <c r="K9" s="7">
        <f>IF($A9="","",IFERROR(INDEX('Tenders'!$B$4:$B$103,MATCH($A9&amp;"|1",'Tenders'!$AB$4:$AB$103,0)),""))</f>
        <v/>
      </c>
      <c r="L9" s="24">
        <f>IF($A9="","",IFERROR(INDEX('Tenders'!$Y$4:$Y$103,MATCH($A9&amp;"|1",'Tenders'!$AB$4:$AB$103,0)),""))</f>
        <v/>
      </c>
      <c r="M9" s="9">
        <f>IF($A9="","",IFERROR(INDEX('Tenders'!$N$4:$N$103,MATCH($A9&amp;"|1",'Tenders'!$AB$4:$AB$103,0)),""))</f>
        <v/>
      </c>
      <c r="N9" s="10">
        <f>IF(OR(M9="",N(B9)=0),"",M9-B9)</f>
        <v/>
      </c>
      <c r="O9" s="24">
        <f>IF($A9="","",IFERROR(L9-INDEX('Tenders'!$Y$4:$Y$103,MATCH($A9&amp;"|2",'Tenders'!$AB$4:$AB$103,0)),""))</f>
        <v/>
      </c>
      <c r="P9" s="6" t="n"/>
    </row>
    <row r="10">
      <c r="A10" s="7">
        <f>IF('Packages'!B10="","",'Packages'!B10)</f>
        <v/>
      </c>
      <c r="B10" s="9">
        <f>IF('Packages'!H10="","",'Packages'!H10)</f>
        <v/>
      </c>
      <c r="C10" t="n">
        <v>50</v>
      </c>
      <c r="D10" t="n">
        <v>15</v>
      </c>
      <c r="E10" t="n">
        <v>15</v>
      </c>
      <c r="F10" t="n">
        <v>10</v>
      </c>
      <c r="G10" t="n">
        <v>5</v>
      </c>
      <c r="H10" t="n">
        <v>5</v>
      </c>
      <c r="I10" s="7">
        <f>IF(A10="","",SUM(C10:H10))</f>
        <v/>
      </c>
      <c r="J10" s="7">
        <f>IF($A10="","",COUNTIFS('Tenders'!$A$4:$A$103,$A10,'Tenders'!$I$4:$I$103,"Yes"))</f>
        <v/>
      </c>
      <c r="K10" s="7">
        <f>IF($A10="","",IFERROR(INDEX('Tenders'!$B$4:$B$103,MATCH($A10&amp;"|1",'Tenders'!$AB$4:$AB$103,0)),""))</f>
        <v/>
      </c>
      <c r="L10" s="24">
        <f>IF($A10="","",IFERROR(INDEX('Tenders'!$Y$4:$Y$103,MATCH($A10&amp;"|1",'Tenders'!$AB$4:$AB$103,0)),""))</f>
        <v/>
      </c>
      <c r="M10" s="9">
        <f>IF($A10="","",IFERROR(INDEX('Tenders'!$N$4:$N$103,MATCH($A10&amp;"|1",'Tenders'!$AB$4:$AB$103,0)),""))</f>
        <v/>
      </c>
      <c r="N10" s="10">
        <f>IF(OR(M10="",N(B10)=0),"",M10-B10)</f>
        <v/>
      </c>
      <c r="O10" s="24">
        <f>IF($A10="","",IFERROR(L10-INDEX('Tenders'!$Y$4:$Y$103,MATCH($A10&amp;"|2",'Tenders'!$AB$4:$AB$103,0)),""))</f>
        <v/>
      </c>
      <c r="P10" s="6" t="n"/>
    </row>
    <row r="11">
      <c r="A11" s="7">
        <f>IF('Packages'!B11="","",'Packages'!B11)</f>
        <v/>
      </c>
      <c r="B11" s="9">
        <f>IF('Packages'!H11="","",'Packages'!H11)</f>
        <v/>
      </c>
      <c r="C11" t="n">
        <v>50</v>
      </c>
      <c r="D11" t="n">
        <v>15</v>
      </c>
      <c r="E11" t="n">
        <v>15</v>
      </c>
      <c r="F11" t="n">
        <v>10</v>
      </c>
      <c r="G11" t="n">
        <v>5</v>
      </c>
      <c r="H11" t="n">
        <v>5</v>
      </c>
      <c r="I11" s="7">
        <f>IF(A11="","",SUM(C11:H11))</f>
        <v/>
      </c>
      <c r="J11" s="7">
        <f>IF($A11="","",COUNTIFS('Tenders'!$A$4:$A$103,$A11,'Tenders'!$I$4:$I$103,"Yes"))</f>
        <v/>
      </c>
      <c r="K11" s="7">
        <f>IF($A11="","",IFERROR(INDEX('Tenders'!$B$4:$B$103,MATCH($A11&amp;"|1",'Tenders'!$AB$4:$AB$103,0)),""))</f>
        <v/>
      </c>
      <c r="L11" s="24">
        <f>IF($A11="","",IFERROR(INDEX('Tenders'!$Y$4:$Y$103,MATCH($A11&amp;"|1",'Tenders'!$AB$4:$AB$103,0)),""))</f>
        <v/>
      </c>
      <c r="M11" s="9">
        <f>IF($A11="","",IFERROR(INDEX('Tenders'!$N$4:$N$103,MATCH($A11&amp;"|1",'Tenders'!$AB$4:$AB$103,0)),""))</f>
        <v/>
      </c>
      <c r="N11" s="10">
        <f>IF(OR(M11="",N(B11)=0),"",M11-B11)</f>
        <v/>
      </c>
      <c r="O11" s="24">
        <f>IF($A11="","",IFERROR(L11-INDEX('Tenders'!$Y$4:$Y$103,MATCH($A11&amp;"|2",'Tenders'!$AB$4:$AB$103,0)),""))</f>
        <v/>
      </c>
      <c r="P11" s="6" t="n"/>
    </row>
    <row r="12">
      <c r="A12" s="7">
        <f>IF('Packages'!B12="","",'Packages'!B12)</f>
        <v/>
      </c>
      <c r="B12" s="9">
        <f>IF('Packages'!H12="","",'Packages'!H12)</f>
        <v/>
      </c>
      <c r="C12" t="n">
        <v>50</v>
      </c>
      <c r="D12" t="n">
        <v>15</v>
      </c>
      <c r="E12" t="n">
        <v>15</v>
      </c>
      <c r="F12" t="n">
        <v>10</v>
      </c>
      <c r="G12" t="n">
        <v>5</v>
      </c>
      <c r="H12" t="n">
        <v>5</v>
      </c>
      <c r="I12" s="7">
        <f>IF(A12="","",SUM(C12:H12))</f>
        <v/>
      </c>
      <c r="J12" s="7">
        <f>IF($A12="","",COUNTIFS('Tenders'!$A$4:$A$103,$A12,'Tenders'!$I$4:$I$103,"Yes"))</f>
        <v/>
      </c>
      <c r="K12" s="7">
        <f>IF($A12="","",IFERROR(INDEX('Tenders'!$B$4:$B$103,MATCH($A12&amp;"|1",'Tenders'!$AB$4:$AB$103,0)),""))</f>
        <v/>
      </c>
      <c r="L12" s="24">
        <f>IF($A12="","",IFERROR(INDEX('Tenders'!$Y$4:$Y$103,MATCH($A12&amp;"|1",'Tenders'!$AB$4:$AB$103,0)),""))</f>
        <v/>
      </c>
      <c r="M12" s="9">
        <f>IF($A12="","",IFERROR(INDEX('Tenders'!$N$4:$N$103,MATCH($A12&amp;"|1",'Tenders'!$AB$4:$AB$103,0)),""))</f>
        <v/>
      </c>
      <c r="N12" s="10">
        <f>IF(OR(M12="",N(B12)=0),"",M12-B12)</f>
        <v/>
      </c>
      <c r="O12" s="24">
        <f>IF($A12="","",IFERROR(L12-INDEX('Tenders'!$Y$4:$Y$103,MATCH($A12&amp;"|2",'Tenders'!$AB$4:$AB$103,0)),""))</f>
        <v/>
      </c>
      <c r="P12" s="6" t="n"/>
    </row>
    <row r="13">
      <c r="A13" s="7">
        <f>IF('Packages'!B13="","",'Packages'!B13)</f>
        <v/>
      </c>
      <c r="B13" s="9">
        <f>IF('Packages'!H13="","",'Packages'!H13)</f>
        <v/>
      </c>
      <c r="C13" t="n">
        <v>50</v>
      </c>
      <c r="D13" t="n">
        <v>15</v>
      </c>
      <c r="E13" t="n">
        <v>15</v>
      </c>
      <c r="F13" t="n">
        <v>10</v>
      </c>
      <c r="G13" t="n">
        <v>5</v>
      </c>
      <c r="H13" t="n">
        <v>5</v>
      </c>
      <c r="I13" s="7">
        <f>IF(A13="","",SUM(C13:H13))</f>
        <v/>
      </c>
      <c r="J13" s="7">
        <f>IF($A13="","",COUNTIFS('Tenders'!$A$4:$A$103,$A13,'Tenders'!$I$4:$I$103,"Yes"))</f>
        <v/>
      </c>
      <c r="K13" s="7">
        <f>IF($A13="","",IFERROR(INDEX('Tenders'!$B$4:$B$103,MATCH($A13&amp;"|1",'Tenders'!$AB$4:$AB$103,0)),""))</f>
        <v/>
      </c>
      <c r="L13" s="24">
        <f>IF($A13="","",IFERROR(INDEX('Tenders'!$Y$4:$Y$103,MATCH($A13&amp;"|1",'Tenders'!$AB$4:$AB$103,0)),""))</f>
        <v/>
      </c>
      <c r="M13" s="9">
        <f>IF($A13="","",IFERROR(INDEX('Tenders'!$N$4:$N$103,MATCH($A13&amp;"|1",'Tenders'!$AB$4:$AB$103,0)),""))</f>
        <v/>
      </c>
      <c r="N13" s="10">
        <f>IF(OR(M13="",N(B13)=0),"",M13-B13)</f>
        <v/>
      </c>
      <c r="O13" s="24">
        <f>IF($A13="","",IFERROR(L13-INDEX('Tenders'!$Y$4:$Y$103,MATCH($A13&amp;"|2",'Tenders'!$AB$4:$AB$103,0)),""))</f>
        <v/>
      </c>
      <c r="P13" s="6" t="n"/>
    </row>
    <row r="14">
      <c r="A14" s="7">
        <f>IF('Packages'!B14="","",'Packages'!B14)</f>
        <v/>
      </c>
      <c r="B14" s="9">
        <f>IF('Packages'!H14="","",'Packages'!H14)</f>
        <v/>
      </c>
      <c r="C14" t="n">
        <v>50</v>
      </c>
      <c r="D14" t="n">
        <v>15</v>
      </c>
      <c r="E14" t="n">
        <v>15</v>
      </c>
      <c r="F14" t="n">
        <v>10</v>
      </c>
      <c r="G14" t="n">
        <v>5</v>
      </c>
      <c r="H14" t="n">
        <v>5</v>
      </c>
      <c r="I14" s="7">
        <f>IF(A14="","",SUM(C14:H14))</f>
        <v/>
      </c>
      <c r="J14" s="7">
        <f>IF($A14="","",COUNTIFS('Tenders'!$A$4:$A$103,$A14,'Tenders'!$I$4:$I$103,"Yes"))</f>
        <v/>
      </c>
      <c r="K14" s="7">
        <f>IF($A14="","",IFERROR(INDEX('Tenders'!$B$4:$B$103,MATCH($A14&amp;"|1",'Tenders'!$AB$4:$AB$103,0)),""))</f>
        <v/>
      </c>
      <c r="L14" s="24">
        <f>IF($A14="","",IFERROR(INDEX('Tenders'!$Y$4:$Y$103,MATCH($A14&amp;"|1",'Tenders'!$AB$4:$AB$103,0)),""))</f>
        <v/>
      </c>
      <c r="M14" s="9">
        <f>IF($A14="","",IFERROR(INDEX('Tenders'!$N$4:$N$103,MATCH($A14&amp;"|1",'Tenders'!$AB$4:$AB$103,0)),""))</f>
        <v/>
      </c>
      <c r="N14" s="10">
        <f>IF(OR(M14="",N(B14)=0),"",M14-B14)</f>
        <v/>
      </c>
      <c r="O14" s="24">
        <f>IF($A14="","",IFERROR(L14-INDEX('Tenders'!$Y$4:$Y$103,MATCH($A14&amp;"|2",'Tenders'!$AB$4:$AB$103,0)),""))</f>
        <v/>
      </c>
      <c r="P14" s="6" t="n"/>
    </row>
    <row r="15">
      <c r="A15" s="7">
        <f>IF('Packages'!B15="","",'Packages'!B15)</f>
        <v/>
      </c>
      <c r="B15" s="9">
        <f>IF('Packages'!H15="","",'Packages'!H15)</f>
        <v/>
      </c>
      <c r="C15" t="n">
        <v>50</v>
      </c>
      <c r="D15" t="n">
        <v>15</v>
      </c>
      <c r="E15" t="n">
        <v>15</v>
      </c>
      <c r="F15" t="n">
        <v>10</v>
      </c>
      <c r="G15" t="n">
        <v>5</v>
      </c>
      <c r="H15" t="n">
        <v>5</v>
      </c>
      <c r="I15" s="7">
        <f>IF(A15="","",SUM(C15:H15))</f>
        <v/>
      </c>
      <c r="J15" s="7">
        <f>IF($A15="","",COUNTIFS('Tenders'!$A$4:$A$103,$A15,'Tenders'!$I$4:$I$103,"Yes"))</f>
        <v/>
      </c>
      <c r="K15" s="7">
        <f>IF($A15="","",IFERROR(INDEX('Tenders'!$B$4:$B$103,MATCH($A15&amp;"|1",'Tenders'!$AB$4:$AB$103,0)),""))</f>
        <v/>
      </c>
      <c r="L15" s="24">
        <f>IF($A15="","",IFERROR(INDEX('Tenders'!$Y$4:$Y$103,MATCH($A15&amp;"|1",'Tenders'!$AB$4:$AB$103,0)),""))</f>
        <v/>
      </c>
      <c r="M15" s="9">
        <f>IF($A15="","",IFERROR(INDEX('Tenders'!$N$4:$N$103,MATCH($A15&amp;"|1",'Tenders'!$AB$4:$AB$103,0)),""))</f>
        <v/>
      </c>
      <c r="N15" s="10">
        <f>IF(OR(M15="",N(B15)=0),"",M15-B15)</f>
        <v/>
      </c>
      <c r="O15" s="24">
        <f>IF($A15="","",IFERROR(L15-INDEX('Tenders'!$Y$4:$Y$103,MATCH($A15&amp;"|2",'Tenders'!$AB$4:$AB$103,0)),""))</f>
        <v/>
      </c>
      <c r="P15" s="6" t="n"/>
    </row>
    <row r="16">
      <c r="A16" s="7">
        <f>IF('Packages'!B16="","",'Packages'!B16)</f>
        <v/>
      </c>
      <c r="B16" s="9">
        <f>IF('Packages'!H16="","",'Packages'!H16)</f>
        <v/>
      </c>
      <c r="C16" t="n">
        <v>50</v>
      </c>
      <c r="D16" t="n">
        <v>15</v>
      </c>
      <c r="E16" t="n">
        <v>15</v>
      </c>
      <c r="F16" t="n">
        <v>10</v>
      </c>
      <c r="G16" t="n">
        <v>5</v>
      </c>
      <c r="H16" t="n">
        <v>5</v>
      </c>
      <c r="I16" s="7">
        <f>IF(A16="","",SUM(C16:H16))</f>
        <v/>
      </c>
      <c r="J16" s="7">
        <f>IF($A16="","",COUNTIFS('Tenders'!$A$4:$A$103,$A16,'Tenders'!$I$4:$I$103,"Yes"))</f>
        <v/>
      </c>
      <c r="K16" s="7">
        <f>IF($A16="","",IFERROR(INDEX('Tenders'!$B$4:$B$103,MATCH($A16&amp;"|1",'Tenders'!$AB$4:$AB$103,0)),""))</f>
        <v/>
      </c>
      <c r="L16" s="24">
        <f>IF($A16="","",IFERROR(INDEX('Tenders'!$Y$4:$Y$103,MATCH($A16&amp;"|1",'Tenders'!$AB$4:$AB$103,0)),""))</f>
        <v/>
      </c>
      <c r="M16" s="9">
        <f>IF($A16="","",IFERROR(INDEX('Tenders'!$N$4:$N$103,MATCH($A16&amp;"|1",'Tenders'!$AB$4:$AB$103,0)),""))</f>
        <v/>
      </c>
      <c r="N16" s="10">
        <f>IF(OR(M16="",N(B16)=0),"",M16-B16)</f>
        <v/>
      </c>
      <c r="O16" s="24">
        <f>IF($A16="","",IFERROR(L16-INDEX('Tenders'!$Y$4:$Y$103,MATCH($A16&amp;"|2",'Tenders'!$AB$4:$AB$103,0)),""))</f>
        <v/>
      </c>
      <c r="P16" s="6" t="n"/>
    </row>
    <row r="17">
      <c r="A17" s="7">
        <f>IF('Packages'!B17="","",'Packages'!B17)</f>
        <v/>
      </c>
      <c r="B17" s="9">
        <f>IF('Packages'!H17="","",'Packages'!H17)</f>
        <v/>
      </c>
      <c r="C17" t="n">
        <v>50</v>
      </c>
      <c r="D17" t="n">
        <v>15</v>
      </c>
      <c r="E17" t="n">
        <v>15</v>
      </c>
      <c r="F17" t="n">
        <v>10</v>
      </c>
      <c r="G17" t="n">
        <v>5</v>
      </c>
      <c r="H17" t="n">
        <v>5</v>
      </c>
      <c r="I17" s="7">
        <f>IF(A17="","",SUM(C17:H17))</f>
        <v/>
      </c>
      <c r="J17" s="7">
        <f>IF($A17="","",COUNTIFS('Tenders'!$A$4:$A$103,$A17,'Tenders'!$I$4:$I$103,"Yes"))</f>
        <v/>
      </c>
      <c r="K17" s="7">
        <f>IF($A17="","",IFERROR(INDEX('Tenders'!$B$4:$B$103,MATCH($A17&amp;"|1",'Tenders'!$AB$4:$AB$103,0)),""))</f>
        <v/>
      </c>
      <c r="L17" s="24">
        <f>IF($A17="","",IFERROR(INDEX('Tenders'!$Y$4:$Y$103,MATCH($A17&amp;"|1",'Tenders'!$AB$4:$AB$103,0)),""))</f>
        <v/>
      </c>
      <c r="M17" s="9">
        <f>IF($A17="","",IFERROR(INDEX('Tenders'!$N$4:$N$103,MATCH($A17&amp;"|1",'Tenders'!$AB$4:$AB$103,0)),""))</f>
        <v/>
      </c>
      <c r="N17" s="10">
        <f>IF(OR(M17="",N(B17)=0),"",M17-B17)</f>
        <v/>
      </c>
      <c r="O17" s="24">
        <f>IF($A17="","",IFERROR(L17-INDEX('Tenders'!$Y$4:$Y$103,MATCH($A17&amp;"|2",'Tenders'!$AB$4:$AB$103,0)),""))</f>
        <v/>
      </c>
      <c r="P17" s="6" t="n"/>
    </row>
    <row r="18">
      <c r="A18" s="7">
        <f>IF('Packages'!B18="","",'Packages'!B18)</f>
        <v/>
      </c>
      <c r="B18" s="9">
        <f>IF('Packages'!H18="","",'Packages'!H18)</f>
        <v/>
      </c>
      <c r="C18" t="n">
        <v>50</v>
      </c>
      <c r="D18" t="n">
        <v>15</v>
      </c>
      <c r="E18" t="n">
        <v>15</v>
      </c>
      <c r="F18" t="n">
        <v>10</v>
      </c>
      <c r="G18" t="n">
        <v>5</v>
      </c>
      <c r="H18" t="n">
        <v>5</v>
      </c>
      <c r="I18" s="7">
        <f>IF(A18="","",SUM(C18:H18))</f>
        <v/>
      </c>
      <c r="J18" s="7">
        <f>IF($A18="","",COUNTIFS('Tenders'!$A$4:$A$103,$A18,'Tenders'!$I$4:$I$103,"Yes"))</f>
        <v/>
      </c>
      <c r="K18" s="7">
        <f>IF($A18="","",IFERROR(INDEX('Tenders'!$B$4:$B$103,MATCH($A18&amp;"|1",'Tenders'!$AB$4:$AB$103,0)),""))</f>
        <v/>
      </c>
      <c r="L18" s="24">
        <f>IF($A18="","",IFERROR(INDEX('Tenders'!$Y$4:$Y$103,MATCH($A18&amp;"|1",'Tenders'!$AB$4:$AB$103,0)),""))</f>
        <v/>
      </c>
      <c r="M18" s="9">
        <f>IF($A18="","",IFERROR(INDEX('Tenders'!$N$4:$N$103,MATCH($A18&amp;"|1",'Tenders'!$AB$4:$AB$103,0)),""))</f>
        <v/>
      </c>
      <c r="N18" s="10">
        <f>IF(OR(M18="",N(B18)=0),"",M18-B18)</f>
        <v/>
      </c>
      <c r="O18" s="24">
        <f>IF($A18="","",IFERROR(L18-INDEX('Tenders'!$Y$4:$Y$103,MATCH($A18&amp;"|2",'Tenders'!$AB$4:$AB$103,0)),""))</f>
        <v/>
      </c>
      <c r="P18" s="6" t="n"/>
    </row>
    <row r="19">
      <c r="A19" s="7">
        <f>IF('Packages'!B19="","",'Packages'!B19)</f>
        <v/>
      </c>
      <c r="B19" s="9">
        <f>IF('Packages'!H19="","",'Packages'!H19)</f>
        <v/>
      </c>
      <c r="C19" t="n">
        <v>50</v>
      </c>
      <c r="D19" t="n">
        <v>15</v>
      </c>
      <c r="E19" t="n">
        <v>15</v>
      </c>
      <c r="F19" t="n">
        <v>10</v>
      </c>
      <c r="G19" t="n">
        <v>5</v>
      </c>
      <c r="H19" t="n">
        <v>5</v>
      </c>
      <c r="I19" s="7">
        <f>IF(A19="","",SUM(C19:H19))</f>
        <v/>
      </c>
      <c r="J19" s="7">
        <f>IF($A19="","",COUNTIFS('Tenders'!$A$4:$A$103,$A19,'Tenders'!$I$4:$I$103,"Yes"))</f>
        <v/>
      </c>
      <c r="K19" s="7">
        <f>IF($A19="","",IFERROR(INDEX('Tenders'!$B$4:$B$103,MATCH($A19&amp;"|1",'Tenders'!$AB$4:$AB$103,0)),""))</f>
        <v/>
      </c>
      <c r="L19" s="24">
        <f>IF($A19="","",IFERROR(INDEX('Tenders'!$Y$4:$Y$103,MATCH($A19&amp;"|1",'Tenders'!$AB$4:$AB$103,0)),""))</f>
        <v/>
      </c>
      <c r="M19" s="9">
        <f>IF($A19="","",IFERROR(INDEX('Tenders'!$N$4:$N$103,MATCH($A19&amp;"|1",'Tenders'!$AB$4:$AB$103,0)),""))</f>
        <v/>
      </c>
      <c r="N19" s="10">
        <f>IF(OR(M19="",N(B19)=0),"",M19-B19)</f>
        <v/>
      </c>
      <c r="O19" s="24">
        <f>IF($A19="","",IFERROR(L19-INDEX('Tenders'!$Y$4:$Y$103,MATCH($A19&amp;"|2",'Tenders'!$AB$4:$AB$103,0)),""))</f>
        <v/>
      </c>
      <c r="P19" s="6" t="n"/>
    </row>
    <row r="20">
      <c r="A20" s="7">
        <f>IF('Packages'!B20="","",'Packages'!B20)</f>
        <v/>
      </c>
      <c r="B20" s="9">
        <f>IF('Packages'!H20="","",'Packages'!H20)</f>
        <v/>
      </c>
      <c r="C20" t="n">
        <v>50</v>
      </c>
      <c r="D20" t="n">
        <v>15</v>
      </c>
      <c r="E20" t="n">
        <v>15</v>
      </c>
      <c r="F20" t="n">
        <v>10</v>
      </c>
      <c r="G20" t="n">
        <v>5</v>
      </c>
      <c r="H20" t="n">
        <v>5</v>
      </c>
      <c r="I20" s="7">
        <f>IF(A20="","",SUM(C20:H20))</f>
        <v/>
      </c>
      <c r="J20" s="7">
        <f>IF($A20="","",COUNTIFS('Tenders'!$A$4:$A$103,$A20,'Tenders'!$I$4:$I$103,"Yes"))</f>
        <v/>
      </c>
      <c r="K20" s="7">
        <f>IF($A20="","",IFERROR(INDEX('Tenders'!$B$4:$B$103,MATCH($A20&amp;"|1",'Tenders'!$AB$4:$AB$103,0)),""))</f>
        <v/>
      </c>
      <c r="L20" s="24">
        <f>IF($A20="","",IFERROR(INDEX('Tenders'!$Y$4:$Y$103,MATCH($A20&amp;"|1",'Tenders'!$AB$4:$AB$103,0)),""))</f>
        <v/>
      </c>
      <c r="M20" s="9">
        <f>IF($A20="","",IFERROR(INDEX('Tenders'!$N$4:$N$103,MATCH($A20&amp;"|1",'Tenders'!$AB$4:$AB$103,0)),""))</f>
        <v/>
      </c>
      <c r="N20" s="10">
        <f>IF(OR(M20="",N(B20)=0),"",M20-B20)</f>
        <v/>
      </c>
      <c r="O20" s="24">
        <f>IF($A20="","",IFERROR(L20-INDEX('Tenders'!$Y$4:$Y$103,MATCH($A20&amp;"|2",'Tenders'!$AB$4:$AB$103,0)),""))</f>
        <v/>
      </c>
      <c r="P20" s="6" t="n"/>
    </row>
    <row r="21">
      <c r="A21" s="7">
        <f>IF('Packages'!B21="","",'Packages'!B21)</f>
        <v/>
      </c>
      <c r="B21" s="9">
        <f>IF('Packages'!H21="","",'Packages'!H21)</f>
        <v/>
      </c>
      <c r="C21" t="n">
        <v>50</v>
      </c>
      <c r="D21" t="n">
        <v>15</v>
      </c>
      <c r="E21" t="n">
        <v>15</v>
      </c>
      <c r="F21" t="n">
        <v>10</v>
      </c>
      <c r="G21" t="n">
        <v>5</v>
      </c>
      <c r="H21" t="n">
        <v>5</v>
      </c>
      <c r="I21" s="7">
        <f>IF(A21="","",SUM(C21:H21))</f>
        <v/>
      </c>
      <c r="J21" s="7">
        <f>IF($A21="","",COUNTIFS('Tenders'!$A$4:$A$103,$A21,'Tenders'!$I$4:$I$103,"Yes"))</f>
        <v/>
      </c>
      <c r="K21" s="7">
        <f>IF($A21="","",IFERROR(INDEX('Tenders'!$B$4:$B$103,MATCH($A21&amp;"|1",'Tenders'!$AB$4:$AB$103,0)),""))</f>
        <v/>
      </c>
      <c r="L21" s="24">
        <f>IF($A21="","",IFERROR(INDEX('Tenders'!$Y$4:$Y$103,MATCH($A21&amp;"|1",'Tenders'!$AB$4:$AB$103,0)),""))</f>
        <v/>
      </c>
      <c r="M21" s="9">
        <f>IF($A21="","",IFERROR(INDEX('Tenders'!$N$4:$N$103,MATCH($A21&amp;"|1",'Tenders'!$AB$4:$AB$103,0)),""))</f>
        <v/>
      </c>
      <c r="N21" s="10">
        <f>IF(OR(M21="",N(B21)=0),"",M21-B21)</f>
        <v/>
      </c>
      <c r="O21" s="24">
        <f>IF($A21="","",IFERROR(L21-INDEX('Tenders'!$Y$4:$Y$103,MATCH($A21&amp;"|2",'Tenders'!$AB$4:$AB$103,0)),""))</f>
        <v/>
      </c>
      <c r="P21" s="6" t="n"/>
    </row>
    <row r="22">
      <c r="A22" s="7">
        <f>IF('Packages'!B22="","",'Packages'!B22)</f>
        <v/>
      </c>
      <c r="B22" s="9">
        <f>IF('Packages'!H22="","",'Packages'!H22)</f>
        <v/>
      </c>
      <c r="C22" t="n">
        <v>50</v>
      </c>
      <c r="D22" t="n">
        <v>15</v>
      </c>
      <c r="E22" t="n">
        <v>15</v>
      </c>
      <c r="F22" t="n">
        <v>10</v>
      </c>
      <c r="G22" t="n">
        <v>5</v>
      </c>
      <c r="H22" t="n">
        <v>5</v>
      </c>
      <c r="I22" s="7">
        <f>IF(A22="","",SUM(C22:H22))</f>
        <v/>
      </c>
      <c r="J22" s="7">
        <f>IF($A22="","",COUNTIFS('Tenders'!$A$4:$A$103,$A22,'Tenders'!$I$4:$I$103,"Yes"))</f>
        <v/>
      </c>
      <c r="K22" s="7">
        <f>IF($A22="","",IFERROR(INDEX('Tenders'!$B$4:$B$103,MATCH($A22&amp;"|1",'Tenders'!$AB$4:$AB$103,0)),""))</f>
        <v/>
      </c>
      <c r="L22" s="24">
        <f>IF($A22="","",IFERROR(INDEX('Tenders'!$Y$4:$Y$103,MATCH($A22&amp;"|1",'Tenders'!$AB$4:$AB$103,0)),""))</f>
        <v/>
      </c>
      <c r="M22" s="9">
        <f>IF($A22="","",IFERROR(INDEX('Tenders'!$N$4:$N$103,MATCH($A22&amp;"|1",'Tenders'!$AB$4:$AB$103,0)),""))</f>
        <v/>
      </c>
      <c r="N22" s="10">
        <f>IF(OR(M22="",N(B22)=0),"",M22-B22)</f>
        <v/>
      </c>
      <c r="O22" s="24">
        <f>IF($A22="","",IFERROR(L22-INDEX('Tenders'!$Y$4:$Y$103,MATCH($A22&amp;"|2",'Tenders'!$AB$4:$AB$103,0)),""))</f>
        <v/>
      </c>
      <c r="P22" s="6" t="n"/>
    </row>
    <row r="23">
      <c r="A23" s="7">
        <f>IF('Packages'!B23="","",'Packages'!B23)</f>
        <v/>
      </c>
      <c r="B23" s="9">
        <f>IF('Packages'!H23="","",'Packages'!H23)</f>
        <v/>
      </c>
      <c r="C23" t="n">
        <v>50</v>
      </c>
      <c r="D23" t="n">
        <v>15</v>
      </c>
      <c r="E23" t="n">
        <v>15</v>
      </c>
      <c r="F23" t="n">
        <v>10</v>
      </c>
      <c r="G23" t="n">
        <v>5</v>
      </c>
      <c r="H23" t="n">
        <v>5</v>
      </c>
      <c r="I23" s="7">
        <f>IF(A23="","",SUM(C23:H23))</f>
        <v/>
      </c>
      <c r="J23" s="7">
        <f>IF($A23="","",COUNTIFS('Tenders'!$A$4:$A$103,$A23,'Tenders'!$I$4:$I$103,"Yes"))</f>
        <v/>
      </c>
      <c r="K23" s="7">
        <f>IF($A23="","",IFERROR(INDEX('Tenders'!$B$4:$B$103,MATCH($A23&amp;"|1",'Tenders'!$AB$4:$AB$103,0)),""))</f>
        <v/>
      </c>
      <c r="L23" s="24">
        <f>IF($A23="","",IFERROR(INDEX('Tenders'!$Y$4:$Y$103,MATCH($A23&amp;"|1",'Tenders'!$AB$4:$AB$103,0)),""))</f>
        <v/>
      </c>
      <c r="M23" s="9">
        <f>IF($A23="","",IFERROR(INDEX('Tenders'!$N$4:$N$103,MATCH($A23&amp;"|1",'Tenders'!$AB$4:$AB$103,0)),""))</f>
        <v/>
      </c>
      <c r="N23" s="10">
        <f>IF(OR(M23="",N(B23)=0),"",M23-B23)</f>
        <v/>
      </c>
      <c r="O23" s="24">
        <f>IF($A23="","",IFERROR(L23-INDEX('Tenders'!$Y$4:$Y$103,MATCH($A23&amp;"|2",'Tenders'!$AB$4:$AB$103,0)),""))</f>
        <v/>
      </c>
      <c r="P23" s="6" t="n"/>
    </row>
    <row r="24">
      <c r="A24" s="7">
        <f>IF('Packages'!B24="","",'Packages'!B24)</f>
        <v/>
      </c>
      <c r="B24" s="9">
        <f>IF('Packages'!H24="","",'Packages'!H24)</f>
        <v/>
      </c>
      <c r="C24" t="n">
        <v>50</v>
      </c>
      <c r="D24" t="n">
        <v>15</v>
      </c>
      <c r="E24" t="n">
        <v>15</v>
      </c>
      <c r="F24" t="n">
        <v>10</v>
      </c>
      <c r="G24" t="n">
        <v>5</v>
      </c>
      <c r="H24" t="n">
        <v>5</v>
      </c>
      <c r="I24" s="7">
        <f>IF(A24="","",SUM(C24:H24))</f>
        <v/>
      </c>
      <c r="J24" s="7">
        <f>IF($A24="","",COUNTIFS('Tenders'!$A$4:$A$103,$A24,'Tenders'!$I$4:$I$103,"Yes"))</f>
        <v/>
      </c>
      <c r="K24" s="7">
        <f>IF($A24="","",IFERROR(INDEX('Tenders'!$B$4:$B$103,MATCH($A24&amp;"|1",'Tenders'!$AB$4:$AB$103,0)),""))</f>
        <v/>
      </c>
      <c r="L24" s="24">
        <f>IF($A24="","",IFERROR(INDEX('Tenders'!$Y$4:$Y$103,MATCH($A24&amp;"|1",'Tenders'!$AB$4:$AB$103,0)),""))</f>
        <v/>
      </c>
      <c r="M24" s="9">
        <f>IF($A24="","",IFERROR(INDEX('Tenders'!$N$4:$N$103,MATCH($A24&amp;"|1",'Tenders'!$AB$4:$AB$103,0)),""))</f>
        <v/>
      </c>
      <c r="N24" s="10">
        <f>IF(OR(M24="",N(B24)=0),"",M24-B24)</f>
        <v/>
      </c>
      <c r="O24" s="24">
        <f>IF($A24="","",IFERROR(L24-INDEX('Tenders'!$Y$4:$Y$103,MATCH($A24&amp;"|2",'Tenders'!$AB$4:$AB$103,0)),""))</f>
        <v/>
      </c>
      <c r="P24" s="6" t="n"/>
    </row>
    <row r="25">
      <c r="A25" s="7">
        <f>IF('Packages'!B25="","",'Packages'!B25)</f>
        <v/>
      </c>
      <c r="B25" s="9">
        <f>IF('Packages'!H25="","",'Packages'!H25)</f>
        <v/>
      </c>
      <c r="C25" t="n">
        <v>50</v>
      </c>
      <c r="D25" t="n">
        <v>15</v>
      </c>
      <c r="E25" t="n">
        <v>15</v>
      </c>
      <c r="F25" t="n">
        <v>10</v>
      </c>
      <c r="G25" t="n">
        <v>5</v>
      </c>
      <c r="H25" t="n">
        <v>5</v>
      </c>
      <c r="I25" s="7">
        <f>IF(A25="","",SUM(C25:H25))</f>
        <v/>
      </c>
      <c r="J25" s="7">
        <f>IF($A25="","",COUNTIFS('Tenders'!$A$4:$A$103,$A25,'Tenders'!$I$4:$I$103,"Yes"))</f>
        <v/>
      </c>
      <c r="K25" s="7">
        <f>IF($A25="","",IFERROR(INDEX('Tenders'!$B$4:$B$103,MATCH($A25&amp;"|1",'Tenders'!$AB$4:$AB$103,0)),""))</f>
        <v/>
      </c>
      <c r="L25" s="24">
        <f>IF($A25="","",IFERROR(INDEX('Tenders'!$Y$4:$Y$103,MATCH($A25&amp;"|1",'Tenders'!$AB$4:$AB$103,0)),""))</f>
        <v/>
      </c>
      <c r="M25" s="9">
        <f>IF($A25="","",IFERROR(INDEX('Tenders'!$N$4:$N$103,MATCH($A25&amp;"|1",'Tenders'!$AB$4:$AB$103,0)),""))</f>
        <v/>
      </c>
      <c r="N25" s="10">
        <f>IF(OR(M25="",N(B25)=0),"",M25-B25)</f>
        <v/>
      </c>
      <c r="O25" s="24">
        <f>IF($A25="","",IFERROR(L25-INDEX('Tenders'!$Y$4:$Y$103,MATCH($A25&amp;"|2",'Tenders'!$AB$4:$AB$103,0)),""))</f>
        <v/>
      </c>
      <c r="P25" s="6" t="n"/>
    </row>
    <row r="26">
      <c r="A26" s="7">
        <f>IF('Packages'!B26="","",'Packages'!B26)</f>
        <v/>
      </c>
      <c r="B26" s="9">
        <f>IF('Packages'!H26="","",'Packages'!H26)</f>
        <v/>
      </c>
      <c r="C26" t="n">
        <v>50</v>
      </c>
      <c r="D26" t="n">
        <v>15</v>
      </c>
      <c r="E26" t="n">
        <v>15</v>
      </c>
      <c r="F26" t="n">
        <v>10</v>
      </c>
      <c r="G26" t="n">
        <v>5</v>
      </c>
      <c r="H26" t="n">
        <v>5</v>
      </c>
      <c r="I26" s="7">
        <f>IF(A26="","",SUM(C26:H26))</f>
        <v/>
      </c>
      <c r="J26" s="7">
        <f>IF($A26="","",COUNTIFS('Tenders'!$A$4:$A$103,$A26,'Tenders'!$I$4:$I$103,"Yes"))</f>
        <v/>
      </c>
      <c r="K26" s="7">
        <f>IF($A26="","",IFERROR(INDEX('Tenders'!$B$4:$B$103,MATCH($A26&amp;"|1",'Tenders'!$AB$4:$AB$103,0)),""))</f>
        <v/>
      </c>
      <c r="L26" s="24">
        <f>IF($A26="","",IFERROR(INDEX('Tenders'!$Y$4:$Y$103,MATCH($A26&amp;"|1",'Tenders'!$AB$4:$AB$103,0)),""))</f>
        <v/>
      </c>
      <c r="M26" s="9">
        <f>IF($A26="","",IFERROR(INDEX('Tenders'!$N$4:$N$103,MATCH($A26&amp;"|1",'Tenders'!$AB$4:$AB$103,0)),""))</f>
        <v/>
      </c>
      <c r="N26" s="10">
        <f>IF(OR(M26="",N(B26)=0),"",M26-B26)</f>
        <v/>
      </c>
      <c r="O26" s="24">
        <f>IF($A26="","",IFERROR(L26-INDEX('Tenders'!$Y$4:$Y$103,MATCH($A26&amp;"|2",'Tenders'!$AB$4:$AB$103,0)),""))</f>
        <v/>
      </c>
      <c r="P26" s="6" t="n"/>
    </row>
    <row r="27">
      <c r="A27" s="7">
        <f>IF('Packages'!B27="","",'Packages'!B27)</f>
        <v/>
      </c>
      <c r="B27" s="9">
        <f>IF('Packages'!H27="","",'Packages'!H27)</f>
        <v/>
      </c>
      <c r="C27" t="n">
        <v>50</v>
      </c>
      <c r="D27" t="n">
        <v>15</v>
      </c>
      <c r="E27" t="n">
        <v>15</v>
      </c>
      <c r="F27" t="n">
        <v>10</v>
      </c>
      <c r="G27" t="n">
        <v>5</v>
      </c>
      <c r="H27" t="n">
        <v>5</v>
      </c>
      <c r="I27" s="7">
        <f>IF(A27="","",SUM(C27:H27))</f>
        <v/>
      </c>
      <c r="J27" s="7">
        <f>IF($A27="","",COUNTIFS('Tenders'!$A$4:$A$103,$A27,'Tenders'!$I$4:$I$103,"Yes"))</f>
        <v/>
      </c>
      <c r="K27" s="7">
        <f>IF($A27="","",IFERROR(INDEX('Tenders'!$B$4:$B$103,MATCH($A27&amp;"|1",'Tenders'!$AB$4:$AB$103,0)),""))</f>
        <v/>
      </c>
      <c r="L27" s="24">
        <f>IF($A27="","",IFERROR(INDEX('Tenders'!$Y$4:$Y$103,MATCH($A27&amp;"|1",'Tenders'!$AB$4:$AB$103,0)),""))</f>
        <v/>
      </c>
      <c r="M27" s="9">
        <f>IF($A27="","",IFERROR(INDEX('Tenders'!$N$4:$N$103,MATCH($A27&amp;"|1",'Tenders'!$AB$4:$AB$103,0)),""))</f>
        <v/>
      </c>
      <c r="N27" s="10">
        <f>IF(OR(M27="",N(B27)=0),"",M27-B27)</f>
        <v/>
      </c>
      <c r="O27" s="24">
        <f>IF($A27="","",IFERROR(L27-INDEX('Tenders'!$Y$4:$Y$103,MATCH($A27&amp;"|2",'Tenders'!$AB$4:$AB$103,0)),""))</f>
        <v/>
      </c>
      <c r="P27" s="6" t="n"/>
    </row>
    <row r="28">
      <c r="A28" s="7">
        <f>IF('Packages'!B28="","",'Packages'!B28)</f>
        <v/>
      </c>
      <c r="B28" s="9">
        <f>IF('Packages'!H28="","",'Packages'!H28)</f>
        <v/>
      </c>
      <c r="C28" t="n">
        <v>50</v>
      </c>
      <c r="D28" t="n">
        <v>15</v>
      </c>
      <c r="E28" t="n">
        <v>15</v>
      </c>
      <c r="F28" t="n">
        <v>10</v>
      </c>
      <c r="G28" t="n">
        <v>5</v>
      </c>
      <c r="H28" t="n">
        <v>5</v>
      </c>
      <c r="I28" s="7">
        <f>IF(A28="","",SUM(C28:H28))</f>
        <v/>
      </c>
      <c r="J28" s="7">
        <f>IF($A28="","",COUNTIFS('Tenders'!$A$4:$A$103,$A28,'Tenders'!$I$4:$I$103,"Yes"))</f>
        <v/>
      </c>
      <c r="K28" s="7">
        <f>IF($A28="","",IFERROR(INDEX('Tenders'!$B$4:$B$103,MATCH($A28&amp;"|1",'Tenders'!$AB$4:$AB$103,0)),""))</f>
        <v/>
      </c>
      <c r="L28" s="24">
        <f>IF($A28="","",IFERROR(INDEX('Tenders'!$Y$4:$Y$103,MATCH($A28&amp;"|1",'Tenders'!$AB$4:$AB$103,0)),""))</f>
        <v/>
      </c>
      <c r="M28" s="9">
        <f>IF($A28="","",IFERROR(INDEX('Tenders'!$N$4:$N$103,MATCH($A28&amp;"|1",'Tenders'!$AB$4:$AB$103,0)),""))</f>
        <v/>
      </c>
      <c r="N28" s="10">
        <f>IF(OR(M28="",N(B28)=0),"",M28-B28)</f>
        <v/>
      </c>
      <c r="O28" s="24">
        <f>IF($A28="","",IFERROR(L28-INDEX('Tenders'!$Y$4:$Y$103,MATCH($A28&amp;"|2",'Tenders'!$AB$4:$AB$103,0)),""))</f>
        <v/>
      </c>
      <c r="P28" s="6" t="n"/>
    </row>
    <row r="29">
      <c r="A29" s="7">
        <f>IF('Packages'!B29="","",'Packages'!B29)</f>
        <v/>
      </c>
      <c r="B29" s="9">
        <f>IF('Packages'!H29="","",'Packages'!H29)</f>
        <v/>
      </c>
      <c r="C29" t="n">
        <v>50</v>
      </c>
      <c r="D29" t="n">
        <v>15</v>
      </c>
      <c r="E29" t="n">
        <v>15</v>
      </c>
      <c r="F29" t="n">
        <v>10</v>
      </c>
      <c r="G29" t="n">
        <v>5</v>
      </c>
      <c r="H29" t="n">
        <v>5</v>
      </c>
      <c r="I29" s="7">
        <f>IF(A29="","",SUM(C29:H29))</f>
        <v/>
      </c>
      <c r="J29" s="7">
        <f>IF($A29="","",COUNTIFS('Tenders'!$A$4:$A$103,$A29,'Tenders'!$I$4:$I$103,"Yes"))</f>
        <v/>
      </c>
      <c r="K29" s="7">
        <f>IF($A29="","",IFERROR(INDEX('Tenders'!$B$4:$B$103,MATCH($A29&amp;"|1",'Tenders'!$AB$4:$AB$103,0)),""))</f>
        <v/>
      </c>
      <c r="L29" s="24">
        <f>IF($A29="","",IFERROR(INDEX('Tenders'!$Y$4:$Y$103,MATCH($A29&amp;"|1",'Tenders'!$AB$4:$AB$103,0)),""))</f>
        <v/>
      </c>
      <c r="M29" s="9">
        <f>IF($A29="","",IFERROR(INDEX('Tenders'!$N$4:$N$103,MATCH($A29&amp;"|1",'Tenders'!$AB$4:$AB$103,0)),""))</f>
        <v/>
      </c>
      <c r="N29" s="10">
        <f>IF(OR(M29="",N(B29)=0),"",M29-B29)</f>
        <v/>
      </c>
      <c r="O29" s="24">
        <f>IF($A29="","",IFERROR(L29-INDEX('Tenders'!$Y$4:$Y$103,MATCH($A29&amp;"|2",'Tenders'!$AB$4:$AB$103,0)),""))</f>
        <v/>
      </c>
      <c r="P29" s="6" t="n"/>
    </row>
    <row r="30">
      <c r="A30" s="7">
        <f>IF('Packages'!B30="","",'Packages'!B30)</f>
        <v/>
      </c>
      <c r="B30" s="9">
        <f>IF('Packages'!H30="","",'Packages'!H30)</f>
        <v/>
      </c>
      <c r="C30" t="n">
        <v>50</v>
      </c>
      <c r="D30" t="n">
        <v>15</v>
      </c>
      <c r="E30" t="n">
        <v>15</v>
      </c>
      <c r="F30" t="n">
        <v>10</v>
      </c>
      <c r="G30" t="n">
        <v>5</v>
      </c>
      <c r="H30" t="n">
        <v>5</v>
      </c>
      <c r="I30" s="7">
        <f>IF(A30="","",SUM(C30:H30))</f>
        <v/>
      </c>
      <c r="J30" s="7">
        <f>IF($A30="","",COUNTIFS('Tenders'!$A$4:$A$103,$A30,'Tenders'!$I$4:$I$103,"Yes"))</f>
        <v/>
      </c>
      <c r="K30" s="7">
        <f>IF($A30="","",IFERROR(INDEX('Tenders'!$B$4:$B$103,MATCH($A30&amp;"|1",'Tenders'!$AB$4:$AB$103,0)),""))</f>
        <v/>
      </c>
      <c r="L30" s="24">
        <f>IF($A30="","",IFERROR(INDEX('Tenders'!$Y$4:$Y$103,MATCH($A30&amp;"|1",'Tenders'!$AB$4:$AB$103,0)),""))</f>
        <v/>
      </c>
      <c r="M30" s="9">
        <f>IF($A30="","",IFERROR(INDEX('Tenders'!$N$4:$N$103,MATCH($A30&amp;"|1",'Tenders'!$AB$4:$AB$103,0)),""))</f>
        <v/>
      </c>
      <c r="N30" s="10">
        <f>IF(OR(M30="",N(B30)=0),"",M30-B30)</f>
        <v/>
      </c>
      <c r="O30" s="24">
        <f>IF($A30="","",IFERROR(L30-INDEX('Tenders'!$Y$4:$Y$103,MATCH($A30&amp;"|2",'Tenders'!$AB$4:$AB$103,0)),""))</f>
        <v/>
      </c>
      <c r="P30" s="6" t="n"/>
    </row>
    <row r="31">
      <c r="A31" s="7">
        <f>IF('Packages'!B31="","",'Packages'!B31)</f>
        <v/>
      </c>
      <c r="B31" s="9">
        <f>IF('Packages'!H31="","",'Packages'!H31)</f>
        <v/>
      </c>
      <c r="C31" t="n">
        <v>50</v>
      </c>
      <c r="D31" t="n">
        <v>15</v>
      </c>
      <c r="E31" t="n">
        <v>15</v>
      </c>
      <c r="F31" t="n">
        <v>10</v>
      </c>
      <c r="G31" t="n">
        <v>5</v>
      </c>
      <c r="H31" t="n">
        <v>5</v>
      </c>
      <c r="I31" s="7">
        <f>IF(A31="","",SUM(C31:H31))</f>
        <v/>
      </c>
      <c r="J31" s="7">
        <f>IF($A31="","",COUNTIFS('Tenders'!$A$4:$A$103,$A31,'Tenders'!$I$4:$I$103,"Yes"))</f>
        <v/>
      </c>
      <c r="K31" s="7">
        <f>IF($A31="","",IFERROR(INDEX('Tenders'!$B$4:$B$103,MATCH($A31&amp;"|1",'Tenders'!$AB$4:$AB$103,0)),""))</f>
        <v/>
      </c>
      <c r="L31" s="24">
        <f>IF($A31="","",IFERROR(INDEX('Tenders'!$Y$4:$Y$103,MATCH($A31&amp;"|1",'Tenders'!$AB$4:$AB$103,0)),""))</f>
        <v/>
      </c>
      <c r="M31" s="9">
        <f>IF($A31="","",IFERROR(INDEX('Tenders'!$N$4:$N$103,MATCH($A31&amp;"|1",'Tenders'!$AB$4:$AB$103,0)),""))</f>
        <v/>
      </c>
      <c r="N31" s="10">
        <f>IF(OR(M31="",N(B31)=0),"",M31-B31)</f>
        <v/>
      </c>
      <c r="O31" s="24">
        <f>IF($A31="","",IFERROR(L31-INDEX('Tenders'!$Y$4:$Y$103,MATCH($A31&amp;"|2",'Tenders'!$AB$4:$AB$103,0)),""))</f>
        <v/>
      </c>
      <c r="P31" s="6" t="n"/>
    </row>
    <row r="32">
      <c r="A32" s="7">
        <f>IF('Packages'!B32="","",'Packages'!B32)</f>
        <v/>
      </c>
      <c r="B32" s="9">
        <f>IF('Packages'!H32="","",'Packages'!H32)</f>
        <v/>
      </c>
      <c r="C32" t="n">
        <v>50</v>
      </c>
      <c r="D32" t="n">
        <v>15</v>
      </c>
      <c r="E32" t="n">
        <v>15</v>
      </c>
      <c r="F32" t="n">
        <v>10</v>
      </c>
      <c r="G32" t="n">
        <v>5</v>
      </c>
      <c r="H32" t="n">
        <v>5</v>
      </c>
      <c r="I32" s="7">
        <f>IF(A32="","",SUM(C32:H32))</f>
        <v/>
      </c>
      <c r="J32" s="7">
        <f>IF($A32="","",COUNTIFS('Tenders'!$A$4:$A$103,$A32,'Tenders'!$I$4:$I$103,"Yes"))</f>
        <v/>
      </c>
      <c r="K32" s="7">
        <f>IF($A32="","",IFERROR(INDEX('Tenders'!$B$4:$B$103,MATCH($A32&amp;"|1",'Tenders'!$AB$4:$AB$103,0)),""))</f>
        <v/>
      </c>
      <c r="L32" s="24">
        <f>IF($A32="","",IFERROR(INDEX('Tenders'!$Y$4:$Y$103,MATCH($A32&amp;"|1",'Tenders'!$AB$4:$AB$103,0)),""))</f>
        <v/>
      </c>
      <c r="M32" s="9">
        <f>IF($A32="","",IFERROR(INDEX('Tenders'!$N$4:$N$103,MATCH($A32&amp;"|1",'Tenders'!$AB$4:$AB$103,0)),""))</f>
        <v/>
      </c>
      <c r="N32" s="10">
        <f>IF(OR(M32="",N(B32)=0),"",M32-B32)</f>
        <v/>
      </c>
      <c r="O32" s="24">
        <f>IF($A32="","",IFERROR(L32-INDEX('Tenders'!$Y$4:$Y$103,MATCH($A32&amp;"|2",'Tenders'!$AB$4:$AB$103,0)),""))</f>
        <v/>
      </c>
      <c r="P32" s="6" t="n"/>
    </row>
    <row r="33">
      <c r="A33" s="7">
        <f>IF('Packages'!B33="","",'Packages'!B33)</f>
        <v/>
      </c>
      <c r="B33" s="9">
        <f>IF('Packages'!H33="","",'Packages'!H33)</f>
        <v/>
      </c>
      <c r="C33" t="n">
        <v>50</v>
      </c>
      <c r="D33" t="n">
        <v>15</v>
      </c>
      <c r="E33" t="n">
        <v>15</v>
      </c>
      <c r="F33" t="n">
        <v>10</v>
      </c>
      <c r="G33" t="n">
        <v>5</v>
      </c>
      <c r="H33" t="n">
        <v>5</v>
      </c>
      <c r="I33" s="7">
        <f>IF(A33="","",SUM(C33:H33))</f>
        <v/>
      </c>
      <c r="J33" s="7">
        <f>IF($A33="","",COUNTIFS('Tenders'!$A$4:$A$103,$A33,'Tenders'!$I$4:$I$103,"Yes"))</f>
        <v/>
      </c>
      <c r="K33" s="7">
        <f>IF($A33="","",IFERROR(INDEX('Tenders'!$B$4:$B$103,MATCH($A33&amp;"|1",'Tenders'!$AB$4:$AB$103,0)),""))</f>
        <v/>
      </c>
      <c r="L33" s="24">
        <f>IF($A33="","",IFERROR(INDEX('Tenders'!$Y$4:$Y$103,MATCH($A33&amp;"|1",'Tenders'!$AB$4:$AB$103,0)),""))</f>
        <v/>
      </c>
      <c r="M33" s="9">
        <f>IF($A33="","",IFERROR(INDEX('Tenders'!$N$4:$N$103,MATCH($A33&amp;"|1",'Tenders'!$AB$4:$AB$103,0)),""))</f>
        <v/>
      </c>
      <c r="N33" s="10">
        <f>IF(OR(M33="",N(B33)=0),"",M33-B33)</f>
        <v/>
      </c>
      <c r="O33" s="24">
        <f>IF($A33="","",IFERROR(L33-INDEX('Tenders'!$Y$4:$Y$103,MATCH($A33&amp;"|2",'Tenders'!$AB$4:$AB$103,0)),""))</f>
        <v/>
      </c>
      <c r="P33" s="6" t="n"/>
    </row>
  </sheetData>
  <autoFilter ref="A3:P33"/>
  <conditionalFormatting sqref="I4:I33">
    <cfRule type="expression" priority="1" dxfId="2">
      <formula>AND(I4&lt;&gt;"",I4&lt;&gt;100)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D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1" customWidth="1" min="3" max="3"/>
    <col width="10" customWidth="1" min="4" max="4"/>
    <col width="10" customWidth="1" min="5" max="5"/>
    <col width="9" customWidth="1" min="6" max="6"/>
    <col width="9" customWidth="1" min="7" max="7"/>
    <col width="9" customWidth="1" min="8" max="8"/>
    <col width="10" customWidth="1" min="9" max="9"/>
    <col width="13" customWidth="1" min="10" max="10"/>
    <col width="12" customWidth="1" min="11" max="11"/>
    <col width="12" customWidth="1" min="12" max="12"/>
    <col width="12" customWidth="1" min="13" max="13"/>
    <col width="13" customWidth="1" min="14" max="14"/>
    <col width="10" customWidth="1" min="15" max="15"/>
    <col width="10" customWidth="1" min="16" max="16"/>
    <col width="10" customWidth="1" min="17" max="17"/>
    <col width="10" customWidth="1" min="18" max="18"/>
    <col width="10" customWidth="1" min="19" max="19"/>
    <col hidden="1" width="6" customWidth="1" min="20" max="20"/>
    <col width="13" customWidth="1" min="21" max="21"/>
    <col width="13" customWidth="1" min="22" max="22"/>
    <col width="9" customWidth="1" min="23" max="23"/>
    <col width="9" customWidth="1" min="24" max="24"/>
    <col width="9" customWidth="1" min="25" max="25"/>
    <col width="9" customWidth="1" min="26" max="26"/>
    <col width="18" customWidth="1" min="27" max="27"/>
    <col hidden="1" width="6" customWidth="1" min="28" max="28"/>
    <col width="15" customWidth="1" min="29" max="29"/>
    <col width="28" customWidth="1" min="30" max="30"/>
  </cols>
  <sheetData>
    <row r="1" ht="24" customHeight="1">
      <c r="A1" s="1" t="inlineStr">
        <is>
          <t>Tender comparison</t>
        </is>
      </c>
    </row>
    <row r="2">
      <c r="A2" s="2" t="inlineStr">
        <is>
          <t>One row per quote. Fail any gate and the quote is excluded. Levelling adds exclusions, provisional-sum adjustments and a risk allowance so prices are like-for-like. Scores are 0 to 10.</t>
        </is>
      </c>
    </row>
    <row r="3" ht="32" customHeight="1">
      <c r="A3" s="19" t="inlineStr">
        <is>
          <t>Package</t>
        </is>
      </c>
      <c r="B3" s="19" t="inlineStr">
        <is>
          <t>Tenderer</t>
        </is>
      </c>
      <c r="C3" s="19" t="inlineStr">
        <is>
          <t>Received</t>
        </is>
      </c>
      <c r="D3" s="19" t="inlineStr">
        <is>
          <t>Registered / licensed</t>
        </is>
      </c>
      <c r="E3" s="19" t="inlineStr">
        <is>
          <t>Insurance current</t>
        </is>
      </c>
      <c r="F3" s="19" t="inlineStr">
        <is>
          <t>ABN verified</t>
        </is>
      </c>
      <c r="G3" s="19" t="inlineStr">
        <is>
          <t>SWMS provided</t>
        </is>
      </c>
      <c r="H3" s="19" t="inlineStr">
        <is>
          <t>Scope conforms</t>
        </is>
      </c>
      <c r="I3" s="20" t="inlineStr">
        <is>
          <t>Compliant?</t>
        </is>
      </c>
      <c r="J3" s="19" t="inlineStr">
        <is>
          <t>Quoted price inc GST ($)</t>
        </is>
      </c>
      <c r="K3" s="19" t="inlineStr">
        <is>
          <t>+ Cost of exclusions ($)</t>
        </is>
      </c>
      <c r="L3" s="19" t="inlineStr">
        <is>
          <t>± Provisional sum adj. ($)</t>
        </is>
      </c>
      <c r="M3" s="19" t="inlineStr">
        <is>
          <t>+ Risk allowance ($)</t>
        </is>
      </c>
      <c r="N3" s="20" t="inlineStr">
        <is>
          <t>Levelled price ($)</t>
        </is>
      </c>
      <c r="O3" s="19" t="inlineStr">
        <is>
          <t>Experience &amp; references</t>
        </is>
      </c>
      <c r="P3" s="19" t="inlineStr">
        <is>
          <t>Program / availability</t>
        </is>
      </c>
      <c r="Q3" s="19" t="inlineStr">
        <is>
          <t>Quality of past work</t>
        </is>
      </c>
      <c r="R3" s="19" t="inlineStr">
        <is>
          <t>Communication</t>
        </is>
      </c>
      <c r="S3" s="19" t="inlineStr">
        <is>
          <t>Warranty &amp; defects terms</t>
        </is>
      </c>
      <c r="T3" s="20" t="inlineStr">
        <is>
          <t>Weights row</t>
        </is>
      </c>
      <c r="U3" s="20" t="inlineStr">
        <is>
          <t>Lowest compliant in package ($)</t>
        </is>
      </c>
      <c r="V3" s="20" t="inlineStr">
        <is>
          <t>Median compliant in package ($)</t>
        </is>
      </c>
      <c r="W3" s="20" t="inlineStr">
        <is>
          <t>Price points</t>
        </is>
      </c>
      <c r="X3" s="20" t="inlineStr">
        <is>
          <t>Other points</t>
        </is>
      </c>
      <c r="Y3" s="20" t="inlineStr">
        <is>
          <t>Total /100</t>
        </is>
      </c>
      <c r="Z3" s="20" t="inlineStr">
        <is>
          <t>Rank</t>
        </is>
      </c>
      <c r="AA3" s="20" t="inlineStr">
        <is>
          <t>Price check</t>
        </is>
      </c>
      <c r="AB3" s="20" t="inlineStr">
        <is>
          <t>Key</t>
        </is>
      </c>
      <c r="AC3" s="19" t="inlineStr">
        <is>
          <t>Quote Doc ID</t>
        </is>
      </c>
      <c r="AD3" s="19" t="inlineStr">
        <is>
          <t>Notes</t>
        </is>
      </c>
    </row>
    <row r="4">
      <c r="A4" s="22" t="inlineStr">
        <is>
          <t>08 Roofing</t>
        </is>
      </c>
      <c r="B4" s="22" t="inlineStr">
        <is>
          <t>Summit Roofing</t>
        </is>
      </c>
      <c r="C4" s="28" t="n"/>
      <c r="D4" s="22" t="inlineStr">
        <is>
          <t>Yes</t>
        </is>
      </c>
      <c r="E4" s="22" t="inlineStr">
        <is>
          <t>Yes</t>
        </is>
      </c>
      <c r="F4" s="22" t="inlineStr">
        <is>
          <t>Yes</t>
        </is>
      </c>
      <c r="G4" s="22" t="inlineStr">
        <is>
          <t>Yes</t>
        </is>
      </c>
      <c r="H4" s="22" t="inlineStr">
        <is>
          <t>Yes</t>
        </is>
      </c>
      <c r="I4" s="7">
        <f>IF(B4="","",IF(AND(D4="Yes",E4="Yes",F4="Yes",G4="Yes",H4="Yes",N(J4)&gt;0),"Yes","No"))</f>
        <v/>
      </c>
      <c r="J4" s="27" t="n">
        <v>32500</v>
      </c>
      <c r="K4" s="27" t="n">
        <v>1800</v>
      </c>
      <c r="L4" s="27" t="n">
        <v>0</v>
      </c>
      <c r="M4" s="27" t="n">
        <v>500</v>
      </c>
      <c r="N4" s="9">
        <f>IF(B4="","",N(J4)+N(K4)+N(L4)+N(M4))</f>
        <v/>
      </c>
      <c r="O4" s="22" t="n">
        <v>8</v>
      </c>
      <c r="P4" s="22" t="n">
        <v>6</v>
      </c>
      <c r="Q4" s="22" t="n">
        <v>8</v>
      </c>
      <c r="R4" s="22" t="n">
        <v>7</v>
      </c>
      <c r="S4" s="22" t="n">
        <v>7</v>
      </c>
      <c r="T4" s="7">
        <f>IFERROR(MATCH(A4,'Tender Setup'!$A$4:$A$33,0),0)</f>
        <v/>
      </c>
      <c r="U4" s="9">
        <f t="array" ref="U4">IF(I4&lt;&gt;"Yes","",MIN(IF((A$4:A$103=A4)*(I$4:I$103="Yes"),N$4:N$103)))</f>
        <v/>
      </c>
      <c r="V4" s="9">
        <f t="array" ref="V4">IF(I4&lt;&gt;"Yes","",MEDIAN(IF((A$4:A$103=A4)*(I$4:I$103="Yes"),N$4:N$103)))</f>
        <v/>
      </c>
      <c r="W4" s="24">
        <f>IF(OR(I4&lt;&gt;"Yes",T4=0),0,U4/N4*INDEX('Tender Setup'!$C$4:$C$33,T4))</f>
        <v/>
      </c>
      <c r="X4" s="24">
        <f>IF(OR(I4&lt;&gt;"Yes",T4=0),0,(N(O4)*INDEX('Tender Setup'!$D$4:$D$33,T4)+N(P4)*INDEX('Tender Setup'!$E$4:$E$33,T4)+N(Q4)*INDEX('Tender Setup'!$F$4:$F$33,T4)+N(R4)*INDEX('Tender Setup'!$G$4:$G$33,T4)+N(S4)*INDEX('Tender Setup'!$H$4:$H$33,T4))/10)</f>
        <v/>
      </c>
      <c r="Y4" s="24">
        <f>IF(B4="","",W4+X4)</f>
        <v/>
      </c>
      <c r="Z4" s="7">
        <f>IF(B4="","",IF(I4&lt;&gt;"Yes","Excluded",COUNTIFS(A$4:A$103,A4,I$4:I$103,"Yes",Y$4:Y$103,"&gt;"&amp;Y4)+1))</f>
        <v/>
      </c>
      <c r="AA4" s="7">
        <f>IF(I4&lt;&gt;"Yes","",IF(AND(COUNTIFS(A$4:A$103,A4,I$4:I$103,"Yes")&gt;=2,N4&lt;V4*0.85),"Over 15% under median",""))</f>
        <v/>
      </c>
      <c r="AB4" s="7">
        <f>A4&amp;"|"&amp;Z4</f>
        <v/>
      </c>
      <c r="AC4" s="22" t="n"/>
      <c r="AD4" s="25" t="inlineStr">
        <is>
          <t>EXAMPLE: delete this row</t>
        </is>
      </c>
    </row>
    <row r="5">
      <c r="A5" s="22" t="inlineStr">
        <is>
          <t>08 Roofing</t>
        </is>
      </c>
      <c r="B5" s="22" t="inlineStr">
        <is>
          <t>Ridgeline Metal Roofs</t>
        </is>
      </c>
      <c r="C5" s="28" t="n"/>
      <c r="D5" s="22" t="inlineStr">
        <is>
          <t>Yes</t>
        </is>
      </c>
      <c r="E5" s="22" t="inlineStr">
        <is>
          <t>Yes</t>
        </is>
      </c>
      <c r="F5" s="22" t="inlineStr">
        <is>
          <t>Yes</t>
        </is>
      </c>
      <c r="G5" s="22" t="inlineStr">
        <is>
          <t>Yes</t>
        </is>
      </c>
      <c r="H5" s="22" t="inlineStr">
        <is>
          <t>Yes</t>
        </is>
      </c>
      <c r="I5" s="7">
        <f>IF(B5="","",IF(AND(D5="Yes",E5="Yes",F5="Yes",G5="Yes",H5="Yes",N(J5)&gt;0),"Yes","No"))</f>
        <v/>
      </c>
      <c r="J5" s="27" t="n">
        <v>36900</v>
      </c>
      <c r="K5" s="27" t="n">
        <v>0</v>
      </c>
      <c r="L5" s="27" t="n">
        <v>0</v>
      </c>
      <c r="M5" s="27" t="n">
        <v>0</v>
      </c>
      <c r="N5" s="9">
        <f>IF(B5="","",N(J5)+N(K5)+N(L5)+N(M5))</f>
        <v/>
      </c>
      <c r="O5" s="22" t="n">
        <v>9</v>
      </c>
      <c r="P5" s="22" t="n">
        <v>8</v>
      </c>
      <c r="Q5" s="22" t="n">
        <v>9</v>
      </c>
      <c r="R5" s="22" t="n">
        <v>9</v>
      </c>
      <c r="S5" s="22" t="n">
        <v>8</v>
      </c>
      <c r="T5" s="7">
        <f>IFERROR(MATCH(A5,'Tender Setup'!$A$4:$A$33,0),0)</f>
        <v/>
      </c>
      <c r="U5" s="9">
        <f t="array" ref="U5">IF(I5&lt;&gt;"Yes","",MIN(IF((A$4:A$103=A5)*(I$4:I$103="Yes"),N$4:N$103)))</f>
        <v/>
      </c>
      <c r="V5" s="9">
        <f t="array" ref="V5">IF(I5&lt;&gt;"Yes","",MEDIAN(IF((A$4:A$103=A5)*(I$4:I$103="Yes"),N$4:N$103)))</f>
        <v/>
      </c>
      <c r="W5" s="24">
        <f>IF(OR(I5&lt;&gt;"Yes",T5=0),0,U5/N5*INDEX('Tender Setup'!$C$4:$C$33,T5))</f>
        <v/>
      </c>
      <c r="X5" s="24">
        <f>IF(OR(I5&lt;&gt;"Yes",T5=0),0,(N(O5)*INDEX('Tender Setup'!$D$4:$D$33,T5)+N(P5)*INDEX('Tender Setup'!$E$4:$E$33,T5)+N(Q5)*INDEX('Tender Setup'!$F$4:$F$33,T5)+N(R5)*INDEX('Tender Setup'!$G$4:$G$33,T5)+N(S5)*INDEX('Tender Setup'!$H$4:$H$33,T5))/10)</f>
        <v/>
      </c>
      <c r="Y5" s="24">
        <f>IF(B5="","",W5+X5)</f>
        <v/>
      </c>
      <c r="Z5" s="7">
        <f>IF(B5="","",IF(I5&lt;&gt;"Yes","Excluded",COUNTIFS(A$4:A$103,A5,I$4:I$103,"Yes",Y$4:Y$103,"&gt;"&amp;Y5)+1))</f>
        <v/>
      </c>
      <c r="AA5" s="7">
        <f>IF(I5&lt;&gt;"Yes","",IF(AND(COUNTIFS(A$4:A$103,A5,I$4:I$103,"Yes")&gt;=2,N5&lt;V5*0.85),"Over 15% under median",""))</f>
        <v/>
      </c>
      <c r="AB5" s="7">
        <f>A5&amp;"|"&amp;Z5</f>
        <v/>
      </c>
      <c r="AC5" s="22" t="n"/>
      <c r="AD5" s="25" t="inlineStr">
        <is>
          <t>EXAMPLE: delete this row</t>
        </is>
      </c>
    </row>
    <row r="6">
      <c r="A6" s="22" t="inlineStr">
        <is>
          <t>08 Roofing</t>
        </is>
      </c>
      <c r="B6" s="22" t="inlineStr">
        <is>
          <t>Budget Roofs Co</t>
        </is>
      </c>
      <c r="C6" s="28" t="n"/>
      <c r="D6" s="22" t="inlineStr">
        <is>
          <t>Yes</t>
        </is>
      </c>
      <c r="E6" s="22" t="inlineStr">
        <is>
          <t>No</t>
        </is>
      </c>
      <c r="F6" s="22" t="inlineStr">
        <is>
          <t>Yes</t>
        </is>
      </c>
      <c r="G6" s="22" t="inlineStr">
        <is>
          <t>Yes</t>
        </is>
      </c>
      <c r="H6" s="22" t="inlineStr">
        <is>
          <t>Yes</t>
        </is>
      </c>
      <c r="I6" s="7">
        <f>IF(B6="","",IF(AND(D6="Yes",E6="Yes",F6="Yes",G6="Yes",H6="Yes",N(J6)&gt;0),"Yes","No"))</f>
        <v/>
      </c>
      <c r="J6" s="27" t="n">
        <v>27900</v>
      </c>
      <c r="K6" s="27" t="n">
        <v>3500</v>
      </c>
      <c r="L6" s="27" t="n">
        <v>1200</v>
      </c>
      <c r="M6" s="27" t="n">
        <v>2000</v>
      </c>
      <c r="N6" s="9">
        <f>IF(B6="","",N(J6)+N(K6)+N(L6)+N(M6))</f>
        <v/>
      </c>
      <c r="O6" s="22" t="n">
        <v>5</v>
      </c>
      <c r="P6" s="22" t="n">
        <v>9</v>
      </c>
      <c r="Q6" s="22" t="n">
        <v>5</v>
      </c>
      <c r="R6" s="22" t="n">
        <v>4</v>
      </c>
      <c r="S6" s="22" t="n">
        <v>5</v>
      </c>
      <c r="T6" s="7">
        <f>IFERROR(MATCH(A6,'Tender Setup'!$A$4:$A$33,0),0)</f>
        <v/>
      </c>
      <c r="U6" s="9">
        <f t="array" ref="U6">IF(I6&lt;&gt;"Yes","",MIN(IF((A$4:A$103=A6)*(I$4:I$103="Yes"),N$4:N$103)))</f>
        <v/>
      </c>
      <c r="V6" s="9">
        <f t="array" ref="V6">IF(I6&lt;&gt;"Yes","",MEDIAN(IF((A$4:A$103=A6)*(I$4:I$103="Yes"),N$4:N$103)))</f>
        <v/>
      </c>
      <c r="W6" s="24">
        <f>IF(OR(I6&lt;&gt;"Yes",T6=0),0,U6/N6*INDEX('Tender Setup'!$C$4:$C$33,T6))</f>
        <v/>
      </c>
      <c r="X6" s="24">
        <f>IF(OR(I6&lt;&gt;"Yes",T6=0),0,(N(O6)*INDEX('Tender Setup'!$D$4:$D$33,T6)+N(P6)*INDEX('Tender Setup'!$E$4:$E$33,T6)+N(Q6)*INDEX('Tender Setup'!$F$4:$F$33,T6)+N(R6)*INDEX('Tender Setup'!$G$4:$G$33,T6)+N(S6)*INDEX('Tender Setup'!$H$4:$H$33,T6))/10)</f>
        <v/>
      </c>
      <c r="Y6" s="24">
        <f>IF(B6="","",W6+X6)</f>
        <v/>
      </c>
      <c r="Z6" s="7">
        <f>IF(B6="","",IF(I6&lt;&gt;"Yes","Excluded",COUNTIFS(A$4:A$103,A6,I$4:I$103,"Yes",Y$4:Y$103,"&gt;"&amp;Y6)+1))</f>
        <v/>
      </c>
      <c r="AA6" s="7">
        <f>IF(I6&lt;&gt;"Yes","",IF(AND(COUNTIFS(A$4:A$103,A6,I$4:I$103,"Yes")&gt;=2,N6&lt;V6*0.85),"Over 15% under median",""))</f>
        <v/>
      </c>
      <c r="AB6" s="7">
        <f>A6&amp;"|"&amp;Z6</f>
        <v/>
      </c>
      <c r="AC6" s="22" t="n"/>
      <c r="AD6" s="25" t="inlineStr">
        <is>
          <t>EXAMPLE: delete this row</t>
        </is>
      </c>
    </row>
    <row r="7">
      <c r="C7" s="21" t="n"/>
      <c r="I7" s="7">
        <f>IF(B7="","",IF(AND(D7="Yes",E7="Yes",F7="Yes",G7="Yes",H7="Yes",N(J7)&gt;0),"Yes","No"))</f>
        <v/>
      </c>
      <c r="J7" s="29" t="n"/>
      <c r="K7" s="29" t="n"/>
      <c r="L7" s="29" t="n"/>
      <c r="M7" s="29" t="n"/>
      <c r="N7" s="9">
        <f>IF(B7="","",N(J7)+N(K7)+N(L7)+N(M7))</f>
        <v/>
      </c>
      <c r="T7" s="7">
        <f>IFERROR(MATCH(A7,'Tender Setup'!$A$4:$A$33,0),0)</f>
        <v/>
      </c>
      <c r="U7" s="9">
        <f t="array" ref="U7">IF(I7&lt;&gt;"Yes","",MIN(IF((A$4:A$103=A7)*(I$4:I$103="Yes"),N$4:N$103)))</f>
        <v/>
      </c>
      <c r="V7" s="9">
        <f t="array" ref="V7">IF(I7&lt;&gt;"Yes","",MEDIAN(IF((A$4:A$103=A7)*(I$4:I$103="Yes"),N$4:N$103)))</f>
        <v/>
      </c>
      <c r="W7" s="24">
        <f>IF(OR(I7&lt;&gt;"Yes",T7=0),0,U7/N7*INDEX('Tender Setup'!$C$4:$C$33,T7))</f>
        <v/>
      </c>
      <c r="X7" s="24">
        <f>IF(OR(I7&lt;&gt;"Yes",T7=0),0,(N(O7)*INDEX('Tender Setup'!$D$4:$D$33,T7)+N(P7)*INDEX('Tender Setup'!$E$4:$E$33,T7)+N(Q7)*INDEX('Tender Setup'!$F$4:$F$33,T7)+N(R7)*INDEX('Tender Setup'!$G$4:$G$33,T7)+N(S7)*INDEX('Tender Setup'!$H$4:$H$33,T7))/10)</f>
        <v/>
      </c>
      <c r="Y7" s="24">
        <f>IF(B7="","",W7+X7)</f>
        <v/>
      </c>
      <c r="Z7" s="7">
        <f>IF(B7="","",IF(I7&lt;&gt;"Yes","Excluded",COUNTIFS(A$4:A$103,A7,I$4:I$103,"Yes",Y$4:Y$103,"&gt;"&amp;Y7)+1))</f>
        <v/>
      </c>
      <c r="AA7" s="7">
        <f>IF(I7&lt;&gt;"Yes","",IF(AND(COUNTIFS(A$4:A$103,A7,I$4:I$103,"Yes")&gt;=2,N7&lt;V7*0.85),"Over 15% under median",""))</f>
        <v/>
      </c>
      <c r="AB7" s="7">
        <f>A7&amp;"|"&amp;Z7</f>
        <v/>
      </c>
      <c r="AD7" s="6" t="n"/>
    </row>
    <row r="8">
      <c r="C8" s="21" t="n"/>
      <c r="I8" s="7">
        <f>IF(B8="","",IF(AND(D8="Yes",E8="Yes",F8="Yes",G8="Yes",H8="Yes",N(J8)&gt;0),"Yes","No"))</f>
        <v/>
      </c>
      <c r="J8" s="29" t="n"/>
      <c r="K8" s="29" t="n"/>
      <c r="L8" s="29" t="n"/>
      <c r="M8" s="29" t="n"/>
      <c r="N8" s="9">
        <f>IF(B8="","",N(J8)+N(K8)+N(L8)+N(M8))</f>
        <v/>
      </c>
      <c r="T8" s="7">
        <f>IFERROR(MATCH(A8,'Tender Setup'!$A$4:$A$33,0),0)</f>
        <v/>
      </c>
      <c r="U8" s="9">
        <f t="array" ref="U8">IF(I8&lt;&gt;"Yes","",MIN(IF((A$4:A$103=A8)*(I$4:I$103="Yes"),N$4:N$103)))</f>
        <v/>
      </c>
      <c r="V8" s="9">
        <f t="array" ref="V8">IF(I8&lt;&gt;"Yes","",MEDIAN(IF((A$4:A$103=A8)*(I$4:I$103="Yes"),N$4:N$103)))</f>
        <v/>
      </c>
      <c r="W8" s="24">
        <f>IF(OR(I8&lt;&gt;"Yes",T8=0),0,U8/N8*INDEX('Tender Setup'!$C$4:$C$33,T8))</f>
        <v/>
      </c>
      <c r="X8" s="24">
        <f>IF(OR(I8&lt;&gt;"Yes",T8=0),0,(N(O8)*INDEX('Tender Setup'!$D$4:$D$33,T8)+N(P8)*INDEX('Tender Setup'!$E$4:$E$33,T8)+N(Q8)*INDEX('Tender Setup'!$F$4:$F$33,T8)+N(R8)*INDEX('Tender Setup'!$G$4:$G$33,T8)+N(S8)*INDEX('Tender Setup'!$H$4:$H$33,T8))/10)</f>
        <v/>
      </c>
      <c r="Y8" s="24">
        <f>IF(B8="","",W8+X8)</f>
        <v/>
      </c>
      <c r="Z8" s="7">
        <f>IF(B8="","",IF(I8&lt;&gt;"Yes","Excluded",COUNTIFS(A$4:A$103,A8,I$4:I$103,"Yes",Y$4:Y$103,"&gt;"&amp;Y8)+1))</f>
        <v/>
      </c>
      <c r="AA8" s="7">
        <f>IF(I8&lt;&gt;"Yes","",IF(AND(COUNTIFS(A$4:A$103,A8,I$4:I$103,"Yes")&gt;=2,N8&lt;V8*0.85),"Over 15% under median",""))</f>
        <v/>
      </c>
      <c r="AB8" s="7">
        <f>A8&amp;"|"&amp;Z8</f>
        <v/>
      </c>
      <c r="AD8" s="6" t="n"/>
    </row>
    <row r="9">
      <c r="C9" s="21" t="n"/>
      <c r="I9" s="7">
        <f>IF(B9="","",IF(AND(D9="Yes",E9="Yes",F9="Yes",G9="Yes",H9="Yes",N(J9)&gt;0),"Yes","No"))</f>
        <v/>
      </c>
      <c r="J9" s="29" t="n"/>
      <c r="K9" s="29" t="n"/>
      <c r="L9" s="29" t="n"/>
      <c r="M9" s="29" t="n"/>
      <c r="N9" s="9">
        <f>IF(B9="","",N(J9)+N(K9)+N(L9)+N(M9))</f>
        <v/>
      </c>
      <c r="T9" s="7">
        <f>IFERROR(MATCH(A9,'Tender Setup'!$A$4:$A$33,0),0)</f>
        <v/>
      </c>
      <c r="U9" s="9">
        <f t="array" ref="U9">IF(I9&lt;&gt;"Yes","",MIN(IF((A$4:A$103=A9)*(I$4:I$103="Yes"),N$4:N$103)))</f>
        <v/>
      </c>
      <c r="V9" s="9">
        <f t="array" ref="V9">IF(I9&lt;&gt;"Yes","",MEDIAN(IF((A$4:A$103=A9)*(I$4:I$103="Yes"),N$4:N$103)))</f>
        <v/>
      </c>
      <c r="W9" s="24">
        <f>IF(OR(I9&lt;&gt;"Yes",T9=0),0,U9/N9*INDEX('Tender Setup'!$C$4:$C$33,T9))</f>
        <v/>
      </c>
      <c r="X9" s="24">
        <f>IF(OR(I9&lt;&gt;"Yes",T9=0),0,(N(O9)*INDEX('Tender Setup'!$D$4:$D$33,T9)+N(P9)*INDEX('Tender Setup'!$E$4:$E$33,T9)+N(Q9)*INDEX('Tender Setup'!$F$4:$F$33,T9)+N(R9)*INDEX('Tender Setup'!$G$4:$G$33,T9)+N(S9)*INDEX('Tender Setup'!$H$4:$H$33,T9))/10)</f>
        <v/>
      </c>
      <c r="Y9" s="24">
        <f>IF(B9="","",W9+X9)</f>
        <v/>
      </c>
      <c r="Z9" s="7">
        <f>IF(B9="","",IF(I9&lt;&gt;"Yes","Excluded",COUNTIFS(A$4:A$103,A9,I$4:I$103,"Yes",Y$4:Y$103,"&gt;"&amp;Y9)+1))</f>
        <v/>
      </c>
      <c r="AA9" s="7">
        <f>IF(I9&lt;&gt;"Yes","",IF(AND(COUNTIFS(A$4:A$103,A9,I$4:I$103,"Yes")&gt;=2,N9&lt;V9*0.85),"Over 15% under median",""))</f>
        <v/>
      </c>
      <c r="AB9" s="7">
        <f>A9&amp;"|"&amp;Z9</f>
        <v/>
      </c>
      <c r="AD9" s="6" t="n"/>
    </row>
    <row r="10">
      <c r="C10" s="21" t="n"/>
      <c r="I10" s="7">
        <f>IF(B10="","",IF(AND(D10="Yes",E10="Yes",F10="Yes",G10="Yes",H10="Yes",N(J10)&gt;0),"Yes","No"))</f>
        <v/>
      </c>
      <c r="J10" s="29" t="n"/>
      <c r="K10" s="29" t="n"/>
      <c r="L10" s="29" t="n"/>
      <c r="M10" s="29" t="n"/>
      <c r="N10" s="9">
        <f>IF(B10="","",N(J10)+N(K10)+N(L10)+N(M10))</f>
        <v/>
      </c>
      <c r="T10" s="7">
        <f>IFERROR(MATCH(A10,'Tender Setup'!$A$4:$A$33,0),0)</f>
        <v/>
      </c>
      <c r="U10" s="9">
        <f t="array" ref="U10">IF(I10&lt;&gt;"Yes","",MIN(IF((A$4:A$103=A10)*(I$4:I$103="Yes"),N$4:N$103)))</f>
        <v/>
      </c>
      <c r="V10" s="9">
        <f t="array" ref="V10">IF(I10&lt;&gt;"Yes","",MEDIAN(IF((A$4:A$103=A10)*(I$4:I$103="Yes"),N$4:N$103)))</f>
        <v/>
      </c>
      <c r="W10" s="24">
        <f>IF(OR(I10&lt;&gt;"Yes",T10=0),0,U10/N10*INDEX('Tender Setup'!$C$4:$C$33,T10))</f>
        <v/>
      </c>
      <c r="X10" s="24">
        <f>IF(OR(I10&lt;&gt;"Yes",T10=0),0,(N(O10)*INDEX('Tender Setup'!$D$4:$D$33,T10)+N(P10)*INDEX('Tender Setup'!$E$4:$E$33,T10)+N(Q10)*INDEX('Tender Setup'!$F$4:$F$33,T10)+N(R10)*INDEX('Tender Setup'!$G$4:$G$33,T10)+N(S10)*INDEX('Tender Setup'!$H$4:$H$33,T10))/10)</f>
        <v/>
      </c>
      <c r="Y10" s="24">
        <f>IF(B10="","",W10+X10)</f>
        <v/>
      </c>
      <c r="Z10" s="7">
        <f>IF(B10="","",IF(I10&lt;&gt;"Yes","Excluded",COUNTIFS(A$4:A$103,A10,I$4:I$103,"Yes",Y$4:Y$103,"&gt;"&amp;Y10)+1))</f>
        <v/>
      </c>
      <c r="AA10" s="7">
        <f>IF(I10&lt;&gt;"Yes","",IF(AND(COUNTIFS(A$4:A$103,A10,I$4:I$103,"Yes")&gt;=2,N10&lt;V10*0.85),"Over 15% under median",""))</f>
        <v/>
      </c>
      <c r="AB10" s="7">
        <f>A10&amp;"|"&amp;Z10</f>
        <v/>
      </c>
      <c r="AD10" s="6" t="n"/>
    </row>
    <row r="11">
      <c r="C11" s="21" t="n"/>
      <c r="I11" s="7">
        <f>IF(B11="","",IF(AND(D11="Yes",E11="Yes",F11="Yes",G11="Yes",H11="Yes",N(J11)&gt;0),"Yes","No"))</f>
        <v/>
      </c>
      <c r="J11" s="29" t="n"/>
      <c r="K11" s="29" t="n"/>
      <c r="L11" s="29" t="n"/>
      <c r="M11" s="29" t="n"/>
      <c r="N11" s="9">
        <f>IF(B11="","",N(J11)+N(K11)+N(L11)+N(M11))</f>
        <v/>
      </c>
      <c r="T11" s="7">
        <f>IFERROR(MATCH(A11,'Tender Setup'!$A$4:$A$33,0),0)</f>
        <v/>
      </c>
      <c r="U11" s="9">
        <f t="array" ref="U11">IF(I11&lt;&gt;"Yes","",MIN(IF((A$4:A$103=A11)*(I$4:I$103="Yes"),N$4:N$103)))</f>
        <v/>
      </c>
      <c r="V11" s="9">
        <f t="array" ref="V11">IF(I11&lt;&gt;"Yes","",MEDIAN(IF((A$4:A$103=A11)*(I$4:I$103="Yes"),N$4:N$103)))</f>
        <v/>
      </c>
      <c r="W11" s="24">
        <f>IF(OR(I11&lt;&gt;"Yes",T11=0),0,U11/N11*INDEX('Tender Setup'!$C$4:$C$33,T11))</f>
        <v/>
      </c>
      <c r="X11" s="24">
        <f>IF(OR(I11&lt;&gt;"Yes",T11=0),0,(N(O11)*INDEX('Tender Setup'!$D$4:$D$33,T11)+N(P11)*INDEX('Tender Setup'!$E$4:$E$33,T11)+N(Q11)*INDEX('Tender Setup'!$F$4:$F$33,T11)+N(R11)*INDEX('Tender Setup'!$G$4:$G$33,T11)+N(S11)*INDEX('Tender Setup'!$H$4:$H$33,T11))/10)</f>
        <v/>
      </c>
      <c r="Y11" s="24">
        <f>IF(B11="","",W11+X11)</f>
        <v/>
      </c>
      <c r="Z11" s="7">
        <f>IF(B11="","",IF(I11&lt;&gt;"Yes","Excluded",COUNTIFS(A$4:A$103,A11,I$4:I$103,"Yes",Y$4:Y$103,"&gt;"&amp;Y11)+1))</f>
        <v/>
      </c>
      <c r="AA11" s="7">
        <f>IF(I11&lt;&gt;"Yes","",IF(AND(COUNTIFS(A$4:A$103,A11,I$4:I$103,"Yes")&gt;=2,N11&lt;V11*0.85),"Over 15% under median",""))</f>
        <v/>
      </c>
      <c r="AB11" s="7">
        <f>A11&amp;"|"&amp;Z11</f>
        <v/>
      </c>
      <c r="AD11" s="6" t="n"/>
    </row>
    <row r="12">
      <c r="C12" s="21" t="n"/>
      <c r="I12" s="7">
        <f>IF(B12="","",IF(AND(D12="Yes",E12="Yes",F12="Yes",G12="Yes",H12="Yes",N(J12)&gt;0),"Yes","No"))</f>
        <v/>
      </c>
      <c r="J12" s="29" t="n"/>
      <c r="K12" s="29" t="n"/>
      <c r="L12" s="29" t="n"/>
      <c r="M12" s="29" t="n"/>
      <c r="N12" s="9">
        <f>IF(B12="","",N(J12)+N(K12)+N(L12)+N(M12))</f>
        <v/>
      </c>
      <c r="T12" s="7">
        <f>IFERROR(MATCH(A12,'Tender Setup'!$A$4:$A$33,0),0)</f>
        <v/>
      </c>
      <c r="U12" s="9">
        <f t="array" ref="U12">IF(I12&lt;&gt;"Yes","",MIN(IF((A$4:A$103=A12)*(I$4:I$103="Yes"),N$4:N$103)))</f>
        <v/>
      </c>
      <c r="V12" s="9">
        <f t="array" ref="V12">IF(I12&lt;&gt;"Yes","",MEDIAN(IF((A$4:A$103=A12)*(I$4:I$103="Yes"),N$4:N$103)))</f>
        <v/>
      </c>
      <c r="W12" s="24">
        <f>IF(OR(I12&lt;&gt;"Yes",T12=0),0,U12/N12*INDEX('Tender Setup'!$C$4:$C$33,T12))</f>
        <v/>
      </c>
      <c r="X12" s="24">
        <f>IF(OR(I12&lt;&gt;"Yes",T12=0),0,(N(O12)*INDEX('Tender Setup'!$D$4:$D$33,T12)+N(P12)*INDEX('Tender Setup'!$E$4:$E$33,T12)+N(Q12)*INDEX('Tender Setup'!$F$4:$F$33,T12)+N(R12)*INDEX('Tender Setup'!$G$4:$G$33,T12)+N(S12)*INDEX('Tender Setup'!$H$4:$H$33,T12))/10)</f>
        <v/>
      </c>
      <c r="Y12" s="24">
        <f>IF(B12="","",W12+X12)</f>
        <v/>
      </c>
      <c r="Z12" s="7">
        <f>IF(B12="","",IF(I12&lt;&gt;"Yes","Excluded",COUNTIFS(A$4:A$103,A12,I$4:I$103,"Yes",Y$4:Y$103,"&gt;"&amp;Y12)+1))</f>
        <v/>
      </c>
      <c r="AA12" s="7">
        <f>IF(I12&lt;&gt;"Yes","",IF(AND(COUNTIFS(A$4:A$103,A12,I$4:I$103,"Yes")&gt;=2,N12&lt;V12*0.85),"Over 15% under median",""))</f>
        <v/>
      </c>
      <c r="AB12" s="7">
        <f>A12&amp;"|"&amp;Z12</f>
        <v/>
      </c>
      <c r="AD12" s="6" t="n"/>
    </row>
    <row r="13">
      <c r="C13" s="21" t="n"/>
      <c r="I13" s="7">
        <f>IF(B13="","",IF(AND(D13="Yes",E13="Yes",F13="Yes",G13="Yes",H13="Yes",N(J13)&gt;0),"Yes","No"))</f>
        <v/>
      </c>
      <c r="J13" s="29" t="n"/>
      <c r="K13" s="29" t="n"/>
      <c r="L13" s="29" t="n"/>
      <c r="M13" s="29" t="n"/>
      <c r="N13" s="9">
        <f>IF(B13="","",N(J13)+N(K13)+N(L13)+N(M13))</f>
        <v/>
      </c>
      <c r="T13" s="7">
        <f>IFERROR(MATCH(A13,'Tender Setup'!$A$4:$A$33,0),0)</f>
        <v/>
      </c>
      <c r="U13" s="9">
        <f t="array" ref="U13">IF(I13&lt;&gt;"Yes","",MIN(IF((A$4:A$103=A13)*(I$4:I$103="Yes"),N$4:N$103)))</f>
        <v/>
      </c>
      <c r="V13" s="9">
        <f t="array" ref="V13">IF(I13&lt;&gt;"Yes","",MEDIAN(IF((A$4:A$103=A13)*(I$4:I$103="Yes"),N$4:N$103)))</f>
        <v/>
      </c>
      <c r="W13" s="24">
        <f>IF(OR(I13&lt;&gt;"Yes",T13=0),0,U13/N13*INDEX('Tender Setup'!$C$4:$C$33,T13))</f>
        <v/>
      </c>
      <c r="X13" s="24">
        <f>IF(OR(I13&lt;&gt;"Yes",T13=0),0,(N(O13)*INDEX('Tender Setup'!$D$4:$D$33,T13)+N(P13)*INDEX('Tender Setup'!$E$4:$E$33,T13)+N(Q13)*INDEX('Tender Setup'!$F$4:$F$33,T13)+N(R13)*INDEX('Tender Setup'!$G$4:$G$33,T13)+N(S13)*INDEX('Tender Setup'!$H$4:$H$33,T13))/10)</f>
        <v/>
      </c>
      <c r="Y13" s="24">
        <f>IF(B13="","",W13+X13)</f>
        <v/>
      </c>
      <c r="Z13" s="7">
        <f>IF(B13="","",IF(I13&lt;&gt;"Yes","Excluded",COUNTIFS(A$4:A$103,A13,I$4:I$103,"Yes",Y$4:Y$103,"&gt;"&amp;Y13)+1))</f>
        <v/>
      </c>
      <c r="AA13" s="7">
        <f>IF(I13&lt;&gt;"Yes","",IF(AND(COUNTIFS(A$4:A$103,A13,I$4:I$103,"Yes")&gt;=2,N13&lt;V13*0.85),"Over 15% under median",""))</f>
        <v/>
      </c>
      <c r="AB13" s="7">
        <f>A13&amp;"|"&amp;Z13</f>
        <v/>
      </c>
      <c r="AD13" s="6" t="n"/>
    </row>
    <row r="14">
      <c r="C14" s="21" t="n"/>
      <c r="I14" s="7">
        <f>IF(B14="","",IF(AND(D14="Yes",E14="Yes",F14="Yes",G14="Yes",H14="Yes",N(J14)&gt;0),"Yes","No"))</f>
        <v/>
      </c>
      <c r="J14" s="29" t="n"/>
      <c r="K14" s="29" t="n"/>
      <c r="L14" s="29" t="n"/>
      <c r="M14" s="29" t="n"/>
      <c r="N14" s="9">
        <f>IF(B14="","",N(J14)+N(K14)+N(L14)+N(M14))</f>
        <v/>
      </c>
      <c r="T14" s="7">
        <f>IFERROR(MATCH(A14,'Tender Setup'!$A$4:$A$33,0),0)</f>
        <v/>
      </c>
      <c r="U14" s="9">
        <f t="array" ref="U14">IF(I14&lt;&gt;"Yes","",MIN(IF((A$4:A$103=A14)*(I$4:I$103="Yes"),N$4:N$103)))</f>
        <v/>
      </c>
      <c r="V14" s="9">
        <f t="array" ref="V14">IF(I14&lt;&gt;"Yes","",MEDIAN(IF((A$4:A$103=A14)*(I$4:I$103="Yes"),N$4:N$103)))</f>
        <v/>
      </c>
      <c r="W14" s="24">
        <f>IF(OR(I14&lt;&gt;"Yes",T14=0),0,U14/N14*INDEX('Tender Setup'!$C$4:$C$33,T14))</f>
        <v/>
      </c>
      <c r="X14" s="24">
        <f>IF(OR(I14&lt;&gt;"Yes",T14=0),0,(N(O14)*INDEX('Tender Setup'!$D$4:$D$33,T14)+N(P14)*INDEX('Tender Setup'!$E$4:$E$33,T14)+N(Q14)*INDEX('Tender Setup'!$F$4:$F$33,T14)+N(R14)*INDEX('Tender Setup'!$G$4:$G$33,T14)+N(S14)*INDEX('Tender Setup'!$H$4:$H$33,T14))/10)</f>
        <v/>
      </c>
      <c r="Y14" s="24">
        <f>IF(B14="","",W14+X14)</f>
        <v/>
      </c>
      <c r="Z14" s="7">
        <f>IF(B14="","",IF(I14&lt;&gt;"Yes","Excluded",COUNTIFS(A$4:A$103,A14,I$4:I$103,"Yes",Y$4:Y$103,"&gt;"&amp;Y14)+1))</f>
        <v/>
      </c>
      <c r="AA14" s="7">
        <f>IF(I14&lt;&gt;"Yes","",IF(AND(COUNTIFS(A$4:A$103,A14,I$4:I$103,"Yes")&gt;=2,N14&lt;V14*0.85),"Over 15% under median",""))</f>
        <v/>
      </c>
      <c r="AB14" s="7">
        <f>A14&amp;"|"&amp;Z14</f>
        <v/>
      </c>
      <c r="AD14" s="6" t="n"/>
    </row>
    <row r="15">
      <c r="C15" s="21" t="n"/>
      <c r="I15" s="7">
        <f>IF(B15="","",IF(AND(D15="Yes",E15="Yes",F15="Yes",G15="Yes",H15="Yes",N(J15)&gt;0),"Yes","No"))</f>
        <v/>
      </c>
      <c r="J15" s="29" t="n"/>
      <c r="K15" s="29" t="n"/>
      <c r="L15" s="29" t="n"/>
      <c r="M15" s="29" t="n"/>
      <c r="N15" s="9">
        <f>IF(B15="","",N(J15)+N(K15)+N(L15)+N(M15))</f>
        <v/>
      </c>
      <c r="T15" s="7">
        <f>IFERROR(MATCH(A15,'Tender Setup'!$A$4:$A$33,0),0)</f>
        <v/>
      </c>
      <c r="U15" s="9">
        <f t="array" ref="U15">IF(I15&lt;&gt;"Yes","",MIN(IF((A$4:A$103=A15)*(I$4:I$103="Yes"),N$4:N$103)))</f>
        <v/>
      </c>
      <c r="V15" s="9">
        <f t="array" ref="V15">IF(I15&lt;&gt;"Yes","",MEDIAN(IF((A$4:A$103=A15)*(I$4:I$103="Yes"),N$4:N$103)))</f>
        <v/>
      </c>
      <c r="W15" s="24">
        <f>IF(OR(I15&lt;&gt;"Yes",T15=0),0,U15/N15*INDEX('Tender Setup'!$C$4:$C$33,T15))</f>
        <v/>
      </c>
      <c r="X15" s="24">
        <f>IF(OR(I15&lt;&gt;"Yes",T15=0),0,(N(O15)*INDEX('Tender Setup'!$D$4:$D$33,T15)+N(P15)*INDEX('Tender Setup'!$E$4:$E$33,T15)+N(Q15)*INDEX('Tender Setup'!$F$4:$F$33,T15)+N(R15)*INDEX('Tender Setup'!$G$4:$G$33,T15)+N(S15)*INDEX('Tender Setup'!$H$4:$H$33,T15))/10)</f>
        <v/>
      </c>
      <c r="Y15" s="24">
        <f>IF(B15="","",W15+X15)</f>
        <v/>
      </c>
      <c r="Z15" s="7">
        <f>IF(B15="","",IF(I15&lt;&gt;"Yes","Excluded",COUNTIFS(A$4:A$103,A15,I$4:I$103,"Yes",Y$4:Y$103,"&gt;"&amp;Y15)+1))</f>
        <v/>
      </c>
      <c r="AA15" s="7">
        <f>IF(I15&lt;&gt;"Yes","",IF(AND(COUNTIFS(A$4:A$103,A15,I$4:I$103,"Yes")&gt;=2,N15&lt;V15*0.85),"Over 15% under median",""))</f>
        <v/>
      </c>
      <c r="AB15" s="7">
        <f>A15&amp;"|"&amp;Z15</f>
        <v/>
      </c>
      <c r="AD15" s="6" t="n"/>
    </row>
    <row r="16">
      <c r="C16" s="21" t="n"/>
      <c r="I16" s="7">
        <f>IF(B16="","",IF(AND(D16="Yes",E16="Yes",F16="Yes",G16="Yes",H16="Yes",N(J16)&gt;0),"Yes","No"))</f>
        <v/>
      </c>
      <c r="J16" s="29" t="n"/>
      <c r="K16" s="29" t="n"/>
      <c r="L16" s="29" t="n"/>
      <c r="M16" s="29" t="n"/>
      <c r="N16" s="9">
        <f>IF(B16="","",N(J16)+N(K16)+N(L16)+N(M16))</f>
        <v/>
      </c>
      <c r="T16" s="7">
        <f>IFERROR(MATCH(A16,'Tender Setup'!$A$4:$A$33,0),0)</f>
        <v/>
      </c>
      <c r="U16" s="9">
        <f t="array" ref="U16">IF(I16&lt;&gt;"Yes","",MIN(IF((A$4:A$103=A16)*(I$4:I$103="Yes"),N$4:N$103)))</f>
        <v/>
      </c>
      <c r="V16" s="9">
        <f t="array" ref="V16">IF(I16&lt;&gt;"Yes","",MEDIAN(IF((A$4:A$103=A16)*(I$4:I$103="Yes"),N$4:N$103)))</f>
        <v/>
      </c>
      <c r="W16" s="24">
        <f>IF(OR(I16&lt;&gt;"Yes",T16=0),0,U16/N16*INDEX('Tender Setup'!$C$4:$C$33,T16))</f>
        <v/>
      </c>
      <c r="X16" s="24">
        <f>IF(OR(I16&lt;&gt;"Yes",T16=0),0,(N(O16)*INDEX('Tender Setup'!$D$4:$D$33,T16)+N(P16)*INDEX('Tender Setup'!$E$4:$E$33,T16)+N(Q16)*INDEX('Tender Setup'!$F$4:$F$33,T16)+N(R16)*INDEX('Tender Setup'!$G$4:$G$33,T16)+N(S16)*INDEX('Tender Setup'!$H$4:$H$33,T16))/10)</f>
        <v/>
      </c>
      <c r="Y16" s="24">
        <f>IF(B16="","",W16+X16)</f>
        <v/>
      </c>
      <c r="Z16" s="7">
        <f>IF(B16="","",IF(I16&lt;&gt;"Yes","Excluded",COUNTIFS(A$4:A$103,A16,I$4:I$103,"Yes",Y$4:Y$103,"&gt;"&amp;Y16)+1))</f>
        <v/>
      </c>
      <c r="AA16" s="7">
        <f>IF(I16&lt;&gt;"Yes","",IF(AND(COUNTIFS(A$4:A$103,A16,I$4:I$103,"Yes")&gt;=2,N16&lt;V16*0.85),"Over 15% under median",""))</f>
        <v/>
      </c>
      <c r="AB16" s="7">
        <f>A16&amp;"|"&amp;Z16</f>
        <v/>
      </c>
      <c r="AD16" s="6" t="n"/>
    </row>
    <row r="17">
      <c r="C17" s="21" t="n"/>
      <c r="I17" s="7">
        <f>IF(B17="","",IF(AND(D17="Yes",E17="Yes",F17="Yes",G17="Yes",H17="Yes",N(J17)&gt;0),"Yes","No"))</f>
        <v/>
      </c>
      <c r="J17" s="29" t="n"/>
      <c r="K17" s="29" t="n"/>
      <c r="L17" s="29" t="n"/>
      <c r="M17" s="29" t="n"/>
      <c r="N17" s="9">
        <f>IF(B17="","",N(J17)+N(K17)+N(L17)+N(M17))</f>
        <v/>
      </c>
      <c r="T17" s="7">
        <f>IFERROR(MATCH(A17,'Tender Setup'!$A$4:$A$33,0),0)</f>
        <v/>
      </c>
      <c r="U17" s="9">
        <f t="array" ref="U17">IF(I17&lt;&gt;"Yes","",MIN(IF((A$4:A$103=A17)*(I$4:I$103="Yes"),N$4:N$103)))</f>
        <v/>
      </c>
      <c r="V17" s="9">
        <f t="array" ref="V17">IF(I17&lt;&gt;"Yes","",MEDIAN(IF((A$4:A$103=A17)*(I$4:I$103="Yes"),N$4:N$103)))</f>
        <v/>
      </c>
      <c r="W17" s="24">
        <f>IF(OR(I17&lt;&gt;"Yes",T17=0),0,U17/N17*INDEX('Tender Setup'!$C$4:$C$33,T17))</f>
        <v/>
      </c>
      <c r="X17" s="24">
        <f>IF(OR(I17&lt;&gt;"Yes",T17=0),0,(N(O17)*INDEX('Tender Setup'!$D$4:$D$33,T17)+N(P17)*INDEX('Tender Setup'!$E$4:$E$33,T17)+N(Q17)*INDEX('Tender Setup'!$F$4:$F$33,T17)+N(R17)*INDEX('Tender Setup'!$G$4:$G$33,T17)+N(S17)*INDEX('Tender Setup'!$H$4:$H$33,T17))/10)</f>
        <v/>
      </c>
      <c r="Y17" s="24">
        <f>IF(B17="","",W17+X17)</f>
        <v/>
      </c>
      <c r="Z17" s="7">
        <f>IF(B17="","",IF(I17&lt;&gt;"Yes","Excluded",COUNTIFS(A$4:A$103,A17,I$4:I$103,"Yes",Y$4:Y$103,"&gt;"&amp;Y17)+1))</f>
        <v/>
      </c>
      <c r="AA17" s="7">
        <f>IF(I17&lt;&gt;"Yes","",IF(AND(COUNTIFS(A$4:A$103,A17,I$4:I$103,"Yes")&gt;=2,N17&lt;V17*0.85),"Over 15% under median",""))</f>
        <v/>
      </c>
      <c r="AB17" s="7">
        <f>A17&amp;"|"&amp;Z17</f>
        <v/>
      </c>
      <c r="AD17" s="6" t="n"/>
    </row>
    <row r="18">
      <c r="C18" s="21" t="n"/>
      <c r="I18" s="7">
        <f>IF(B18="","",IF(AND(D18="Yes",E18="Yes",F18="Yes",G18="Yes",H18="Yes",N(J18)&gt;0),"Yes","No"))</f>
        <v/>
      </c>
      <c r="J18" s="29" t="n"/>
      <c r="K18" s="29" t="n"/>
      <c r="L18" s="29" t="n"/>
      <c r="M18" s="29" t="n"/>
      <c r="N18" s="9">
        <f>IF(B18="","",N(J18)+N(K18)+N(L18)+N(M18))</f>
        <v/>
      </c>
      <c r="T18" s="7">
        <f>IFERROR(MATCH(A18,'Tender Setup'!$A$4:$A$33,0),0)</f>
        <v/>
      </c>
      <c r="U18" s="9">
        <f t="array" ref="U18">IF(I18&lt;&gt;"Yes","",MIN(IF((A$4:A$103=A18)*(I$4:I$103="Yes"),N$4:N$103)))</f>
        <v/>
      </c>
      <c r="V18" s="9">
        <f t="array" ref="V18">IF(I18&lt;&gt;"Yes","",MEDIAN(IF((A$4:A$103=A18)*(I$4:I$103="Yes"),N$4:N$103)))</f>
        <v/>
      </c>
      <c r="W18" s="24">
        <f>IF(OR(I18&lt;&gt;"Yes",T18=0),0,U18/N18*INDEX('Tender Setup'!$C$4:$C$33,T18))</f>
        <v/>
      </c>
      <c r="X18" s="24">
        <f>IF(OR(I18&lt;&gt;"Yes",T18=0),0,(N(O18)*INDEX('Tender Setup'!$D$4:$D$33,T18)+N(P18)*INDEX('Tender Setup'!$E$4:$E$33,T18)+N(Q18)*INDEX('Tender Setup'!$F$4:$F$33,T18)+N(R18)*INDEX('Tender Setup'!$G$4:$G$33,T18)+N(S18)*INDEX('Tender Setup'!$H$4:$H$33,T18))/10)</f>
        <v/>
      </c>
      <c r="Y18" s="24">
        <f>IF(B18="","",W18+X18)</f>
        <v/>
      </c>
      <c r="Z18" s="7">
        <f>IF(B18="","",IF(I18&lt;&gt;"Yes","Excluded",COUNTIFS(A$4:A$103,A18,I$4:I$103,"Yes",Y$4:Y$103,"&gt;"&amp;Y18)+1))</f>
        <v/>
      </c>
      <c r="AA18" s="7">
        <f>IF(I18&lt;&gt;"Yes","",IF(AND(COUNTIFS(A$4:A$103,A18,I$4:I$103,"Yes")&gt;=2,N18&lt;V18*0.85),"Over 15% under median",""))</f>
        <v/>
      </c>
      <c r="AB18" s="7">
        <f>A18&amp;"|"&amp;Z18</f>
        <v/>
      </c>
      <c r="AD18" s="6" t="n"/>
    </row>
    <row r="19">
      <c r="C19" s="21" t="n"/>
      <c r="I19" s="7">
        <f>IF(B19="","",IF(AND(D19="Yes",E19="Yes",F19="Yes",G19="Yes",H19="Yes",N(J19)&gt;0),"Yes","No"))</f>
        <v/>
      </c>
      <c r="J19" s="29" t="n"/>
      <c r="K19" s="29" t="n"/>
      <c r="L19" s="29" t="n"/>
      <c r="M19" s="29" t="n"/>
      <c r="N19" s="9">
        <f>IF(B19="","",N(J19)+N(K19)+N(L19)+N(M19))</f>
        <v/>
      </c>
      <c r="T19" s="7">
        <f>IFERROR(MATCH(A19,'Tender Setup'!$A$4:$A$33,0),0)</f>
        <v/>
      </c>
      <c r="U19" s="9">
        <f t="array" ref="U19">IF(I19&lt;&gt;"Yes","",MIN(IF((A$4:A$103=A19)*(I$4:I$103="Yes"),N$4:N$103)))</f>
        <v/>
      </c>
      <c r="V19" s="9">
        <f t="array" ref="V19">IF(I19&lt;&gt;"Yes","",MEDIAN(IF((A$4:A$103=A19)*(I$4:I$103="Yes"),N$4:N$103)))</f>
        <v/>
      </c>
      <c r="W19" s="24">
        <f>IF(OR(I19&lt;&gt;"Yes",T19=0),0,U19/N19*INDEX('Tender Setup'!$C$4:$C$33,T19))</f>
        <v/>
      </c>
      <c r="X19" s="24">
        <f>IF(OR(I19&lt;&gt;"Yes",T19=0),0,(N(O19)*INDEX('Tender Setup'!$D$4:$D$33,T19)+N(P19)*INDEX('Tender Setup'!$E$4:$E$33,T19)+N(Q19)*INDEX('Tender Setup'!$F$4:$F$33,T19)+N(R19)*INDEX('Tender Setup'!$G$4:$G$33,T19)+N(S19)*INDEX('Tender Setup'!$H$4:$H$33,T19))/10)</f>
        <v/>
      </c>
      <c r="Y19" s="24">
        <f>IF(B19="","",W19+X19)</f>
        <v/>
      </c>
      <c r="Z19" s="7">
        <f>IF(B19="","",IF(I19&lt;&gt;"Yes","Excluded",COUNTIFS(A$4:A$103,A19,I$4:I$103,"Yes",Y$4:Y$103,"&gt;"&amp;Y19)+1))</f>
        <v/>
      </c>
      <c r="AA19" s="7">
        <f>IF(I19&lt;&gt;"Yes","",IF(AND(COUNTIFS(A$4:A$103,A19,I$4:I$103,"Yes")&gt;=2,N19&lt;V19*0.85),"Over 15% under median",""))</f>
        <v/>
      </c>
      <c r="AB19" s="7">
        <f>A19&amp;"|"&amp;Z19</f>
        <v/>
      </c>
      <c r="AD19" s="6" t="n"/>
    </row>
    <row r="20">
      <c r="C20" s="21" t="n"/>
      <c r="I20" s="7">
        <f>IF(B20="","",IF(AND(D20="Yes",E20="Yes",F20="Yes",G20="Yes",H20="Yes",N(J20)&gt;0),"Yes","No"))</f>
        <v/>
      </c>
      <c r="J20" s="29" t="n"/>
      <c r="K20" s="29" t="n"/>
      <c r="L20" s="29" t="n"/>
      <c r="M20" s="29" t="n"/>
      <c r="N20" s="9">
        <f>IF(B20="","",N(J20)+N(K20)+N(L20)+N(M20))</f>
        <v/>
      </c>
      <c r="T20" s="7">
        <f>IFERROR(MATCH(A20,'Tender Setup'!$A$4:$A$33,0),0)</f>
        <v/>
      </c>
      <c r="U20" s="9">
        <f t="array" ref="U20">IF(I20&lt;&gt;"Yes","",MIN(IF((A$4:A$103=A20)*(I$4:I$103="Yes"),N$4:N$103)))</f>
        <v/>
      </c>
      <c r="V20" s="9">
        <f t="array" ref="V20">IF(I20&lt;&gt;"Yes","",MEDIAN(IF((A$4:A$103=A20)*(I$4:I$103="Yes"),N$4:N$103)))</f>
        <v/>
      </c>
      <c r="W20" s="24">
        <f>IF(OR(I20&lt;&gt;"Yes",T20=0),0,U20/N20*INDEX('Tender Setup'!$C$4:$C$33,T20))</f>
        <v/>
      </c>
      <c r="X20" s="24">
        <f>IF(OR(I20&lt;&gt;"Yes",T20=0),0,(N(O20)*INDEX('Tender Setup'!$D$4:$D$33,T20)+N(P20)*INDEX('Tender Setup'!$E$4:$E$33,T20)+N(Q20)*INDEX('Tender Setup'!$F$4:$F$33,T20)+N(R20)*INDEX('Tender Setup'!$G$4:$G$33,T20)+N(S20)*INDEX('Tender Setup'!$H$4:$H$33,T20))/10)</f>
        <v/>
      </c>
      <c r="Y20" s="24">
        <f>IF(B20="","",W20+X20)</f>
        <v/>
      </c>
      <c r="Z20" s="7">
        <f>IF(B20="","",IF(I20&lt;&gt;"Yes","Excluded",COUNTIFS(A$4:A$103,A20,I$4:I$103,"Yes",Y$4:Y$103,"&gt;"&amp;Y20)+1))</f>
        <v/>
      </c>
      <c r="AA20" s="7">
        <f>IF(I20&lt;&gt;"Yes","",IF(AND(COUNTIFS(A$4:A$103,A20,I$4:I$103,"Yes")&gt;=2,N20&lt;V20*0.85),"Over 15% under median",""))</f>
        <v/>
      </c>
      <c r="AB20" s="7">
        <f>A20&amp;"|"&amp;Z20</f>
        <v/>
      </c>
      <c r="AD20" s="6" t="n"/>
    </row>
    <row r="21">
      <c r="C21" s="21" t="n"/>
      <c r="I21" s="7">
        <f>IF(B21="","",IF(AND(D21="Yes",E21="Yes",F21="Yes",G21="Yes",H21="Yes",N(J21)&gt;0),"Yes","No"))</f>
        <v/>
      </c>
      <c r="J21" s="29" t="n"/>
      <c r="K21" s="29" t="n"/>
      <c r="L21" s="29" t="n"/>
      <c r="M21" s="29" t="n"/>
      <c r="N21" s="9">
        <f>IF(B21="","",N(J21)+N(K21)+N(L21)+N(M21))</f>
        <v/>
      </c>
      <c r="T21" s="7">
        <f>IFERROR(MATCH(A21,'Tender Setup'!$A$4:$A$33,0),0)</f>
        <v/>
      </c>
      <c r="U21" s="9">
        <f t="array" ref="U21">IF(I21&lt;&gt;"Yes","",MIN(IF((A$4:A$103=A21)*(I$4:I$103="Yes"),N$4:N$103)))</f>
        <v/>
      </c>
      <c r="V21" s="9">
        <f t="array" ref="V21">IF(I21&lt;&gt;"Yes","",MEDIAN(IF((A$4:A$103=A21)*(I$4:I$103="Yes"),N$4:N$103)))</f>
        <v/>
      </c>
      <c r="W21" s="24">
        <f>IF(OR(I21&lt;&gt;"Yes",T21=0),0,U21/N21*INDEX('Tender Setup'!$C$4:$C$33,T21))</f>
        <v/>
      </c>
      <c r="X21" s="24">
        <f>IF(OR(I21&lt;&gt;"Yes",T21=0),0,(N(O21)*INDEX('Tender Setup'!$D$4:$D$33,T21)+N(P21)*INDEX('Tender Setup'!$E$4:$E$33,T21)+N(Q21)*INDEX('Tender Setup'!$F$4:$F$33,T21)+N(R21)*INDEX('Tender Setup'!$G$4:$G$33,T21)+N(S21)*INDEX('Tender Setup'!$H$4:$H$33,T21))/10)</f>
        <v/>
      </c>
      <c r="Y21" s="24">
        <f>IF(B21="","",W21+X21)</f>
        <v/>
      </c>
      <c r="Z21" s="7">
        <f>IF(B21="","",IF(I21&lt;&gt;"Yes","Excluded",COUNTIFS(A$4:A$103,A21,I$4:I$103,"Yes",Y$4:Y$103,"&gt;"&amp;Y21)+1))</f>
        <v/>
      </c>
      <c r="AA21" s="7">
        <f>IF(I21&lt;&gt;"Yes","",IF(AND(COUNTIFS(A$4:A$103,A21,I$4:I$103,"Yes")&gt;=2,N21&lt;V21*0.85),"Over 15% under median",""))</f>
        <v/>
      </c>
      <c r="AB21" s="7">
        <f>A21&amp;"|"&amp;Z21</f>
        <v/>
      </c>
      <c r="AD21" s="6" t="n"/>
    </row>
    <row r="22">
      <c r="C22" s="21" t="n"/>
      <c r="I22" s="7">
        <f>IF(B22="","",IF(AND(D22="Yes",E22="Yes",F22="Yes",G22="Yes",H22="Yes",N(J22)&gt;0),"Yes","No"))</f>
        <v/>
      </c>
      <c r="J22" s="29" t="n"/>
      <c r="K22" s="29" t="n"/>
      <c r="L22" s="29" t="n"/>
      <c r="M22" s="29" t="n"/>
      <c r="N22" s="9">
        <f>IF(B22="","",N(J22)+N(K22)+N(L22)+N(M22))</f>
        <v/>
      </c>
      <c r="T22" s="7">
        <f>IFERROR(MATCH(A22,'Tender Setup'!$A$4:$A$33,0),0)</f>
        <v/>
      </c>
      <c r="U22" s="9">
        <f t="array" ref="U22">IF(I22&lt;&gt;"Yes","",MIN(IF((A$4:A$103=A22)*(I$4:I$103="Yes"),N$4:N$103)))</f>
        <v/>
      </c>
      <c r="V22" s="9">
        <f t="array" ref="V22">IF(I22&lt;&gt;"Yes","",MEDIAN(IF((A$4:A$103=A22)*(I$4:I$103="Yes"),N$4:N$103)))</f>
        <v/>
      </c>
      <c r="W22" s="24">
        <f>IF(OR(I22&lt;&gt;"Yes",T22=0),0,U22/N22*INDEX('Tender Setup'!$C$4:$C$33,T22))</f>
        <v/>
      </c>
      <c r="X22" s="24">
        <f>IF(OR(I22&lt;&gt;"Yes",T22=0),0,(N(O22)*INDEX('Tender Setup'!$D$4:$D$33,T22)+N(P22)*INDEX('Tender Setup'!$E$4:$E$33,T22)+N(Q22)*INDEX('Tender Setup'!$F$4:$F$33,T22)+N(R22)*INDEX('Tender Setup'!$G$4:$G$33,T22)+N(S22)*INDEX('Tender Setup'!$H$4:$H$33,T22))/10)</f>
        <v/>
      </c>
      <c r="Y22" s="24">
        <f>IF(B22="","",W22+X22)</f>
        <v/>
      </c>
      <c r="Z22" s="7">
        <f>IF(B22="","",IF(I22&lt;&gt;"Yes","Excluded",COUNTIFS(A$4:A$103,A22,I$4:I$103,"Yes",Y$4:Y$103,"&gt;"&amp;Y22)+1))</f>
        <v/>
      </c>
      <c r="AA22" s="7">
        <f>IF(I22&lt;&gt;"Yes","",IF(AND(COUNTIFS(A$4:A$103,A22,I$4:I$103,"Yes")&gt;=2,N22&lt;V22*0.85),"Over 15% under median",""))</f>
        <v/>
      </c>
      <c r="AB22" s="7">
        <f>A22&amp;"|"&amp;Z22</f>
        <v/>
      </c>
      <c r="AD22" s="6" t="n"/>
    </row>
    <row r="23">
      <c r="C23" s="21" t="n"/>
      <c r="I23" s="7">
        <f>IF(B23="","",IF(AND(D23="Yes",E23="Yes",F23="Yes",G23="Yes",H23="Yes",N(J23)&gt;0),"Yes","No"))</f>
        <v/>
      </c>
      <c r="J23" s="29" t="n"/>
      <c r="K23" s="29" t="n"/>
      <c r="L23" s="29" t="n"/>
      <c r="M23" s="29" t="n"/>
      <c r="N23" s="9">
        <f>IF(B23="","",N(J23)+N(K23)+N(L23)+N(M23))</f>
        <v/>
      </c>
      <c r="T23" s="7">
        <f>IFERROR(MATCH(A23,'Tender Setup'!$A$4:$A$33,0),0)</f>
        <v/>
      </c>
      <c r="U23" s="9">
        <f t="array" ref="U23">IF(I23&lt;&gt;"Yes","",MIN(IF((A$4:A$103=A23)*(I$4:I$103="Yes"),N$4:N$103)))</f>
        <v/>
      </c>
      <c r="V23" s="9">
        <f t="array" ref="V23">IF(I23&lt;&gt;"Yes","",MEDIAN(IF((A$4:A$103=A23)*(I$4:I$103="Yes"),N$4:N$103)))</f>
        <v/>
      </c>
      <c r="W23" s="24">
        <f>IF(OR(I23&lt;&gt;"Yes",T23=0),0,U23/N23*INDEX('Tender Setup'!$C$4:$C$33,T23))</f>
        <v/>
      </c>
      <c r="X23" s="24">
        <f>IF(OR(I23&lt;&gt;"Yes",T23=0),0,(N(O23)*INDEX('Tender Setup'!$D$4:$D$33,T23)+N(P23)*INDEX('Tender Setup'!$E$4:$E$33,T23)+N(Q23)*INDEX('Tender Setup'!$F$4:$F$33,T23)+N(R23)*INDEX('Tender Setup'!$G$4:$G$33,T23)+N(S23)*INDEX('Tender Setup'!$H$4:$H$33,T23))/10)</f>
        <v/>
      </c>
      <c r="Y23" s="24">
        <f>IF(B23="","",W23+X23)</f>
        <v/>
      </c>
      <c r="Z23" s="7">
        <f>IF(B23="","",IF(I23&lt;&gt;"Yes","Excluded",COUNTIFS(A$4:A$103,A23,I$4:I$103,"Yes",Y$4:Y$103,"&gt;"&amp;Y23)+1))</f>
        <v/>
      </c>
      <c r="AA23" s="7">
        <f>IF(I23&lt;&gt;"Yes","",IF(AND(COUNTIFS(A$4:A$103,A23,I$4:I$103,"Yes")&gt;=2,N23&lt;V23*0.85),"Over 15% under median",""))</f>
        <v/>
      </c>
      <c r="AB23" s="7">
        <f>A23&amp;"|"&amp;Z23</f>
        <v/>
      </c>
      <c r="AD23" s="6" t="n"/>
    </row>
    <row r="24">
      <c r="C24" s="21" t="n"/>
      <c r="I24" s="7">
        <f>IF(B24="","",IF(AND(D24="Yes",E24="Yes",F24="Yes",G24="Yes",H24="Yes",N(J24)&gt;0),"Yes","No"))</f>
        <v/>
      </c>
      <c r="J24" s="29" t="n"/>
      <c r="K24" s="29" t="n"/>
      <c r="L24" s="29" t="n"/>
      <c r="M24" s="29" t="n"/>
      <c r="N24" s="9">
        <f>IF(B24="","",N(J24)+N(K24)+N(L24)+N(M24))</f>
        <v/>
      </c>
      <c r="T24" s="7">
        <f>IFERROR(MATCH(A24,'Tender Setup'!$A$4:$A$33,0),0)</f>
        <v/>
      </c>
      <c r="U24" s="9">
        <f t="array" ref="U24">IF(I24&lt;&gt;"Yes","",MIN(IF((A$4:A$103=A24)*(I$4:I$103="Yes"),N$4:N$103)))</f>
        <v/>
      </c>
      <c r="V24" s="9">
        <f t="array" ref="V24">IF(I24&lt;&gt;"Yes","",MEDIAN(IF((A$4:A$103=A24)*(I$4:I$103="Yes"),N$4:N$103)))</f>
        <v/>
      </c>
      <c r="W24" s="24">
        <f>IF(OR(I24&lt;&gt;"Yes",T24=0),0,U24/N24*INDEX('Tender Setup'!$C$4:$C$33,T24))</f>
        <v/>
      </c>
      <c r="X24" s="24">
        <f>IF(OR(I24&lt;&gt;"Yes",T24=0),0,(N(O24)*INDEX('Tender Setup'!$D$4:$D$33,T24)+N(P24)*INDEX('Tender Setup'!$E$4:$E$33,T24)+N(Q24)*INDEX('Tender Setup'!$F$4:$F$33,T24)+N(R24)*INDEX('Tender Setup'!$G$4:$G$33,T24)+N(S24)*INDEX('Tender Setup'!$H$4:$H$33,T24))/10)</f>
        <v/>
      </c>
      <c r="Y24" s="24">
        <f>IF(B24="","",W24+X24)</f>
        <v/>
      </c>
      <c r="Z24" s="7">
        <f>IF(B24="","",IF(I24&lt;&gt;"Yes","Excluded",COUNTIFS(A$4:A$103,A24,I$4:I$103,"Yes",Y$4:Y$103,"&gt;"&amp;Y24)+1))</f>
        <v/>
      </c>
      <c r="AA24" s="7">
        <f>IF(I24&lt;&gt;"Yes","",IF(AND(COUNTIFS(A$4:A$103,A24,I$4:I$103,"Yes")&gt;=2,N24&lt;V24*0.85),"Over 15% under median",""))</f>
        <v/>
      </c>
      <c r="AB24" s="7">
        <f>A24&amp;"|"&amp;Z24</f>
        <v/>
      </c>
      <c r="AD24" s="6" t="n"/>
    </row>
    <row r="25">
      <c r="C25" s="21" t="n"/>
      <c r="I25" s="7">
        <f>IF(B25="","",IF(AND(D25="Yes",E25="Yes",F25="Yes",G25="Yes",H25="Yes",N(J25)&gt;0),"Yes","No"))</f>
        <v/>
      </c>
      <c r="J25" s="29" t="n"/>
      <c r="K25" s="29" t="n"/>
      <c r="L25" s="29" t="n"/>
      <c r="M25" s="29" t="n"/>
      <c r="N25" s="9">
        <f>IF(B25="","",N(J25)+N(K25)+N(L25)+N(M25))</f>
        <v/>
      </c>
      <c r="T25" s="7">
        <f>IFERROR(MATCH(A25,'Tender Setup'!$A$4:$A$33,0),0)</f>
        <v/>
      </c>
      <c r="U25" s="9">
        <f t="array" ref="U25">IF(I25&lt;&gt;"Yes","",MIN(IF((A$4:A$103=A25)*(I$4:I$103="Yes"),N$4:N$103)))</f>
        <v/>
      </c>
      <c r="V25" s="9">
        <f t="array" ref="V25">IF(I25&lt;&gt;"Yes","",MEDIAN(IF((A$4:A$103=A25)*(I$4:I$103="Yes"),N$4:N$103)))</f>
        <v/>
      </c>
      <c r="W25" s="24">
        <f>IF(OR(I25&lt;&gt;"Yes",T25=0),0,U25/N25*INDEX('Tender Setup'!$C$4:$C$33,T25))</f>
        <v/>
      </c>
      <c r="X25" s="24">
        <f>IF(OR(I25&lt;&gt;"Yes",T25=0),0,(N(O25)*INDEX('Tender Setup'!$D$4:$D$33,T25)+N(P25)*INDEX('Tender Setup'!$E$4:$E$33,T25)+N(Q25)*INDEX('Tender Setup'!$F$4:$F$33,T25)+N(R25)*INDEX('Tender Setup'!$G$4:$G$33,T25)+N(S25)*INDEX('Tender Setup'!$H$4:$H$33,T25))/10)</f>
        <v/>
      </c>
      <c r="Y25" s="24">
        <f>IF(B25="","",W25+X25)</f>
        <v/>
      </c>
      <c r="Z25" s="7">
        <f>IF(B25="","",IF(I25&lt;&gt;"Yes","Excluded",COUNTIFS(A$4:A$103,A25,I$4:I$103,"Yes",Y$4:Y$103,"&gt;"&amp;Y25)+1))</f>
        <v/>
      </c>
      <c r="AA25" s="7">
        <f>IF(I25&lt;&gt;"Yes","",IF(AND(COUNTIFS(A$4:A$103,A25,I$4:I$103,"Yes")&gt;=2,N25&lt;V25*0.85),"Over 15% under median",""))</f>
        <v/>
      </c>
      <c r="AB25" s="7">
        <f>A25&amp;"|"&amp;Z25</f>
        <v/>
      </c>
      <c r="AD25" s="6" t="n"/>
    </row>
    <row r="26">
      <c r="C26" s="21" t="n"/>
      <c r="I26" s="7">
        <f>IF(B26="","",IF(AND(D26="Yes",E26="Yes",F26="Yes",G26="Yes",H26="Yes",N(J26)&gt;0),"Yes","No"))</f>
        <v/>
      </c>
      <c r="J26" s="29" t="n"/>
      <c r="K26" s="29" t="n"/>
      <c r="L26" s="29" t="n"/>
      <c r="M26" s="29" t="n"/>
      <c r="N26" s="9">
        <f>IF(B26="","",N(J26)+N(K26)+N(L26)+N(M26))</f>
        <v/>
      </c>
      <c r="T26" s="7">
        <f>IFERROR(MATCH(A26,'Tender Setup'!$A$4:$A$33,0),0)</f>
        <v/>
      </c>
      <c r="U26" s="9">
        <f t="array" ref="U26">IF(I26&lt;&gt;"Yes","",MIN(IF((A$4:A$103=A26)*(I$4:I$103="Yes"),N$4:N$103)))</f>
        <v/>
      </c>
      <c r="V26" s="9">
        <f t="array" ref="V26">IF(I26&lt;&gt;"Yes","",MEDIAN(IF((A$4:A$103=A26)*(I$4:I$103="Yes"),N$4:N$103)))</f>
        <v/>
      </c>
      <c r="W26" s="24">
        <f>IF(OR(I26&lt;&gt;"Yes",T26=0),0,U26/N26*INDEX('Tender Setup'!$C$4:$C$33,T26))</f>
        <v/>
      </c>
      <c r="X26" s="24">
        <f>IF(OR(I26&lt;&gt;"Yes",T26=0),0,(N(O26)*INDEX('Tender Setup'!$D$4:$D$33,T26)+N(P26)*INDEX('Tender Setup'!$E$4:$E$33,T26)+N(Q26)*INDEX('Tender Setup'!$F$4:$F$33,T26)+N(R26)*INDEX('Tender Setup'!$G$4:$G$33,T26)+N(S26)*INDEX('Tender Setup'!$H$4:$H$33,T26))/10)</f>
        <v/>
      </c>
      <c r="Y26" s="24">
        <f>IF(B26="","",W26+X26)</f>
        <v/>
      </c>
      <c r="Z26" s="7">
        <f>IF(B26="","",IF(I26&lt;&gt;"Yes","Excluded",COUNTIFS(A$4:A$103,A26,I$4:I$103,"Yes",Y$4:Y$103,"&gt;"&amp;Y26)+1))</f>
        <v/>
      </c>
      <c r="AA26" s="7">
        <f>IF(I26&lt;&gt;"Yes","",IF(AND(COUNTIFS(A$4:A$103,A26,I$4:I$103,"Yes")&gt;=2,N26&lt;V26*0.85),"Over 15% under median",""))</f>
        <v/>
      </c>
      <c r="AB26" s="7">
        <f>A26&amp;"|"&amp;Z26</f>
        <v/>
      </c>
      <c r="AD26" s="6" t="n"/>
    </row>
    <row r="27">
      <c r="C27" s="21" t="n"/>
      <c r="I27" s="7">
        <f>IF(B27="","",IF(AND(D27="Yes",E27="Yes",F27="Yes",G27="Yes",H27="Yes",N(J27)&gt;0),"Yes","No"))</f>
        <v/>
      </c>
      <c r="J27" s="29" t="n"/>
      <c r="K27" s="29" t="n"/>
      <c r="L27" s="29" t="n"/>
      <c r="M27" s="29" t="n"/>
      <c r="N27" s="9">
        <f>IF(B27="","",N(J27)+N(K27)+N(L27)+N(M27))</f>
        <v/>
      </c>
      <c r="T27" s="7">
        <f>IFERROR(MATCH(A27,'Tender Setup'!$A$4:$A$33,0),0)</f>
        <v/>
      </c>
      <c r="U27" s="9">
        <f t="array" ref="U27">IF(I27&lt;&gt;"Yes","",MIN(IF((A$4:A$103=A27)*(I$4:I$103="Yes"),N$4:N$103)))</f>
        <v/>
      </c>
      <c r="V27" s="9">
        <f t="array" ref="V27">IF(I27&lt;&gt;"Yes","",MEDIAN(IF((A$4:A$103=A27)*(I$4:I$103="Yes"),N$4:N$103)))</f>
        <v/>
      </c>
      <c r="W27" s="24">
        <f>IF(OR(I27&lt;&gt;"Yes",T27=0),0,U27/N27*INDEX('Tender Setup'!$C$4:$C$33,T27))</f>
        <v/>
      </c>
      <c r="X27" s="24">
        <f>IF(OR(I27&lt;&gt;"Yes",T27=0),0,(N(O27)*INDEX('Tender Setup'!$D$4:$D$33,T27)+N(P27)*INDEX('Tender Setup'!$E$4:$E$33,T27)+N(Q27)*INDEX('Tender Setup'!$F$4:$F$33,T27)+N(R27)*INDEX('Tender Setup'!$G$4:$G$33,T27)+N(S27)*INDEX('Tender Setup'!$H$4:$H$33,T27))/10)</f>
        <v/>
      </c>
      <c r="Y27" s="24">
        <f>IF(B27="","",W27+X27)</f>
        <v/>
      </c>
      <c r="Z27" s="7">
        <f>IF(B27="","",IF(I27&lt;&gt;"Yes","Excluded",COUNTIFS(A$4:A$103,A27,I$4:I$103,"Yes",Y$4:Y$103,"&gt;"&amp;Y27)+1))</f>
        <v/>
      </c>
      <c r="AA27" s="7">
        <f>IF(I27&lt;&gt;"Yes","",IF(AND(COUNTIFS(A$4:A$103,A27,I$4:I$103,"Yes")&gt;=2,N27&lt;V27*0.85),"Over 15% under median",""))</f>
        <v/>
      </c>
      <c r="AB27" s="7">
        <f>A27&amp;"|"&amp;Z27</f>
        <v/>
      </c>
      <c r="AD27" s="6" t="n"/>
    </row>
    <row r="28">
      <c r="C28" s="21" t="n"/>
      <c r="I28" s="7">
        <f>IF(B28="","",IF(AND(D28="Yes",E28="Yes",F28="Yes",G28="Yes",H28="Yes",N(J28)&gt;0),"Yes","No"))</f>
        <v/>
      </c>
      <c r="J28" s="29" t="n"/>
      <c r="K28" s="29" t="n"/>
      <c r="L28" s="29" t="n"/>
      <c r="M28" s="29" t="n"/>
      <c r="N28" s="9">
        <f>IF(B28="","",N(J28)+N(K28)+N(L28)+N(M28))</f>
        <v/>
      </c>
      <c r="T28" s="7">
        <f>IFERROR(MATCH(A28,'Tender Setup'!$A$4:$A$33,0),0)</f>
        <v/>
      </c>
      <c r="U28" s="9">
        <f t="array" ref="U28">IF(I28&lt;&gt;"Yes","",MIN(IF((A$4:A$103=A28)*(I$4:I$103="Yes"),N$4:N$103)))</f>
        <v/>
      </c>
      <c r="V28" s="9">
        <f t="array" ref="V28">IF(I28&lt;&gt;"Yes","",MEDIAN(IF((A$4:A$103=A28)*(I$4:I$103="Yes"),N$4:N$103)))</f>
        <v/>
      </c>
      <c r="W28" s="24">
        <f>IF(OR(I28&lt;&gt;"Yes",T28=0),0,U28/N28*INDEX('Tender Setup'!$C$4:$C$33,T28))</f>
        <v/>
      </c>
      <c r="X28" s="24">
        <f>IF(OR(I28&lt;&gt;"Yes",T28=0),0,(N(O28)*INDEX('Tender Setup'!$D$4:$D$33,T28)+N(P28)*INDEX('Tender Setup'!$E$4:$E$33,T28)+N(Q28)*INDEX('Tender Setup'!$F$4:$F$33,T28)+N(R28)*INDEX('Tender Setup'!$G$4:$G$33,T28)+N(S28)*INDEX('Tender Setup'!$H$4:$H$33,T28))/10)</f>
        <v/>
      </c>
      <c r="Y28" s="24">
        <f>IF(B28="","",W28+X28)</f>
        <v/>
      </c>
      <c r="Z28" s="7">
        <f>IF(B28="","",IF(I28&lt;&gt;"Yes","Excluded",COUNTIFS(A$4:A$103,A28,I$4:I$103,"Yes",Y$4:Y$103,"&gt;"&amp;Y28)+1))</f>
        <v/>
      </c>
      <c r="AA28" s="7">
        <f>IF(I28&lt;&gt;"Yes","",IF(AND(COUNTIFS(A$4:A$103,A28,I$4:I$103,"Yes")&gt;=2,N28&lt;V28*0.85),"Over 15% under median",""))</f>
        <v/>
      </c>
      <c r="AB28" s="7">
        <f>A28&amp;"|"&amp;Z28</f>
        <v/>
      </c>
      <c r="AD28" s="6" t="n"/>
    </row>
    <row r="29">
      <c r="C29" s="21" t="n"/>
      <c r="I29" s="7">
        <f>IF(B29="","",IF(AND(D29="Yes",E29="Yes",F29="Yes",G29="Yes",H29="Yes",N(J29)&gt;0),"Yes","No"))</f>
        <v/>
      </c>
      <c r="J29" s="29" t="n"/>
      <c r="K29" s="29" t="n"/>
      <c r="L29" s="29" t="n"/>
      <c r="M29" s="29" t="n"/>
      <c r="N29" s="9">
        <f>IF(B29="","",N(J29)+N(K29)+N(L29)+N(M29))</f>
        <v/>
      </c>
      <c r="T29" s="7">
        <f>IFERROR(MATCH(A29,'Tender Setup'!$A$4:$A$33,0),0)</f>
        <v/>
      </c>
      <c r="U29" s="9">
        <f t="array" ref="U29">IF(I29&lt;&gt;"Yes","",MIN(IF((A$4:A$103=A29)*(I$4:I$103="Yes"),N$4:N$103)))</f>
        <v/>
      </c>
      <c r="V29" s="9">
        <f t="array" ref="V29">IF(I29&lt;&gt;"Yes","",MEDIAN(IF((A$4:A$103=A29)*(I$4:I$103="Yes"),N$4:N$103)))</f>
        <v/>
      </c>
      <c r="W29" s="24">
        <f>IF(OR(I29&lt;&gt;"Yes",T29=0),0,U29/N29*INDEX('Tender Setup'!$C$4:$C$33,T29))</f>
        <v/>
      </c>
      <c r="X29" s="24">
        <f>IF(OR(I29&lt;&gt;"Yes",T29=0),0,(N(O29)*INDEX('Tender Setup'!$D$4:$D$33,T29)+N(P29)*INDEX('Tender Setup'!$E$4:$E$33,T29)+N(Q29)*INDEX('Tender Setup'!$F$4:$F$33,T29)+N(R29)*INDEX('Tender Setup'!$G$4:$G$33,T29)+N(S29)*INDEX('Tender Setup'!$H$4:$H$33,T29))/10)</f>
        <v/>
      </c>
      <c r="Y29" s="24">
        <f>IF(B29="","",W29+X29)</f>
        <v/>
      </c>
      <c r="Z29" s="7">
        <f>IF(B29="","",IF(I29&lt;&gt;"Yes","Excluded",COUNTIFS(A$4:A$103,A29,I$4:I$103,"Yes",Y$4:Y$103,"&gt;"&amp;Y29)+1))</f>
        <v/>
      </c>
      <c r="AA29" s="7">
        <f>IF(I29&lt;&gt;"Yes","",IF(AND(COUNTIFS(A$4:A$103,A29,I$4:I$103,"Yes")&gt;=2,N29&lt;V29*0.85),"Over 15% under median",""))</f>
        <v/>
      </c>
      <c r="AB29" s="7">
        <f>A29&amp;"|"&amp;Z29</f>
        <v/>
      </c>
      <c r="AD29" s="6" t="n"/>
    </row>
    <row r="30">
      <c r="C30" s="21" t="n"/>
      <c r="I30" s="7">
        <f>IF(B30="","",IF(AND(D30="Yes",E30="Yes",F30="Yes",G30="Yes",H30="Yes",N(J30)&gt;0),"Yes","No"))</f>
        <v/>
      </c>
      <c r="J30" s="29" t="n"/>
      <c r="K30" s="29" t="n"/>
      <c r="L30" s="29" t="n"/>
      <c r="M30" s="29" t="n"/>
      <c r="N30" s="9">
        <f>IF(B30="","",N(J30)+N(K30)+N(L30)+N(M30))</f>
        <v/>
      </c>
      <c r="T30" s="7">
        <f>IFERROR(MATCH(A30,'Tender Setup'!$A$4:$A$33,0),0)</f>
        <v/>
      </c>
      <c r="U30" s="9">
        <f t="array" ref="U30">IF(I30&lt;&gt;"Yes","",MIN(IF((A$4:A$103=A30)*(I$4:I$103="Yes"),N$4:N$103)))</f>
        <v/>
      </c>
      <c r="V30" s="9">
        <f t="array" ref="V30">IF(I30&lt;&gt;"Yes","",MEDIAN(IF((A$4:A$103=A30)*(I$4:I$103="Yes"),N$4:N$103)))</f>
        <v/>
      </c>
      <c r="W30" s="24">
        <f>IF(OR(I30&lt;&gt;"Yes",T30=0),0,U30/N30*INDEX('Tender Setup'!$C$4:$C$33,T30))</f>
        <v/>
      </c>
      <c r="X30" s="24">
        <f>IF(OR(I30&lt;&gt;"Yes",T30=0),0,(N(O30)*INDEX('Tender Setup'!$D$4:$D$33,T30)+N(P30)*INDEX('Tender Setup'!$E$4:$E$33,T30)+N(Q30)*INDEX('Tender Setup'!$F$4:$F$33,T30)+N(R30)*INDEX('Tender Setup'!$G$4:$G$33,T30)+N(S30)*INDEX('Tender Setup'!$H$4:$H$33,T30))/10)</f>
        <v/>
      </c>
      <c r="Y30" s="24">
        <f>IF(B30="","",W30+X30)</f>
        <v/>
      </c>
      <c r="Z30" s="7">
        <f>IF(B30="","",IF(I30&lt;&gt;"Yes","Excluded",COUNTIFS(A$4:A$103,A30,I$4:I$103,"Yes",Y$4:Y$103,"&gt;"&amp;Y30)+1))</f>
        <v/>
      </c>
      <c r="AA30" s="7">
        <f>IF(I30&lt;&gt;"Yes","",IF(AND(COUNTIFS(A$4:A$103,A30,I$4:I$103,"Yes")&gt;=2,N30&lt;V30*0.85),"Over 15% under median",""))</f>
        <v/>
      </c>
      <c r="AB30" s="7">
        <f>A30&amp;"|"&amp;Z30</f>
        <v/>
      </c>
      <c r="AD30" s="6" t="n"/>
    </row>
    <row r="31">
      <c r="C31" s="21" t="n"/>
      <c r="I31" s="7">
        <f>IF(B31="","",IF(AND(D31="Yes",E31="Yes",F31="Yes",G31="Yes",H31="Yes",N(J31)&gt;0),"Yes","No"))</f>
        <v/>
      </c>
      <c r="J31" s="29" t="n"/>
      <c r="K31" s="29" t="n"/>
      <c r="L31" s="29" t="n"/>
      <c r="M31" s="29" t="n"/>
      <c r="N31" s="9">
        <f>IF(B31="","",N(J31)+N(K31)+N(L31)+N(M31))</f>
        <v/>
      </c>
      <c r="T31" s="7">
        <f>IFERROR(MATCH(A31,'Tender Setup'!$A$4:$A$33,0),0)</f>
        <v/>
      </c>
      <c r="U31" s="9">
        <f t="array" ref="U31">IF(I31&lt;&gt;"Yes","",MIN(IF((A$4:A$103=A31)*(I$4:I$103="Yes"),N$4:N$103)))</f>
        <v/>
      </c>
      <c r="V31" s="9">
        <f t="array" ref="V31">IF(I31&lt;&gt;"Yes","",MEDIAN(IF((A$4:A$103=A31)*(I$4:I$103="Yes"),N$4:N$103)))</f>
        <v/>
      </c>
      <c r="W31" s="24">
        <f>IF(OR(I31&lt;&gt;"Yes",T31=0),0,U31/N31*INDEX('Tender Setup'!$C$4:$C$33,T31))</f>
        <v/>
      </c>
      <c r="X31" s="24">
        <f>IF(OR(I31&lt;&gt;"Yes",T31=0),0,(N(O31)*INDEX('Tender Setup'!$D$4:$D$33,T31)+N(P31)*INDEX('Tender Setup'!$E$4:$E$33,T31)+N(Q31)*INDEX('Tender Setup'!$F$4:$F$33,T31)+N(R31)*INDEX('Tender Setup'!$G$4:$G$33,T31)+N(S31)*INDEX('Tender Setup'!$H$4:$H$33,T31))/10)</f>
        <v/>
      </c>
      <c r="Y31" s="24">
        <f>IF(B31="","",W31+X31)</f>
        <v/>
      </c>
      <c r="Z31" s="7">
        <f>IF(B31="","",IF(I31&lt;&gt;"Yes","Excluded",COUNTIFS(A$4:A$103,A31,I$4:I$103,"Yes",Y$4:Y$103,"&gt;"&amp;Y31)+1))</f>
        <v/>
      </c>
      <c r="AA31" s="7">
        <f>IF(I31&lt;&gt;"Yes","",IF(AND(COUNTIFS(A$4:A$103,A31,I$4:I$103,"Yes")&gt;=2,N31&lt;V31*0.85),"Over 15% under median",""))</f>
        <v/>
      </c>
      <c r="AB31" s="7">
        <f>A31&amp;"|"&amp;Z31</f>
        <v/>
      </c>
      <c r="AD31" s="6" t="n"/>
    </row>
    <row r="32">
      <c r="C32" s="21" t="n"/>
      <c r="I32" s="7">
        <f>IF(B32="","",IF(AND(D32="Yes",E32="Yes",F32="Yes",G32="Yes",H32="Yes",N(J32)&gt;0),"Yes","No"))</f>
        <v/>
      </c>
      <c r="J32" s="29" t="n"/>
      <c r="K32" s="29" t="n"/>
      <c r="L32" s="29" t="n"/>
      <c r="M32" s="29" t="n"/>
      <c r="N32" s="9">
        <f>IF(B32="","",N(J32)+N(K32)+N(L32)+N(M32))</f>
        <v/>
      </c>
      <c r="T32" s="7">
        <f>IFERROR(MATCH(A32,'Tender Setup'!$A$4:$A$33,0),0)</f>
        <v/>
      </c>
      <c r="U32" s="9">
        <f t="array" ref="U32">IF(I32&lt;&gt;"Yes","",MIN(IF((A$4:A$103=A32)*(I$4:I$103="Yes"),N$4:N$103)))</f>
        <v/>
      </c>
      <c r="V32" s="9">
        <f t="array" ref="V32">IF(I32&lt;&gt;"Yes","",MEDIAN(IF((A$4:A$103=A32)*(I$4:I$103="Yes"),N$4:N$103)))</f>
        <v/>
      </c>
      <c r="W32" s="24">
        <f>IF(OR(I32&lt;&gt;"Yes",T32=0),0,U32/N32*INDEX('Tender Setup'!$C$4:$C$33,T32))</f>
        <v/>
      </c>
      <c r="X32" s="24">
        <f>IF(OR(I32&lt;&gt;"Yes",T32=0),0,(N(O32)*INDEX('Tender Setup'!$D$4:$D$33,T32)+N(P32)*INDEX('Tender Setup'!$E$4:$E$33,T32)+N(Q32)*INDEX('Tender Setup'!$F$4:$F$33,T32)+N(R32)*INDEX('Tender Setup'!$G$4:$G$33,T32)+N(S32)*INDEX('Tender Setup'!$H$4:$H$33,T32))/10)</f>
        <v/>
      </c>
      <c r="Y32" s="24">
        <f>IF(B32="","",W32+X32)</f>
        <v/>
      </c>
      <c r="Z32" s="7">
        <f>IF(B32="","",IF(I32&lt;&gt;"Yes","Excluded",COUNTIFS(A$4:A$103,A32,I$4:I$103,"Yes",Y$4:Y$103,"&gt;"&amp;Y32)+1))</f>
        <v/>
      </c>
      <c r="AA32" s="7">
        <f>IF(I32&lt;&gt;"Yes","",IF(AND(COUNTIFS(A$4:A$103,A32,I$4:I$103,"Yes")&gt;=2,N32&lt;V32*0.85),"Over 15% under median",""))</f>
        <v/>
      </c>
      <c r="AB32" s="7">
        <f>A32&amp;"|"&amp;Z32</f>
        <v/>
      </c>
      <c r="AD32" s="6" t="n"/>
    </row>
    <row r="33">
      <c r="C33" s="21" t="n"/>
      <c r="I33" s="7">
        <f>IF(B33="","",IF(AND(D33="Yes",E33="Yes",F33="Yes",G33="Yes",H33="Yes",N(J33)&gt;0),"Yes","No"))</f>
        <v/>
      </c>
      <c r="J33" s="29" t="n"/>
      <c r="K33" s="29" t="n"/>
      <c r="L33" s="29" t="n"/>
      <c r="M33" s="29" t="n"/>
      <c r="N33" s="9">
        <f>IF(B33="","",N(J33)+N(K33)+N(L33)+N(M33))</f>
        <v/>
      </c>
      <c r="T33" s="7">
        <f>IFERROR(MATCH(A33,'Tender Setup'!$A$4:$A$33,0),0)</f>
        <v/>
      </c>
      <c r="U33" s="9">
        <f t="array" ref="U33">IF(I33&lt;&gt;"Yes","",MIN(IF((A$4:A$103=A33)*(I$4:I$103="Yes"),N$4:N$103)))</f>
        <v/>
      </c>
      <c r="V33" s="9">
        <f t="array" ref="V33">IF(I33&lt;&gt;"Yes","",MEDIAN(IF((A$4:A$103=A33)*(I$4:I$103="Yes"),N$4:N$103)))</f>
        <v/>
      </c>
      <c r="W33" s="24">
        <f>IF(OR(I33&lt;&gt;"Yes",T33=0),0,U33/N33*INDEX('Tender Setup'!$C$4:$C$33,T33))</f>
        <v/>
      </c>
      <c r="X33" s="24">
        <f>IF(OR(I33&lt;&gt;"Yes",T33=0),0,(N(O33)*INDEX('Tender Setup'!$D$4:$D$33,T33)+N(P33)*INDEX('Tender Setup'!$E$4:$E$33,T33)+N(Q33)*INDEX('Tender Setup'!$F$4:$F$33,T33)+N(R33)*INDEX('Tender Setup'!$G$4:$G$33,T33)+N(S33)*INDEX('Tender Setup'!$H$4:$H$33,T33))/10)</f>
        <v/>
      </c>
      <c r="Y33" s="24">
        <f>IF(B33="","",W33+X33)</f>
        <v/>
      </c>
      <c r="Z33" s="7">
        <f>IF(B33="","",IF(I33&lt;&gt;"Yes","Excluded",COUNTIFS(A$4:A$103,A33,I$4:I$103,"Yes",Y$4:Y$103,"&gt;"&amp;Y33)+1))</f>
        <v/>
      </c>
      <c r="AA33" s="7">
        <f>IF(I33&lt;&gt;"Yes","",IF(AND(COUNTIFS(A$4:A$103,A33,I$4:I$103,"Yes")&gt;=2,N33&lt;V33*0.85),"Over 15% under median",""))</f>
        <v/>
      </c>
      <c r="AB33" s="7">
        <f>A33&amp;"|"&amp;Z33</f>
        <v/>
      </c>
      <c r="AD33" s="6" t="n"/>
    </row>
    <row r="34">
      <c r="C34" s="21" t="n"/>
      <c r="I34" s="7">
        <f>IF(B34="","",IF(AND(D34="Yes",E34="Yes",F34="Yes",G34="Yes",H34="Yes",N(J34)&gt;0),"Yes","No"))</f>
        <v/>
      </c>
      <c r="J34" s="29" t="n"/>
      <c r="K34" s="29" t="n"/>
      <c r="L34" s="29" t="n"/>
      <c r="M34" s="29" t="n"/>
      <c r="N34" s="9">
        <f>IF(B34="","",N(J34)+N(K34)+N(L34)+N(M34))</f>
        <v/>
      </c>
      <c r="T34" s="7">
        <f>IFERROR(MATCH(A34,'Tender Setup'!$A$4:$A$33,0),0)</f>
        <v/>
      </c>
      <c r="U34" s="9">
        <f t="array" ref="U34">IF(I34&lt;&gt;"Yes","",MIN(IF((A$4:A$103=A34)*(I$4:I$103="Yes"),N$4:N$103)))</f>
        <v/>
      </c>
      <c r="V34" s="9">
        <f t="array" ref="V34">IF(I34&lt;&gt;"Yes","",MEDIAN(IF((A$4:A$103=A34)*(I$4:I$103="Yes"),N$4:N$103)))</f>
        <v/>
      </c>
      <c r="W34" s="24">
        <f>IF(OR(I34&lt;&gt;"Yes",T34=0),0,U34/N34*INDEX('Tender Setup'!$C$4:$C$33,T34))</f>
        <v/>
      </c>
      <c r="X34" s="24">
        <f>IF(OR(I34&lt;&gt;"Yes",T34=0),0,(N(O34)*INDEX('Tender Setup'!$D$4:$D$33,T34)+N(P34)*INDEX('Tender Setup'!$E$4:$E$33,T34)+N(Q34)*INDEX('Tender Setup'!$F$4:$F$33,T34)+N(R34)*INDEX('Tender Setup'!$G$4:$G$33,T34)+N(S34)*INDEX('Tender Setup'!$H$4:$H$33,T34))/10)</f>
        <v/>
      </c>
      <c r="Y34" s="24">
        <f>IF(B34="","",W34+X34)</f>
        <v/>
      </c>
      <c r="Z34" s="7">
        <f>IF(B34="","",IF(I34&lt;&gt;"Yes","Excluded",COUNTIFS(A$4:A$103,A34,I$4:I$103,"Yes",Y$4:Y$103,"&gt;"&amp;Y34)+1))</f>
        <v/>
      </c>
      <c r="AA34" s="7">
        <f>IF(I34&lt;&gt;"Yes","",IF(AND(COUNTIFS(A$4:A$103,A34,I$4:I$103,"Yes")&gt;=2,N34&lt;V34*0.85),"Over 15% under median",""))</f>
        <v/>
      </c>
      <c r="AB34" s="7">
        <f>A34&amp;"|"&amp;Z34</f>
        <v/>
      </c>
      <c r="AD34" s="6" t="n"/>
    </row>
    <row r="35">
      <c r="C35" s="21" t="n"/>
      <c r="I35" s="7">
        <f>IF(B35="","",IF(AND(D35="Yes",E35="Yes",F35="Yes",G35="Yes",H35="Yes",N(J35)&gt;0),"Yes","No"))</f>
        <v/>
      </c>
      <c r="J35" s="29" t="n"/>
      <c r="K35" s="29" t="n"/>
      <c r="L35" s="29" t="n"/>
      <c r="M35" s="29" t="n"/>
      <c r="N35" s="9">
        <f>IF(B35="","",N(J35)+N(K35)+N(L35)+N(M35))</f>
        <v/>
      </c>
      <c r="T35" s="7">
        <f>IFERROR(MATCH(A35,'Tender Setup'!$A$4:$A$33,0),0)</f>
        <v/>
      </c>
      <c r="U35" s="9">
        <f t="array" ref="U35">IF(I35&lt;&gt;"Yes","",MIN(IF((A$4:A$103=A35)*(I$4:I$103="Yes"),N$4:N$103)))</f>
        <v/>
      </c>
      <c r="V35" s="9">
        <f t="array" ref="V35">IF(I35&lt;&gt;"Yes","",MEDIAN(IF((A$4:A$103=A35)*(I$4:I$103="Yes"),N$4:N$103)))</f>
        <v/>
      </c>
      <c r="W35" s="24">
        <f>IF(OR(I35&lt;&gt;"Yes",T35=0),0,U35/N35*INDEX('Tender Setup'!$C$4:$C$33,T35))</f>
        <v/>
      </c>
      <c r="X35" s="24">
        <f>IF(OR(I35&lt;&gt;"Yes",T35=0),0,(N(O35)*INDEX('Tender Setup'!$D$4:$D$33,T35)+N(P35)*INDEX('Tender Setup'!$E$4:$E$33,T35)+N(Q35)*INDEX('Tender Setup'!$F$4:$F$33,T35)+N(R35)*INDEX('Tender Setup'!$G$4:$G$33,T35)+N(S35)*INDEX('Tender Setup'!$H$4:$H$33,T35))/10)</f>
        <v/>
      </c>
      <c r="Y35" s="24">
        <f>IF(B35="","",W35+X35)</f>
        <v/>
      </c>
      <c r="Z35" s="7">
        <f>IF(B35="","",IF(I35&lt;&gt;"Yes","Excluded",COUNTIFS(A$4:A$103,A35,I$4:I$103,"Yes",Y$4:Y$103,"&gt;"&amp;Y35)+1))</f>
        <v/>
      </c>
      <c r="AA35" s="7">
        <f>IF(I35&lt;&gt;"Yes","",IF(AND(COUNTIFS(A$4:A$103,A35,I$4:I$103,"Yes")&gt;=2,N35&lt;V35*0.85),"Over 15% under median",""))</f>
        <v/>
      </c>
      <c r="AB35" s="7">
        <f>A35&amp;"|"&amp;Z35</f>
        <v/>
      </c>
      <c r="AD35" s="6" t="n"/>
    </row>
    <row r="36">
      <c r="C36" s="21" t="n"/>
      <c r="I36" s="7">
        <f>IF(B36="","",IF(AND(D36="Yes",E36="Yes",F36="Yes",G36="Yes",H36="Yes",N(J36)&gt;0),"Yes","No"))</f>
        <v/>
      </c>
      <c r="J36" s="29" t="n"/>
      <c r="K36" s="29" t="n"/>
      <c r="L36" s="29" t="n"/>
      <c r="M36" s="29" t="n"/>
      <c r="N36" s="9">
        <f>IF(B36="","",N(J36)+N(K36)+N(L36)+N(M36))</f>
        <v/>
      </c>
      <c r="T36" s="7">
        <f>IFERROR(MATCH(A36,'Tender Setup'!$A$4:$A$33,0),0)</f>
        <v/>
      </c>
      <c r="U36" s="9">
        <f t="array" ref="U36">IF(I36&lt;&gt;"Yes","",MIN(IF((A$4:A$103=A36)*(I$4:I$103="Yes"),N$4:N$103)))</f>
        <v/>
      </c>
      <c r="V36" s="9">
        <f t="array" ref="V36">IF(I36&lt;&gt;"Yes","",MEDIAN(IF((A$4:A$103=A36)*(I$4:I$103="Yes"),N$4:N$103)))</f>
        <v/>
      </c>
      <c r="W36" s="24">
        <f>IF(OR(I36&lt;&gt;"Yes",T36=0),0,U36/N36*INDEX('Tender Setup'!$C$4:$C$33,T36))</f>
        <v/>
      </c>
      <c r="X36" s="24">
        <f>IF(OR(I36&lt;&gt;"Yes",T36=0),0,(N(O36)*INDEX('Tender Setup'!$D$4:$D$33,T36)+N(P36)*INDEX('Tender Setup'!$E$4:$E$33,T36)+N(Q36)*INDEX('Tender Setup'!$F$4:$F$33,T36)+N(R36)*INDEX('Tender Setup'!$G$4:$G$33,T36)+N(S36)*INDEX('Tender Setup'!$H$4:$H$33,T36))/10)</f>
        <v/>
      </c>
      <c r="Y36" s="24">
        <f>IF(B36="","",W36+X36)</f>
        <v/>
      </c>
      <c r="Z36" s="7">
        <f>IF(B36="","",IF(I36&lt;&gt;"Yes","Excluded",COUNTIFS(A$4:A$103,A36,I$4:I$103,"Yes",Y$4:Y$103,"&gt;"&amp;Y36)+1))</f>
        <v/>
      </c>
      <c r="AA36" s="7">
        <f>IF(I36&lt;&gt;"Yes","",IF(AND(COUNTIFS(A$4:A$103,A36,I$4:I$103,"Yes")&gt;=2,N36&lt;V36*0.85),"Over 15% under median",""))</f>
        <v/>
      </c>
      <c r="AB36" s="7">
        <f>A36&amp;"|"&amp;Z36</f>
        <v/>
      </c>
      <c r="AD36" s="6" t="n"/>
    </row>
    <row r="37">
      <c r="C37" s="21" t="n"/>
      <c r="I37" s="7">
        <f>IF(B37="","",IF(AND(D37="Yes",E37="Yes",F37="Yes",G37="Yes",H37="Yes",N(J37)&gt;0),"Yes","No"))</f>
        <v/>
      </c>
      <c r="J37" s="29" t="n"/>
      <c r="K37" s="29" t="n"/>
      <c r="L37" s="29" t="n"/>
      <c r="M37" s="29" t="n"/>
      <c r="N37" s="9">
        <f>IF(B37="","",N(J37)+N(K37)+N(L37)+N(M37))</f>
        <v/>
      </c>
      <c r="T37" s="7">
        <f>IFERROR(MATCH(A37,'Tender Setup'!$A$4:$A$33,0),0)</f>
        <v/>
      </c>
      <c r="U37" s="9">
        <f t="array" ref="U37">IF(I37&lt;&gt;"Yes","",MIN(IF((A$4:A$103=A37)*(I$4:I$103="Yes"),N$4:N$103)))</f>
        <v/>
      </c>
      <c r="V37" s="9">
        <f t="array" ref="V37">IF(I37&lt;&gt;"Yes","",MEDIAN(IF((A$4:A$103=A37)*(I$4:I$103="Yes"),N$4:N$103)))</f>
        <v/>
      </c>
      <c r="W37" s="24">
        <f>IF(OR(I37&lt;&gt;"Yes",T37=0),0,U37/N37*INDEX('Tender Setup'!$C$4:$C$33,T37))</f>
        <v/>
      </c>
      <c r="X37" s="24">
        <f>IF(OR(I37&lt;&gt;"Yes",T37=0),0,(N(O37)*INDEX('Tender Setup'!$D$4:$D$33,T37)+N(P37)*INDEX('Tender Setup'!$E$4:$E$33,T37)+N(Q37)*INDEX('Tender Setup'!$F$4:$F$33,T37)+N(R37)*INDEX('Tender Setup'!$G$4:$G$33,T37)+N(S37)*INDEX('Tender Setup'!$H$4:$H$33,T37))/10)</f>
        <v/>
      </c>
      <c r="Y37" s="24">
        <f>IF(B37="","",W37+X37)</f>
        <v/>
      </c>
      <c r="Z37" s="7">
        <f>IF(B37="","",IF(I37&lt;&gt;"Yes","Excluded",COUNTIFS(A$4:A$103,A37,I$4:I$103,"Yes",Y$4:Y$103,"&gt;"&amp;Y37)+1))</f>
        <v/>
      </c>
      <c r="AA37" s="7">
        <f>IF(I37&lt;&gt;"Yes","",IF(AND(COUNTIFS(A$4:A$103,A37,I$4:I$103,"Yes")&gt;=2,N37&lt;V37*0.85),"Over 15% under median",""))</f>
        <v/>
      </c>
      <c r="AB37" s="7">
        <f>A37&amp;"|"&amp;Z37</f>
        <v/>
      </c>
      <c r="AD37" s="6" t="n"/>
    </row>
    <row r="38">
      <c r="C38" s="21" t="n"/>
      <c r="I38" s="7">
        <f>IF(B38="","",IF(AND(D38="Yes",E38="Yes",F38="Yes",G38="Yes",H38="Yes",N(J38)&gt;0),"Yes","No"))</f>
        <v/>
      </c>
      <c r="J38" s="29" t="n"/>
      <c r="K38" s="29" t="n"/>
      <c r="L38" s="29" t="n"/>
      <c r="M38" s="29" t="n"/>
      <c r="N38" s="9">
        <f>IF(B38="","",N(J38)+N(K38)+N(L38)+N(M38))</f>
        <v/>
      </c>
      <c r="T38" s="7">
        <f>IFERROR(MATCH(A38,'Tender Setup'!$A$4:$A$33,0),0)</f>
        <v/>
      </c>
      <c r="U38" s="9">
        <f t="array" ref="U38">IF(I38&lt;&gt;"Yes","",MIN(IF((A$4:A$103=A38)*(I$4:I$103="Yes"),N$4:N$103)))</f>
        <v/>
      </c>
      <c r="V38" s="9">
        <f t="array" ref="V38">IF(I38&lt;&gt;"Yes","",MEDIAN(IF((A$4:A$103=A38)*(I$4:I$103="Yes"),N$4:N$103)))</f>
        <v/>
      </c>
      <c r="W38" s="24">
        <f>IF(OR(I38&lt;&gt;"Yes",T38=0),0,U38/N38*INDEX('Tender Setup'!$C$4:$C$33,T38))</f>
        <v/>
      </c>
      <c r="X38" s="24">
        <f>IF(OR(I38&lt;&gt;"Yes",T38=0),0,(N(O38)*INDEX('Tender Setup'!$D$4:$D$33,T38)+N(P38)*INDEX('Tender Setup'!$E$4:$E$33,T38)+N(Q38)*INDEX('Tender Setup'!$F$4:$F$33,T38)+N(R38)*INDEX('Tender Setup'!$G$4:$G$33,T38)+N(S38)*INDEX('Tender Setup'!$H$4:$H$33,T38))/10)</f>
        <v/>
      </c>
      <c r="Y38" s="24">
        <f>IF(B38="","",W38+X38)</f>
        <v/>
      </c>
      <c r="Z38" s="7">
        <f>IF(B38="","",IF(I38&lt;&gt;"Yes","Excluded",COUNTIFS(A$4:A$103,A38,I$4:I$103,"Yes",Y$4:Y$103,"&gt;"&amp;Y38)+1))</f>
        <v/>
      </c>
      <c r="AA38" s="7">
        <f>IF(I38&lt;&gt;"Yes","",IF(AND(COUNTIFS(A$4:A$103,A38,I$4:I$103,"Yes")&gt;=2,N38&lt;V38*0.85),"Over 15% under median",""))</f>
        <v/>
      </c>
      <c r="AB38" s="7">
        <f>A38&amp;"|"&amp;Z38</f>
        <v/>
      </c>
      <c r="AD38" s="6" t="n"/>
    </row>
    <row r="39">
      <c r="C39" s="21" t="n"/>
      <c r="I39" s="7">
        <f>IF(B39="","",IF(AND(D39="Yes",E39="Yes",F39="Yes",G39="Yes",H39="Yes",N(J39)&gt;0),"Yes","No"))</f>
        <v/>
      </c>
      <c r="J39" s="29" t="n"/>
      <c r="K39" s="29" t="n"/>
      <c r="L39" s="29" t="n"/>
      <c r="M39" s="29" t="n"/>
      <c r="N39" s="9">
        <f>IF(B39="","",N(J39)+N(K39)+N(L39)+N(M39))</f>
        <v/>
      </c>
      <c r="T39" s="7">
        <f>IFERROR(MATCH(A39,'Tender Setup'!$A$4:$A$33,0),0)</f>
        <v/>
      </c>
      <c r="U39" s="9">
        <f t="array" ref="U39">IF(I39&lt;&gt;"Yes","",MIN(IF((A$4:A$103=A39)*(I$4:I$103="Yes"),N$4:N$103)))</f>
        <v/>
      </c>
      <c r="V39" s="9">
        <f t="array" ref="V39">IF(I39&lt;&gt;"Yes","",MEDIAN(IF((A$4:A$103=A39)*(I$4:I$103="Yes"),N$4:N$103)))</f>
        <v/>
      </c>
      <c r="W39" s="24">
        <f>IF(OR(I39&lt;&gt;"Yes",T39=0),0,U39/N39*INDEX('Tender Setup'!$C$4:$C$33,T39))</f>
        <v/>
      </c>
      <c r="X39" s="24">
        <f>IF(OR(I39&lt;&gt;"Yes",T39=0),0,(N(O39)*INDEX('Tender Setup'!$D$4:$D$33,T39)+N(P39)*INDEX('Tender Setup'!$E$4:$E$33,T39)+N(Q39)*INDEX('Tender Setup'!$F$4:$F$33,T39)+N(R39)*INDEX('Tender Setup'!$G$4:$G$33,T39)+N(S39)*INDEX('Tender Setup'!$H$4:$H$33,T39))/10)</f>
        <v/>
      </c>
      <c r="Y39" s="24">
        <f>IF(B39="","",W39+X39)</f>
        <v/>
      </c>
      <c r="Z39" s="7">
        <f>IF(B39="","",IF(I39&lt;&gt;"Yes","Excluded",COUNTIFS(A$4:A$103,A39,I$4:I$103,"Yes",Y$4:Y$103,"&gt;"&amp;Y39)+1))</f>
        <v/>
      </c>
      <c r="AA39" s="7">
        <f>IF(I39&lt;&gt;"Yes","",IF(AND(COUNTIFS(A$4:A$103,A39,I$4:I$103,"Yes")&gt;=2,N39&lt;V39*0.85),"Over 15% under median",""))</f>
        <v/>
      </c>
      <c r="AB39" s="7">
        <f>A39&amp;"|"&amp;Z39</f>
        <v/>
      </c>
      <c r="AD39" s="6" t="n"/>
    </row>
    <row r="40">
      <c r="C40" s="21" t="n"/>
      <c r="I40" s="7">
        <f>IF(B40="","",IF(AND(D40="Yes",E40="Yes",F40="Yes",G40="Yes",H40="Yes",N(J40)&gt;0),"Yes","No"))</f>
        <v/>
      </c>
      <c r="J40" s="29" t="n"/>
      <c r="K40" s="29" t="n"/>
      <c r="L40" s="29" t="n"/>
      <c r="M40" s="29" t="n"/>
      <c r="N40" s="9">
        <f>IF(B40="","",N(J40)+N(K40)+N(L40)+N(M40))</f>
        <v/>
      </c>
      <c r="T40" s="7">
        <f>IFERROR(MATCH(A40,'Tender Setup'!$A$4:$A$33,0),0)</f>
        <v/>
      </c>
      <c r="U40" s="9">
        <f t="array" ref="U40">IF(I40&lt;&gt;"Yes","",MIN(IF((A$4:A$103=A40)*(I$4:I$103="Yes"),N$4:N$103)))</f>
        <v/>
      </c>
      <c r="V40" s="9">
        <f t="array" ref="V40">IF(I40&lt;&gt;"Yes","",MEDIAN(IF((A$4:A$103=A40)*(I$4:I$103="Yes"),N$4:N$103)))</f>
        <v/>
      </c>
      <c r="W40" s="24">
        <f>IF(OR(I40&lt;&gt;"Yes",T40=0),0,U40/N40*INDEX('Tender Setup'!$C$4:$C$33,T40))</f>
        <v/>
      </c>
      <c r="X40" s="24">
        <f>IF(OR(I40&lt;&gt;"Yes",T40=0),0,(N(O40)*INDEX('Tender Setup'!$D$4:$D$33,T40)+N(P40)*INDEX('Tender Setup'!$E$4:$E$33,T40)+N(Q40)*INDEX('Tender Setup'!$F$4:$F$33,T40)+N(R40)*INDEX('Tender Setup'!$G$4:$G$33,T40)+N(S40)*INDEX('Tender Setup'!$H$4:$H$33,T40))/10)</f>
        <v/>
      </c>
      <c r="Y40" s="24">
        <f>IF(B40="","",W40+X40)</f>
        <v/>
      </c>
      <c r="Z40" s="7">
        <f>IF(B40="","",IF(I40&lt;&gt;"Yes","Excluded",COUNTIFS(A$4:A$103,A40,I$4:I$103,"Yes",Y$4:Y$103,"&gt;"&amp;Y40)+1))</f>
        <v/>
      </c>
      <c r="AA40" s="7">
        <f>IF(I40&lt;&gt;"Yes","",IF(AND(COUNTIFS(A$4:A$103,A40,I$4:I$103,"Yes")&gt;=2,N40&lt;V40*0.85),"Over 15% under median",""))</f>
        <v/>
      </c>
      <c r="AB40" s="7">
        <f>A40&amp;"|"&amp;Z40</f>
        <v/>
      </c>
      <c r="AD40" s="6" t="n"/>
    </row>
    <row r="41">
      <c r="C41" s="21" t="n"/>
      <c r="I41" s="7">
        <f>IF(B41="","",IF(AND(D41="Yes",E41="Yes",F41="Yes",G41="Yes",H41="Yes",N(J41)&gt;0),"Yes","No"))</f>
        <v/>
      </c>
      <c r="J41" s="29" t="n"/>
      <c r="K41" s="29" t="n"/>
      <c r="L41" s="29" t="n"/>
      <c r="M41" s="29" t="n"/>
      <c r="N41" s="9">
        <f>IF(B41="","",N(J41)+N(K41)+N(L41)+N(M41))</f>
        <v/>
      </c>
      <c r="T41" s="7">
        <f>IFERROR(MATCH(A41,'Tender Setup'!$A$4:$A$33,0),0)</f>
        <v/>
      </c>
      <c r="U41" s="9">
        <f t="array" ref="U41">IF(I41&lt;&gt;"Yes","",MIN(IF((A$4:A$103=A41)*(I$4:I$103="Yes"),N$4:N$103)))</f>
        <v/>
      </c>
      <c r="V41" s="9">
        <f t="array" ref="V41">IF(I41&lt;&gt;"Yes","",MEDIAN(IF((A$4:A$103=A41)*(I$4:I$103="Yes"),N$4:N$103)))</f>
        <v/>
      </c>
      <c r="W41" s="24">
        <f>IF(OR(I41&lt;&gt;"Yes",T41=0),0,U41/N41*INDEX('Tender Setup'!$C$4:$C$33,T41))</f>
        <v/>
      </c>
      <c r="X41" s="24">
        <f>IF(OR(I41&lt;&gt;"Yes",T41=0),0,(N(O41)*INDEX('Tender Setup'!$D$4:$D$33,T41)+N(P41)*INDEX('Tender Setup'!$E$4:$E$33,T41)+N(Q41)*INDEX('Tender Setup'!$F$4:$F$33,T41)+N(R41)*INDEX('Tender Setup'!$G$4:$G$33,T41)+N(S41)*INDEX('Tender Setup'!$H$4:$H$33,T41))/10)</f>
        <v/>
      </c>
      <c r="Y41" s="24">
        <f>IF(B41="","",W41+X41)</f>
        <v/>
      </c>
      <c r="Z41" s="7">
        <f>IF(B41="","",IF(I41&lt;&gt;"Yes","Excluded",COUNTIFS(A$4:A$103,A41,I$4:I$103,"Yes",Y$4:Y$103,"&gt;"&amp;Y41)+1))</f>
        <v/>
      </c>
      <c r="AA41" s="7">
        <f>IF(I41&lt;&gt;"Yes","",IF(AND(COUNTIFS(A$4:A$103,A41,I$4:I$103,"Yes")&gt;=2,N41&lt;V41*0.85),"Over 15% under median",""))</f>
        <v/>
      </c>
      <c r="AB41" s="7">
        <f>A41&amp;"|"&amp;Z41</f>
        <v/>
      </c>
      <c r="AD41" s="6" t="n"/>
    </row>
    <row r="42">
      <c r="C42" s="21" t="n"/>
      <c r="I42" s="7">
        <f>IF(B42="","",IF(AND(D42="Yes",E42="Yes",F42="Yes",G42="Yes",H42="Yes",N(J42)&gt;0),"Yes","No"))</f>
        <v/>
      </c>
      <c r="J42" s="29" t="n"/>
      <c r="K42" s="29" t="n"/>
      <c r="L42" s="29" t="n"/>
      <c r="M42" s="29" t="n"/>
      <c r="N42" s="9">
        <f>IF(B42="","",N(J42)+N(K42)+N(L42)+N(M42))</f>
        <v/>
      </c>
      <c r="T42" s="7">
        <f>IFERROR(MATCH(A42,'Tender Setup'!$A$4:$A$33,0),0)</f>
        <v/>
      </c>
      <c r="U42" s="9">
        <f t="array" ref="U42">IF(I42&lt;&gt;"Yes","",MIN(IF((A$4:A$103=A42)*(I$4:I$103="Yes"),N$4:N$103)))</f>
        <v/>
      </c>
      <c r="V42" s="9">
        <f t="array" ref="V42">IF(I42&lt;&gt;"Yes","",MEDIAN(IF((A$4:A$103=A42)*(I$4:I$103="Yes"),N$4:N$103)))</f>
        <v/>
      </c>
      <c r="W42" s="24">
        <f>IF(OR(I42&lt;&gt;"Yes",T42=0),0,U42/N42*INDEX('Tender Setup'!$C$4:$C$33,T42))</f>
        <v/>
      </c>
      <c r="X42" s="24">
        <f>IF(OR(I42&lt;&gt;"Yes",T42=0),0,(N(O42)*INDEX('Tender Setup'!$D$4:$D$33,T42)+N(P42)*INDEX('Tender Setup'!$E$4:$E$33,T42)+N(Q42)*INDEX('Tender Setup'!$F$4:$F$33,T42)+N(R42)*INDEX('Tender Setup'!$G$4:$G$33,T42)+N(S42)*INDEX('Tender Setup'!$H$4:$H$33,T42))/10)</f>
        <v/>
      </c>
      <c r="Y42" s="24">
        <f>IF(B42="","",W42+X42)</f>
        <v/>
      </c>
      <c r="Z42" s="7">
        <f>IF(B42="","",IF(I42&lt;&gt;"Yes","Excluded",COUNTIFS(A$4:A$103,A42,I$4:I$103,"Yes",Y$4:Y$103,"&gt;"&amp;Y42)+1))</f>
        <v/>
      </c>
      <c r="AA42" s="7">
        <f>IF(I42&lt;&gt;"Yes","",IF(AND(COUNTIFS(A$4:A$103,A42,I$4:I$103,"Yes")&gt;=2,N42&lt;V42*0.85),"Over 15% under median",""))</f>
        <v/>
      </c>
      <c r="AB42" s="7">
        <f>A42&amp;"|"&amp;Z42</f>
        <v/>
      </c>
      <c r="AD42" s="6" t="n"/>
    </row>
    <row r="43">
      <c r="C43" s="21" t="n"/>
      <c r="I43" s="7">
        <f>IF(B43="","",IF(AND(D43="Yes",E43="Yes",F43="Yes",G43="Yes",H43="Yes",N(J43)&gt;0),"Yes","No"))</f>
        <v/>
      </c>
      <c r="J43" s="29" t="n"/>
      <c r="K43" s="29" t="n"/>
      <c r="L43" s="29" t="n"/>
      <c r="M43" s="29" t="n"/>
      <c r="N43" s="9">
        <f>IF(B43="","",N(J43)+N(K43)+N(L43)+N(M43))</f>
        <v/>
      </c>
      <c r="T43" s="7">
        <f>IFERROR(MATCH(A43,'Tender Setup'!$A$4:$A$33,0),0)</f>
        <v/>
      </c>
      <c r="U43" s="9">
        <f t="array" ref="U43">IF(I43&lt;&gt;"Yes","",MIN(IF((A$4:A$103=A43)*(I$4:I$103="Yes"),N$4:N$103)))</f>
        <v/>
      </c>
      <c r="V43" s="9">
        <f t="array" ref="V43">IF(I43&lt;&gt;"Yes","",MEDIAN(IF((A$4:A$103=A43)*(I$4:I$103="Yes"),N$4:N$103)))</f>
        <v/>
      </c>
      <c r="W43" s="24">
        <f>IF(OR(I43&lt;&gt;"Yes",T43=0),0,U43/N43*INDEX('Tender Setup'!$C$4:$C$33,T43))</f>
        <v/>
      </c>
      <c r="X43" s="24">
        <f>IF(OR(I43&lt;&gt;"Yes",T43=0),0,(N(O43)*INDEX('Tender Setup'!$D$4:$D$33,T43)+N(P43)*INDEX('Tender Setup'!$E$4:$E$33,T43)+N(Q43)*INDEX('Tender Setup'!$F$4:$F$33,T43)+N(R43)*INDEX('Tender Setup'!$G$4:$G$33,T43)+N(S43)*INDEX('Tender Setup'!$H$4:$H$33,T43))/10)</f>
        <v/>
      </c>
      <c r="Y43" s="24">
        <f>IF(B43="","",W43+X43)</f>
        <v/>
      </c>
      <c r="Z43" s="7">
        <f>IF(B43="","",IF(I43&lt;&gt;"Yes","Excluded",COUNTIFS(A$4:A$103,A43,I$4:I$103,"Yes",Y$4:Y$103,"&gt;"&amp;Y43)+1))</f>
        <v/>
      </c>
      <c r="AA43" s="7">
        <f>IF(I43&lt;&gt;"Yes","",IF(AND(COUNTIFS(A$4:A$103,A43,I$4:I$103,"Yes")&gt;=2,N43&lt;V43*0.85),"Over 15% under median",""))</f>
        <v/>
      </c>
      <c r="AB43" s="7">
        <f>A43&amp;"|"&amp;Z43</f>
        <v/>
      </c>
      <c r="AD43" s="6" t="n"/>
    </row>
    <row r="44">
      <c r="C44" s="21" t="n"/>
      <c r="I44" s="7">
        <f>IF(B44="","",IF(AND(D44="Yes",E44="Yes",F44="Yes",G44="Yes",H44="Yes",N(J44)&gt;0),"Yes","No"))</f>
        <v/>
      </c>
      <c r="J44" s="29" t="n"/>
      <c r="K44" s="29" t="n"/>
      <c r="L44" s="29" t="n"/>
      <c r="M44" s="29" t="n"/>
      <c r="N44" s="9">
        <f>IF(B44="","",N(J44)+N(K44)+N(L44)+N(M44))</f>
        <v/>
      </c>
      <c r="T44" s="7">
        <f>IFERROR(MATCH(A44,'Tender Setup'!$A$4:$A$33,0),0)</f>
        <v/>
      </c>
      <c r="U44" s="9">
        <f t="array" ref="U44">IF(I44&lt;&gt;"Yes","",MIN(IF((A$4:A$103=A44)*(I$4:I$103="Yes"),N$4:N$103)))</f>
        <v/>
      </c>
      <c r="V44" s="9">
        <f t="array" ref="V44">IF(I44&lt;&gt;"Yes","",MEDIAN(IF((A$4:A$103=A44)*(I$4:I$103="Yes"),N$4:N$103)))</f>
        <v/>
      </c>
      <c r="W44" s="24">
        <f>IF(OR(I44&lt;&gt;"Yes",T44=0),0,U44/N44*INDEX('Tender Setup'!$C$4:$C$33,T44))</f>
        <v/>
      </c>
      <c r="X44" s="24">
        <f>IF(OR(I44&lt;&gt;"Yes",T44=0),0,(N(O44)*INDEX('Tender Setup'!$D$4:$D$33,T44)+N(P44)*INDEX('Tender Setup'!$E$4:$E$33,T44)+N(Q44)*INDEX('Tender Setup'!$F$4:$F$33,T44)+N(R44)*INDEX('Tender Setup'!$G$4:$G$33,T44)+N(S44)*INDEX('Tender Setup'!$H$4:$H$33,T44))/10)</f>
        <v/>
      </c>
      <c r="Y44" s="24">
        <f>IF(B44="","",W44+X44)</f>
        <v/>
      </c>
      <c r="Z44" s="7">
        <f>IF(B44="","",IF(I44&lt;&gt;"Yes","Excluded",COUNTIFS(A$4:A$103,A44,I$4:I$103,"Yes",Y$4:Y$103,"&gt;"&amp;Y44)+1))</f>
        <v/>
      </c>
      <c r="AA44" s="7">
        <f>IF(I44&lt;&gt;"Yes","",IF(AND(COUNTIFS(A$4:A$103,A44,I$4:I$103,"Yes")&gt;=2,N44&lt;V44*0.85),"Over 15% under median",""))</f>
        <v/>
      </c>
      <c r="AB44" s="7">
        <f>A44&amp;"|"&amp;Z44</f>
        <v/>
      </c>
      <c r="AD44" s="6" t="n"/>
    </row>
    <row r="45">
      <c r="C45" s="21" t="n"/>
      <c r="I45" s="7">
        <f>IF(B45="","",IF(AND(D45="Yes",E45="Yes",F45="Yes",G45="Yes",H45="Yes",N(J45)&gt;0),"Yes","No"))</f>
        <v/>
      </c>
      <c r="J45" s="29" t="n"/>
      <c r="K45" s="29" t="n"/>
      <c r="L45" s="29" t="n"/>
      <c r="M45" s="29" t="n"/>
      <c r="N45" s="9">
        <f>IF(B45="","",N(J45)+N(K45)+N(L45)+N(M45))</f>
        <v/>
      </c>
      <c r="T45" s="7">
        <f>IFERROR(MATCH(A45,'Tender Setup'!$A$4:$A$33,0),0)</f>
        <v/>
      </c>
      <c r="U45" s="9">
        <f t="array" ref="U45">IF(I45&lt;&gt;"Yes","",MIN(IF((A$4:A$103=A45)*(I$4:I$103="Yes"),N$4:N$103)))</f>
        <v/>
      </c>
      <c r="V45" s="9">
        <f t="array" ref="V45">IF(I45&lt;&gt;"Yes","",MEDIAN(IF((A$4:A$103=A45)*(I$4:I$103="Yes"),N$4:N$103)))</f>
        <v/>
      </c>
      <c r="W45" s="24">
        <f>IF(OR(I45&lt;&gt;"Yes",T45=0),0,U45/N45*INDEX('Tender Setup'!$C$4:$C$33,T45))</f>
        <v/>
      </c>
      <c r="X45" s="24">
        <f>IF(OR(I45&lt;&gt;"Yes",T45=0),0,(N(O45)*INDEX('Tender Setup'!$D$4:$D$33,T45)+N(P45)*INDEX('Tender Setup'!$E$4:$E$33,T45)+N(Q45)*INDEX('Tender Setup'!$F$4:$F$33,T45)+N(R45)*INDEX('Tender Setup'!$G$4:$G$33,T45)+N(S45)*INDEX('Tender Setup'!$H$4:$H$33,T45))/10)</f>
        <v/>
      </c>
      <c r="Y45" s="24">
        <f>IF(B45="","",W45+X45)</f>
        <v/>
      </c>
      <c r="Z45" s="7">
        <f>IF(B45="","",IF(I45&lt;&gt;"Yes","Excluded",COUNTIFS(A$4:A$103,A45,I$4:I$103,"Yes",Y$4:Y$103,"&gt;"&amp;Y45)+1))</f>
        <v/>
      </c>
      <c r="AA45" s="7">
        <f>IF(I45&lt;&gt;"Yes","",IF(AND(COUNTIFS(A$4:A$103,A45,I$4:I$103,"Yes")&gt;=2,N45&lt;V45*0.85),"Over 15% under median",""))</f>
        <v/>
      </c>
      <c r="AB45" s="7">
        <f>A45&amp;"|"&amp;Z45</f>
        <v/>
      </c>
      <c r="AD45" s="6" t="n"/>
    </row>
    <row r="46">
      <c r="C46" s="21" t="n"/>
      <c r="I46" s="7">
        <f>IF(B46="","",IF(AND(D46="Yes",E46="Yes",F46="Yes",G46="Yes",H46="Yes",N(J46)&gt;0),"Yes","No"))</f>
        <v/>
      </c>
      <c r="J46" s="29" t="n"/>
      <c r="K46" s="29" t="n"/>
      <c r="L46" s="29" t="n"/>
      <c r="M46" s="29" t="n"/>
      <c r="N46" s="9">
        <f>IF(B46="","",N(J46)+N(K46)+N(L46)+N(M46))</f>
        <v/>
      </c>
      <c r="T46" s="7">
        <f>IFERROR(MATCH(A46,'Tender Setup'!$A$4:$A$33,0),0)</f>
        <v/>
      </c>
      <c r="U46" s="9">
        <f t="array" ref="U46">IF(I46&lt;&gt;"Yes","",MIN(IF((A$4:A$103=A46)*(I$4:I$103="Yes"),N$4:N$103)))</f>
        <v/>
      </c>
      <c r="V46" s="9">
        <f t="array" ref="V46">IF(I46&lt;&gt;"Yes","",MEDIAN(IF((A$4:A$103=A46)*(I$4:I$103="Yes"),N$4:N$103)))</f>
        <v/>
      </c>
      <c r="W46" s="24">
        <f>IF(OR(I46&lt;&gt;"Yes",T46=0),0,U46/N46*INDEX('Tender Setup'!$C$4:$C$33,T46))</f>
        <v/>
      </c>
      <c r="X46" s="24">
        <f>IF(OR(I46&lt;&gt;"Yes",T46=0),0,(N(O46)*INDEX('Tender Setup'!$D$4:$D$33,T46)+N(P46)*INDEX('Tender Setup'!$E$4:$E$33,T46)+N(Q46)*INDEX('Tender Setup'!$F$4:$F$33,T46)+N(R46)*INDEX('Tender Setup'!$G$4:$G$33,T46)+N(S46)*INDEX('Tender Setup'!$H$4:$H$33,T46))/10)</f>
        <v/>
      </c>
      <c r="Y46" s="24">
        <f>IF(B46="","",W46+X46)</f>
        <v/>
      </c>
      <c r="Z46" s="7">
        <f>IF(B46="","",IF(I46&lt;&gt;"Yes","Excluded",COUNTIFS(A$4:A$103,A46,I$4:I$103,"Yes",Y$4:Y$103,"&gt;"&amp;Y46)+1))</f>
        <v/>
      </c>
      <c r="AA46" s="7">
        <f>IF(I46&lt;&gt;"Yes","",IF(AND(COUNTIFS(A$4:A$103,A46,I$4:I$103,"Yes")&gt;=2,N46&lt;V46*0.85),"Over 15% under median",""))</f>
        <v/>
      </c>
      <c r="AB46" s="7">
        <f>A46&amp;"|"&amp;Z46</f>
        <v/>
      </c>
      <c r="AD46" s="6" t="n"/>
    </row>
    <row r="47">
      <c r="C47" s="21" t="n"/>
      <c r="I47" s="7">
        <f>IF(B47="","",IF(AND(D47="Yes",E47="Yes",F47="Yes",G47="Yes",H47="Yes",N(J47)&gt;0),"Yes","No"))</f>
        <v/>
      </c>
      <c r="J47" s="29" t="n"/>
      <c r="K47" s="29" t="n"/>
      <c r="L47" s="29" t="n"/>
      <c r="M47" s="29" t="n"/>
      <c r="N47" s="9">
        <f>IF(B47="","",N(J47)+N(K47)+N(L47)+N(M47))</f>
        <v/>
      </c>
      <c r="T47" s="7">
        <f>IFERROR(MATCH(A47,'Tender Setup'!$A$4:$A$33,0),0)</f>
        <v/>
      </c>
      <c r="U47" s="9">
        <f t="array" ref="U47">IF(I47&lt;&gt;"Yes","",MIN(IF((A$4:A$103=A47)*(I$4:I$103="Yes"),N$4:N$103)))</f>
        <v/>
      </c>
      <c r="V47" s="9">
        <f t="array" ref="V47">IF(I47&lt;&gt;"Yes","",MEDIAN(IF((A$4:A$103=A47)*(I$4:I$103="Yes"),N$4:N$103)))</f>
        <v/>
      </c>
      <c r="W47" s="24">
        <f>IF(OR(I47&lt;&gt;"Yes",T47=0),0,U47/N47*INDEX('Tender Setup'!$C$4:$C$33,T47))</f>
        <v/>
      </c>
      <c r="X47" s="24">
        <f>IF(OR(I47&lt;&gt;"Yes",T47=0),0,(N(O47)*INDEX('Tender Setup'!$D$4:$D$33,T47)+N(P47)*INDEX('Tender Setup'!$E$4:$E$33,T47)+N(Q47)*INDEX('Tender Setup'!$F$4:$F$33,T47)+N(R47)*INDEX('Tender Setup'!$G$4:$G$33,T47)+N(S47)*INDEX('Tender Setup'!$H$4:$H$33,T47))/10)</f>
        <v/>
      </c>
      <c r="Y47" s="24">
        <f>IF(B47="","",W47+X47)</f>
        <v/>
      </c>
      <c r="Z47" s="7">
        <f>IF(B47="","",IF(I47&lt;&gt;"Yes","Excluded",COUNTIFS(A$4:A$103,A47,I$4:I$103,"Yes",Y$4:Y$103,"&gt;"&amp;Y47)+1))</f>
        <v/>
      </c>
      <c r="AA47" s="7">
        <f>IF(I47&lt;&gt;"Yes","",IF(AND(COUNTIFS(A$4:A$103,A47,I$4:I$103,"Yes")&gt;=2,N47&lt;V47*0.85),"Over 15% under median",""))</f>
        <v/>
      </c>
      <c r="AB47" s="7">
        <f>A47&amp;"|"&amp;Z47</f>
        <v/>
      </c>
      <c r="AD47" s="6" t="n"/>
    </row>
    <row r="48">
      <c r="C48" s="21" t="n"/>
      <c r="I48" s="7">
        <f>IF(B48="","",IF(AND(D48="Yes",E48="Yes",F48="Yes",G48="Yes",H48="Yes",N(J48)&gt;0),"Yes","No"))</f>
        <v/>
      </c>
      <c r="J48" s="29" t="n"/>
      <c r="K48" s="29" t="n"/>
      <c r="L48" s="29" t="n"/>
      <c r="M48" s="29" t="n"/>
      <c r="N48" s="9">
        <f>IF(B48="","",N(J48)+N(K48)+N(L48)+N(M48))</f>
        <v/>
      </c>
      <c r="T48" s="7">
        <f>IFERROR(MATCH(A48,'Tender Setup'!$A$4:$A$33,0),0)</f>
        <v/>
      </c>
      <c r="U48" s="9">
        <f t="array" ref="U48">IF(I48&lt;&gt;"Yes","",MIN(IF((A$4:A$103=A48)*(I$4:I$103="Yes"),N$4:N$103)))</f>
        <v/>
      </c>
      <c r="V48" s="9">
        <f t="array" ref="V48">IF(I48&lt;&gt;"Yes","",MEDIAN(IF((A$4:A$103=A48)*(I$4:I$103="Yes"),N$4:N$103)))</f>
        <v/>
      </c>
      <c r="W48" s="24">
        <f>IF(OR(I48&lt;&gt;"Yes",T48=0),0,U48/N48*INDEX('Tender Setup'!$C$4:$C$33,T48))</f>
        <v/>
      </c>
      <c r="X48" s="24">
        <f>IF(OR(I48&lt;&gt;"Yes",T48=0),0,(N(O48)*INDEX('Tender Setup'!$D$4:$D$33,T48)+N(P48)*INDEX('Tender Setup'!$E$4:$E$33,T48)+N(Q48)*INDEX('Tender Setup'!$F$4:$F$33,T48)+N(R48)*INDEX('Tender Setup'!$G$4:$G$33,T48)+N(S48)*INDEX('Tender Setup'!$H$4:$H$33,T48))/10)</f>
        <v/>
      </c>
      <c r="Y48" s="24">
        <f>IF(B48="","",W48+X48)</f>
        <v/>
      </c>
      <c r="Z48" s="7">
        <f>IF(B48="","",IF(I48&lt;&gt;"Yes","Excluded",COUNTIFS(A$4:A$103,A48,I$4:I$103,"Yes",Y$4:Y$103,"&gt;"&amp;Y48)+1))</f>
        <v/>
      </c>
      <c r="AA48" s="7">
        <f>IF(I48&lt;&gt;"Yes","",IF(AND(COUNTIFS(A$4:A$103,A48,I$4:I$103,"Yes")&gt;=2,N48&lt;V48*0.85),"Over 15% under median",""))</f>
        <v/>
      </c>
      <c r="AB48" s="7">
        <f>A48&amp;"|"&amp;Z48</f>
        <v/>
      </c>
      <c r="AD48" s="6" t="n"/>
    </row>
    <row r="49">
      <c r="C49" s="21" t="n"/>
      <c r="I49" s="7">
        <f>IF(B49="","",IF(AND(D49="Yes",E49="Yes",F49="Yes",G49="Yes",H49="Yes",N(J49)&gt;0),"Yes","No"))</f>
        <v/>
      </c>
      <c r="J49" s="29" t="n"/>
      <c r="K49" s="29" t="n"/>
      <c r="L49" s="29" t="n"/>
      <c r="M49" s="29" t="n"/>
      <c r="N49" s="9">
        <f>IF(B49="","",N(J49)+N(K49)+N(L49)+N(M49))</f>
        <v/>
      </c>
      <c r="T49" s="7">
        <f>IFERROR(MATCH(A49,'Tender Setup'!$A$4:$A$33,0),0)</f>
        <v/>
      </c>
      <c r="U49" s="9">
        <f t="array" ref="U49">IF(I49&lt;&gt;"Yes","",MIN(IF((A$4:A$103=A49)*(I$4:I$103="Yes"),N$4:N$103)))</f>
        <v/>
      </c>
      <c r="V49" s="9">
        <f t="array" ref="V49">IF(I49&lt;&gt;"Yes","",MEDIAN(IF((A$4:A$103=A49)*(I$4:I$103="Yes"),N$4:N$103)))</f>
        <v/>
      </c>
      <c r="W49" s="24">
        <f>IF(OR(I49&lt;&gt;"Yes",T49=0),0,U49/N49*INDEX('Tender Setup'!$C$4:$C$33,T49))</f>
        <v/>
      </c>
      <c r="X49" s="24">
        <f>IF(OR(I49&lt;&gt;"Yes",T49=0),0,(N(O49)*INDEX('Tender Setup'!$D$4:$D$33,T49)+N(P49)*INDEX('Tender Setup'!$E$4:$E$33,T49)+N(Q49)*INDEX('Tender Setup'!$F$4:$F$33,T49)+N(R49)*INDEX('Tender Setup'!$G$4:$G$33,T49)+N(S49)*INDEX('Tender Setup'!$H$4:$H$33,T49))/10)</f>
        <v/>
      </c>
      <c r="Y49" s="24">
        <f>IF(B49="","",W49+X49)</f>
        <v/>
      </c>
      <c r="Z49" s="7">
        <f>IF(B49="","",IF(I49&lt;&gt;"Yes","Excluded",COUNTIFS(A$4:A$103,A49,I$4:I$103,"Yes",Y$4:Y$103,"&gt;"&amp;Y49)+1))</f>
        <v/>
      </c>
      <c r="AA49" s="7">
        <f>IF(I49&lt;&gt;"Yes","",IF(AND(COUNTIFS(A$4:A$103,A49,I$4:I$103,"Yes")&gt;=2,N49&lt;V49*0.85),"Over 15% under median",""))</f>
        <v/>
      </c>
      <c r="AB49" s="7">
        <f>A49&amp;"|"&amp;Z49</f>
        <v/>
      </c>
      <c r="AD49" s="6" t="n"/>
    </row>
    <row r="50">
      <c r="C50" s="21" t="n"/>
      <c r="I50" s="7">
        <f>IF(B50="","",IF(AND(D50="Yes",E50="Yes",F50="Yes",G50="Yes",H50="Yes",N(J50)&gt;0),"Yes","No"))</f>
        <v/>
      </c>
      <c r="J50" s="29" t="n"/>
      <c r="K50" s="29" t="n"/>
      <c r="L50" s="29" t="n"/>
      <c r="M50" s="29" t="n"/>
      <c r="N50" s="9">
        <f>IF(B50="","",N(J50)+N(K50)+N(L50)+N(M50))</f>
        <v/>
      </c>
      <c r="T50" s="7">
        <f>IFERROR(MATCH(A50,'Tender Setup'!$A$4:$A$33,0),0)</f>
        <v/>
      </c>
      <c r="U50" s="9">
        <f t="array" ref="U50">IF(I50&lt;&gt;"Yes","",MIN(IF((A$4:A$103=A50)*(I$4:I$103="Yes"),N$4:N$103)))</f>
        <v/>
      </c>
      <c r="V50" s="9">
        <f t="array" ref="V50">IF(I50&lt;&gt;"Yes","",MEDIAN(IF((A$4:A$103=A50)*(I$4:I$103="Yes"),N$4:N$103)))</f>
        <v/>
      </c>
      <c r="W50" s="24">
        <f>IF(OR(I50&lt;&gt;"Yes",T50=0),0,U50/N50*INDEX('Tender Setup'!$C$4:$C$33,T50))</f>
        <v/>
      </c>
      <c r="X50" s="24">
        <f>IF(OR(I50&lt;&gt;"Yes",T50=0),0,(N(O50)*INDEX('Tender Setup'!$D$4:$D$33,T50)+N(P50)*INDEX('Tender Setup'!$E$4:$E$33,T50)+N(Q50)*INDEX('Tender Setup'!$F$4:$F$33,T50)+N(R50)*INDEX('Tender Setup'!$G$4:$G$33,T50)+N(S50)*INDEX('Tender Setup'!$H$4:$H$33,T50))/10)</f>
        <v/>
      </c>
      <c r="Y50" s="24">
        <f>IF(B50="","",W50+X50)</f>
        <v/>
      </c>
      <c r="Z50" s="7">
        <f>IF(B50="","",IF(I50&lt;&gt;"Yes","Excluded",COUNTIFS(A$4:A$103,A50,I$4:I$103,"Yes",Y$4:Y$103,"&gt;"&amp;Y50)+1))</f>
        <v/>
      </c>
      <c r="AA50" s="7">
        <f>IF(I50&lt;&gt;"Yes","",IF(AND(COUNTIFS(A$4:A$103,A50,I$4:I$103,"Yes")&gt;=2,N50&lt;V50*0.85),"Over 15% under median",""))</f>
        <v/>
      </c>
      <c r="AB50" s="7">
        <f>A50&amp;"|"&amp;Z50</f>
        <v/>
      </c>
      <c r="AD50" s="6" t="n"/>
    </row>
    <row r="51">
      <c r="C51" s="21" t="n"/>
      <c r="I51" s="7">
        <f>IF(B51="","",IF(AND(D51="Yes",E51="Yes",F51="Yes",G51="Yes",H51="Yes",N(J51)&gt;0),"Yes","No"))</f>
        <v/>
      </c>
      <c r="J51" s="29" t="n"/>
      <c r="K51" s="29" t="n"/>
      <c r="L51" s="29" t="n"/>
      <c r="M51" s="29" t="n"/>
      <c r="N51" s="9">
        <f>IF(B51="","",N(J51)+N(K51)+N(L51)+N(M51))</f>
        <v/>
      </c>
      <c r="T51" s="7">
        <f>IFERROR(MATCH(A51,'Tender Setup'!$A$4:$A$33,0),0)</f>
        <v/>
      </c>
      <c r="U51" s="9">
        <f t="array" ref="U51">IF(I51&lt;&gt;"Yes","",MIN(IF((A$4:A$103=A51)*(I$4:I$103="Yes"),N$4:N$103)))</f>
        <v/>
      </c>
      <c r="V51" s="9">
        <f t="array" ref="V51">IF(I51&lt;&gt;"Yes","",MEDIAN(IF((A$4:A$103=A51)*(I$4:I$103="Yes"),N$4:N$103)))</f>
        <v/>
      </c>
      <c r="W51" s="24">
        <f>IF(OR(I51&lt;&gt;"Yes",T51=0),0,U51/N51*INDEX('Tender Setup'!$C$4:$C$33,T51))</f>
        <v/>
      </c>
      <c r="X51" s="24">
        <f>IF(OR(I51&lt;&gt;"Yes",T51=0),0,(N(O51)*INDEX('Tender Setup'!$D$4:$D$33,T51)+N(P51)*INDEX('Tender Setup'!$E$4:$E$33,T51)+N(Q51)*INDEX('Tender Setup'!$F$4:$F$33,T51)+N(R51)*INDEX('Tender Setup'!$G$4:$G$33,T51)+N(S51)*INDEX('Tender Setup'!$H$4:$H$33,T51))/10)</f>
        <v/>
      </c>
      <c r="Y51" s="24">
        <f>IF(B51="","",W51+X51)</f>
        <v/>
      </c>
      <c r="Z51" s="7">
        <f>IF(B51="","",IF(I51&lt;&gt;"Yes","Excluded",COUNTIFS(A$4:A$103,A51,I$4:I$103,"Yes",Y$4:Y$103,"&gt;"&amp;Y51)+1))</f>
        <v/>
      </c>
      <c r="AA51" s="7">
        <f>IF(I51&lt;&gt;"Yes","",IF(AND(COUNTIFS(A$4:A$103,A51,I$4:I$103,"Yes")&gt;=2,N51&lt;V51*0.85),"Over 15% under median",""))</f>
        <v/>
      </c>
      <c r="AB51" s="7">
        <f>A51&amp;"|"&amp;Z51</f>
        <v/>
      </c>
      <c r="AD51" s="6" t="n"/>
    </row>
    <row r="52">
      <c r="C52" s="21" t="n"/>
      <c r="I52" s="7">
        <f>IF(B52="","",IF(AND(D52="Yes",E52="Yes",F52="Yes",G52="Yes",H52="Yes",N(J52)&gt;0),"Yes","No"))</f>
        <v/>
      </c>
      <c r="J52" s="29" t="n"/>
      <c r="K52" s="29" t="n"/>
      <c r="L52" s="29" t="n"/>
      <c r="M52" s="29" t="n"/>
      <c r="N52" s="9">
        <f>IF(B52="","",N(J52)+N(K52)+N(L52)+N(M52))</f>
        <v/>
      </c>
      <c r="T52" s="7">
        <f>IFERROR(MATCH(A52,'Tender Setup'!$A$4:$A$33,0),0)</f>
        <v/>
      </c>
      <c r="U52" s="9">
        <f t="array" ref="U52">IF(I52&lt;&gt;"Yes","",MIN(IF((A$4:A$103=A52)*(I$4:I$103="Yes"),N$4:N$103)))</f>
        <v/>
      </c>
      <c r="V52" s="9">
        <f t="array" ref="V52">IF(I52&lt;&gt;"Yes","",MEDIAN(IF((A$4:A$103=A52)*(I$4:I$103="Yes"),N$4:N$103)))</f>
        <v/>
      </c>
      <c r="W52" s="24">
        <f>IF(OR(I52&lt;&gt;"Yes",T52=0),0,U52/N52*INDEX('Tender Setup'!$C$4:$C$33,T52))</f>
        <v/>
      </c>
      <c r="X52" s="24">
        <f>IF(OR(I52&lt;&gt;"Yes",T52=0),0,(N(O52)*INDEX('Tender Setup'!$D$4:$D$33,T52)+N(P52)*INDEX('Tender Setup'!$E$4:$E$33,T52)+N(Q52)*INDEX('Tender Setup'!$F$4:$F$33,T52)+N(R52)*INDEX('Tender Setup'!$G$4:$G$33,T52)+N(S52)*INDEX('Tender Setup'!$H$4:$H$33,T52))/10)</f>
        <v/>
      </c>
      <c r="Y52" s="24">
        <f>IF(B52="","",W52+X52)</f>
        <v/>
      </c>
      <c r="Z52" s="7">
        <f>IF(B52="","",IF(I52&lt;&gt;"Yes","Excluded",COUNTIFS(A$4:A$103,A52,I$4:I$103,"Yes",Y$4:Y$103,"&gt;"&amp;Y52)+1))</f>
        <v/>
      </c>
      <c r="AA52" s="7">
        <f>IF(I52&lt;&gt;"Yes","",IF(AND(COUNTIFS(A$4:A$103,A52,I$4:I$103,"Yes")&gt;=2,N52&lt;V52*0.85),"Over 15% under median",""))</f>
        <v/>
      </c>
      <c r="AB52" s="7">
        <f>A52&amp;"|"&amp;Z52</f>
        <v/>
      </c>
      <c r="AD52" s="6" t="n"/>
    </row>
    <row r="53">
      <c r="C53" s="21" t="n"/>
      <c r="I53" s="7">
        <f>IF(B53="","",IF(AND(D53="Yes",E53="Yes",F53="Yes",G53="Yes",H53="Yes",N(J53)&gt;0),"Yes","No"))</f>
        <v/>
      </c>
      <c r="J53" s="29" t="n"/>
      <c r="K53" s="29" t="n"/>
      <c r="L53" s="29" t="n"/>
      <c r="M53" s="29" t="n"/>
      <c r="N53" s="9">
        <f>IF(B53="","",N(J53)+N(K53)+N(L53)+N(M53))</f>
        <v/>
      </c>
      <c r="T53" s="7">
        <f>IFERROR(MATCH(A53,'Tender Setup'!$A$4:$A$33,0),0)</f>
        <v/>
      </c>
      <c r="U53" s="9">
        <f t="array" ref="U53">IF(I53&lt;&gt;"Yes","",MIN(IF((A$4:A$103=A53)*(I$4:I$103="Yes"),N$4:N$103)))</f>
        <v/>
      </c>
      <c r="V53" s="9">
        <f t="array" ref="V53">IF(I53&lt;&gt;"Yes","",MEDIAN(IF((A$4:A$103=A53)*(I$4:I$103="Yes"),N$4:N$103)))</f>
        <v/>
      </c>
      <c r="W53" s="24">
        <f>IF(OR(I53&lt;&gt;"Yes",T53=0),0,U53/N53*INDEX('Tender Setup'!$C$4:$C$33,T53))</f>
        <v/>
      </c>
      <c r="X53" s="24">
        <f>IF(OR(I53&lt;&gt;"Yes",T53=0),0,(N(O53)*INDEX('Tender Setup'!$D$4:$D$33,T53)+N(P53)*INDEX('Tender Setup'!$E$4:$E$33,T53)+N(Q53)*INDEX('Tender Setup'!$F$4:$F$33,T53)+N(R53)*INDEX('Tender Setup'!$G$4:$G$33,T53)+N(S53)*INDEX('Tender Setup'!$H$4:$H$33,T53))/10)</f>
        <v/>
      </c>
      <c r="Y53" s="24">
        <f>IF(B53="","",W53+X53)</f>
        <v/>
      </c>
      <c r="Z53" s="7">
        <f>IF(B53="","",IF(I53&lt;&gt;"Yes","Excluded",COUNTIFS(A$4:A$103,A53,I$4:I$103,"Yes",Y$4:Y$103,"&gt;"&amp;Y53)+1))</f>
        <v/>
      </c>
      <c r="AA53" s="7">
        <f>IF(I53&lt;&gt;"Yes","",IF(AND(COUNTIFS(A$4:A$103,A53,I$4:I$103,"Yes")&gt;=2,N53&lt;V53*0.85),"Over 15% under median",""))</f>
        <v/>
      </c>
      <c r="AB53" s="7">
        <f>A53&amp;"|"&amp;Z53</f>
        <v/>
      </c>
      <c r="AD53" s="6" t="n"/>
    </row>
    <row r="54">
      <c r="C54" s="21" t="n"/>
      <c r="I54" s="7">
        <f>IF(B54="","",IF(AND(D54="Yes",E54="Yes",F54="Yes",G54="Yes",H54="Yes",N(J54)&gt;0),"Yes","No"))</f>
        <v/>
      </c>
      <c r="J54" s="29" t="n"/>
      <c r="K54" s="29" t="n"/>
      <c r="L54" s="29" t="n"/>
      <c r="M54" s="29" t="n"/>
      <c r="N54" s="9">
        <f>IF(B54="","",N(J54)+N(K54)+N(L54)+N(M54))</f>
        <v/>
      </c>
      <c r="T54" s="7">
        <f>IFERROR(MATCH(A54,'Tender Setup'!$A$4:$A$33,0),0)</f>
        <v/>
      </c>
      <c r="U54" s="9">
        <f t="array" ref="U54">IF(I54&lt;&gt;"Yes","",MIN(IF((A$4:A$103=A54)*(I$4:I$103="Yes"),N$4:N$103)))</f>
        <v/>
      </c>
      <c r="V54" s="9">
        <f t="array" ref="V54">IF(I54&lt;&gt;"Yes","",MEDIAN(IF((A$4:A$103=A54)*(I$4:I$103="Yes"),N$4:N$103)))</f>
        <v/>
      </c>
      <c r="W54" s="24">
        <f>IF(OR(I54&lt;&gt;"Yes",T54=0),0,U54/N54*INDEX('Tender Setup'!$C$4:$C$33,T54))</f>
        <v/>
      </c>
      <c r="X54" s="24">
        <f>IF(OR(I54&lt;&gt;"Yes",T54=0),0,(N(O54)*INDEX('Tender Setup'!$D$4:$D$33,T54)+N(P54)*INDEX('Tender Setup'!$E$4:$E$33,T54)+N(Q54)*INDEX('Tender Setup'!$F$4:$F$33,T54)+N(R54)*INDEX('Tender Setup'!$G$4:$G$33,T54)+N(S54)*INDEX('Tender Setup'!$H$4:$H$33,T54))/10)</f>
        <v/>
      </c>
      <c r="Y54" s="24">
        <f>IF(B54="","",W54+X54)</f>
        <v/>
      </c>
      <c r="Z54" s="7">
        <f>IF(B54="","",IF(I54&lt;&gt;"Yes","Excluded",COUNTIFS(A$4:A$103,A54,I$4:I$103,"Yes",Y$4:Y$103,"&gt;"&amp;Y54)+1))</f>
        <v/>
      </c>
      <c r="AA54" s="7">
        <f>IF(I54&lt;&gt;"Yes","",IF(AND(COUNTIFS(A$4:A$103,A54,I$4:I$103,"Yes")&gt;=2,N54&lt;V54*0.85),"Over 15% under median",""))</f>
        <v/>
      </c>
      <c r="AB54" s="7">
        <f>A54&amp;"|"&amp;Z54</f>
        <v/>
      </c>
      <c r="AD54" s="6" t="n"/>
    </row>
    <row r="55">
      <c r="C55" s="21" t="n"/>
      <c r="I55" s="7">
        <f>IF(B55="","",IF(AND(D55="Yes",E55="Yes",F55="Yes",G55="Yes",H55="Yes",N(J55)&gt;0),"Yes","No"))</f>
        <v/>
      </c>
      <c r="J55" s="29" t="n"/>
      <c r="K55" s="29" t="n"/>
      <c r="L55" s="29" t="n"/>
      <c r="M55" s="29" t="n"/>
      <c r="N55" s="9">
        <f>IF(B55="","",N(J55)+N(K55)+N(L55)+N(M55))</f>
        <v/>
      </c>
      <c r="T55" s="7">
        <f>IFERROR(MATCH(A55,'Tender Setup'!$A$4:$A$33,0),0)</f>
        <v/>
      </c>
      <c r="U55" s="9">
        <f t="array" ref="U55">IF(I55&lt;&gt;"Yes","",MIN(IF((A$4:A$103=A55)*(I$4:I$103="Yes"),N$4:N$103)))</f>
        <v/>
      </c>
      <c r="V55" s="9">
        <f t="array" ref="V55">IF(I55&lt;&gt;"Yes","",MEDIAN(IF((A$4:A$103=A55)*(I$4:I$103="Yes"),N$4:N$103)))</f>
        <v/>
      </c>
      <c r="W55" s="24">
        <f>IF(OR(I55&lt;&gt;"Yes",T55=0),0,U55/N55*INDEX('Tender Setup'!$C$4:$C$33,T55))</f>
        <v/>
      </c>
      <c r="X55" s="24">
        <f>IF(OR(I55&lt;&gt;"Yes",T55=0),0,(N(O55)*INDEX('Tender Setup'!$D$4:$D$33,T55)+N(P55)*INDEX('Tender Setup'!$E$4:$E$33,T55)+N(Q55)*INDEX('Tender Setup'!$F$4:$F$33,T55)+N(R55)*INDEX('Tender Setup'!$G$4:$G$33,T55)+N(S55)*INDEX('Tender Setup'!$H$4:$H$33,T55))/10)</f>
        <v/>
      </c>
      <c r="Y55" s="24">
        <f>IF(B55="","",W55+X55)</f>
        <v/>
      </c>
      <c r="Z55" s="7">
        <f>IF(B55="","",IF(I55&lt;&gt;"Yes","Excluded",COUNTIFS(A$4:A$103,A55,I$4:I$103,"Yes",Y$4:Y$103,"&gt;"&amp;Y55)+1))</f>
        <v/>
      </c>
      <c r="AA55" s="7">
        <f>IF(I55&lt;&gt;"Yes","",IF(AND(COUNTIFS(A$4:A$103,A55,I$4:I$103,"Yes")&gt;=2,N55&lt;V55*0.85),"Over 15% under median",""))</f>
        <v/>
      </c>
      <c r="AB55" s="7">
        <f>A55&amp;"|"&amp;Z55</f>
        <v/>
      </c>
      <c r="AD55" s="6" t="n"/>
    </row>
    <row r="56">
      <c r="C56" s="21" t="n"/>
      <c r="I56" s="7">
        <f>IF(B56="","",IF(AND(D56="Yes",E56="Yes",F56="Yes",G56="Yes",H56="Yes",N(J56)&gt;0),"Yes","No"))</f>
        <v/>
      </c>
      <c r="J56" s="29" t="n"/>
      <c r="K56" s="29" t="n"/>
      <c r="L56" s="29" t="n"/>
      <c r="M56" s="29" t="n"/>
      <c r="N56" s="9">
        <f>IF(B56="","",N(J56)+N(K56)+N(L56)+N(M56))</f>
        <v/>
      </c>
      <c r="T56" s="7">
        <f>IFERROR(MATCH(A56,'Tender Setup'!$A$4:$A$33,0),0)</f>
        <v/>
      </c>
      <c r="U56" s="9">
        <f t="array" ref="U56">IF(I56&lt;&gt;"Yes","",MIN(IF((A$4:A$103=A56)*(I$4:I$103="Yes"),N$4:N$103)))</f>
        <v/>
      </c>
      <c r="V56" s="9">
        <f t="array" ref="V56">IF(I56&lt;&gt;"Yes","",MEDIAN(IF((A$4:A$103=A56)*(I$4:I$103="Yes"),N$4:N$103)))</f>
        <v/>
      </c>
      <c r="W56" s="24">
        <f>IF(OR(I56&lt;&gt;"Yes",T56=0),0,U56/N56*INDEX('Tender Setup'!$C$4:$C$33,T56))</f>
        <v/>
      </c>
      <c r="X56" s="24">
        <f>IF(OR(I56&lt;&gt;"Yes",T56=0),0,(N(O56)*INDEX('Tender Setup'!$D$4:$D$33,T56)+N(P56)*INDEX('Tender Setup'!$E$4:$E$33,T56)+N(Q56)*INDEX('Tender Setup'!$F$4:$F$33,T56)+N(R56)*INDEX('Tender Setup'!$G$4:$G$33,T56)+N(S56)*INDEX('Tender Setup'!$H$4:$H$33,T56))/10)</f>
        <v/>
      </c>
      <c r="Y56" s="24">
        <f>IF(B56="","",W56+X56)</f>
        <v/>
      </c>
      <c r="Z56" s="7">
        <f>IF(B56="","",IF(I56&lt;&gt;"Yes","Excluded",COUNTIFS(A$4:A$103,A56,I$4:I$103,"Yes",Y$4:Y$103,"&gt;"&amp;Y56)+1))</f>
        <v/>
      </c>
      <c r="AA56" s="7">
        <f>IF(I56&lt;&gt;"Yes","",IF(AND(COUNTIFS(A$4:A$103,A56,I$4:I$103,"Yes")&gt;=2,N56&lt;V56*0.85),"Over 15% under median",""))</f>
        <v/>
      </c>
      <c r="AB56" s="7">
        <f>A56&amp;"|"&amp;Z56</f>
        <v/>
      </c>
      <c r="AD56" s="6" t="n"/>
    </row>
    <row r="57">
      <c r="C57" s="21" t="n"/>
      <c r="I57" s="7">
        <f>IF(B57="","",IF(AND(D57="Yes",E57="Yes",F57="Yes",G57="Yes",H57="Yes",N(J57)&gt;0),"Yes","No"))</f>
        <v/>
      </c>
      <c r="J57" s="29" t="n"/>
      <c r="K57" s="29" t="n"/>
      <c r="L57" s="29" t="n"/>
      <c r="M57" s="29" t="n"/>
      <c r="N57" s="9">
        <f>IF(B57="","",N(J57)+N(K57)+N(L57)+N(M57))</f>
        <v/>
      </c>
      <c r="T57" s="7">
        <f>IFERROR(MATCH(A57,'Tender Setup'!$A$4:$A$33,0),0)</f>
        <v/>
      </c>
      <c r="U57" s="9">
        <f t="array" ref="U57">IF(I57&lt;&gt;"Yes","",MIN(IF((A$4:A$103=A57)*(I$4:I$103="Yes"),N$4:N$103)))</f>
        <v/>
      </c>
      <c r="V57" s="9">
        <f t="array" ref="V57">IF(I57&lt;&gt;"Yes","",MEDIAN(IF((A$4:A$103=A57)*(I$4:I$103="Yes"),N$4:N$103)))</f>
        <v/>
      </c>
      <c r="W57" s="24">
        <f>IF(OR(I57&lt;&gt;"Yes",T57=0),0,U57/N57*INDEX('Tender Setup'!$C$4:$C$33,T57))</f>
        <v/>
      </c>
      <c r="X57" s="24">
        <f>IF(OR(I57&lt;&gt;"Yes",T57=0),0,(N(O57)*INDEX('Tender Setup'!$D$4:$D$33,T57)+N(P57)*INDEX('Tender Setup'!$E$4:$E$33,T57)+N(Q57)*INDEX('Tender Setup'!$F$4:$F$33,T57)+N(R57)*INDEX('Tender Setup'!$G$4:$G$33,T57)+N(S57)*INDEX('Tender Setup'!$H$4:$H$33,T57))/10)</f>
        <v/>
      </c>
      <c r="Y57" s="24">
        <f>IF(B57="","",W57+X57)</f>
        <v/>
      </c>
      <c r="Z57" s="7">
        <f>IF(B57="","",IF(I57&lt;&gt;"Yes","Excluded",COUNTIFS(A$4:A$103,A57,I$4:I$103,"Yes",Y$4:Y$103,"&gt;"&amp;Y57)+1))</f>
        <v/>
      </c>
      <c r="AA57" s="7">
        <f>IF(I57&lt;&gt;"Yes","",IF(AND(COUNTIFS(A$4:A$103,A57,I$4:I$103,"Yes")&gt;=2,N57&lt;V57*0.85),"Over 15% under median",""))</f>
        <v/>
      </c>
      <c r="AB57" s="7">
        <f>A57&amp;"|"&amp;Z57</f>
        <v/>
      </c>
      <c r="AD57" s="6" t="n"/>
    </row>
    <row r="58">
      <c r="C58" s="21" t="n"/>
      <c r="I58" s="7">
        <f>IF(B58="","",IF(AND(D58="Yes",E58="Yes",F58="Yes",G58="Yes",H58="Yes",N(J58)&gt;0),"Yes","No"))</f>
        <v/>
      </c>
      <c r="J58" s="29" t="n"/>
      <c r="K58" s="29" t="n"/>
      <c r="L58" s="29" t="n"/>
      <c r="M58" s="29" t="n"/>
      <c r="N58" s="9">
        <f>IF(B58="","",N(J58)+N(K58)+N(L58)+N(M58))</f>
        <v/>
      </c>
      <c r="T58" s="7">
        <f>IFERROR(MATCH(A58,'Tender Setup'!$A$4:$A$33,0),0)</f>
        <v/>
      </c>
      <c r="U58" s="9">
        <f t="array" ref="U58">IF(I58&lt;&gt;"Yes","",MIN(IF((A$4:A$103=A58)*(I$4:I$103="Yes"),N$4:N$103)))</f>
        <v/>
      </c>
      <c r="V58" s="9">
        <f t="array" ref="V58">IF(I58&lt;&gt;"Yes","",MEDIAN(IF((A$4:A$103=A58)*(I$4:I$103="Yes"),N$4:N$103)))</f>
        <v/>
      </c>
      <c r="W58" s="24">
        <f>IF(OR(I58&lt;&gt;"Yes",T58=0),0,U58/N58*INDEX('Tender Setup'!$C$4:$C$33,T58))</f>
        <v/>
      </c>
      <c r="X58" s="24">
        <f>IF(OR(I58&lt;&gt;"Yes",T58=0),0,(N(O58)*INDEX('Tender Setup'!$D$4:$D$33,T58)+N(P58)*INDEX('Tender Setup'!$E$4:$E$33,T58)+N(Q58)*INDEX('Tender Setup'!$F$4:$F$33,T58)+N(R58)*INDEX('Tender Setup'!$G$4:$G$33,T58)+N(S58)*INDEX('Tender Setup'!$H$4:$H$33,T58))/10)</f>
        <v/>
      </c>
      <c r="Y58" s="24">
        <f>IF(B58="","",W58+X58)</f>
        <v/>
      </c>
      <c r="Z58" s="7">
        <f>IF(B58="","",IF(I58&lt;&gt;"Yes","Excluded",COUNTIFS(A$4:A$103,A58,I$4:I$103,"Yes",Y$4:Y$103,"&gt;"&amp;Y58)+1))</f>
        <v/>
      </c>
      <c r="AA58" s="7">
        <f>IF(I58&lt;&gt;"Yes","",IF(AND(COUNTIFS(A$4:A$103,A58,I$4:I$103,"Yes")&gt;=2,N58&lt;V58*0.85),"Over 15% under median",""))</f>
        <v/>
      </c>
      <c r="AB58" s="7">
        <f>A58&amp;"|"&amp;Z58</f>
        <v/>
      </c>
      <c r="AD58" s="6" t="n"/>
    </row>
    <row r="59">
      <c r="C59" s="21" t="n"/>
      <c r="I59" s="7">
        <f>IF(B59="","",IF(AND(D59="Yes",E59="Yes",F59="Yes",G59="Yes",H59="Yes",N(J59)&gt;0),"Yes","No"))</f>
        <v/>
      </c>
      <c r="J59" s="29" t="n"/>
      <c r="K59" s="29" t="n"/>
      <c r="L59" s="29" t="n"/>
      <c r="M59" s="29" t="n"/>
      <c r="N59" s="9">
        <f>IF(B59="","",N(J59)+N(K59)+N(L59)+N(M59))</f>
        <v/>
      </c>
      <c r="T59" s="7">
        <f>IFERROR(MATCH(A59,'Tender Setup'!$A$4:$A$33,0),0)</f>
        <v/>
      </c>
      <c r="U59" s="9">
        <f t="array" ref="U59">IF(I59&lt;&gt;"Yes","",MIN(IF((A$4:A$103=A59)*(I$4:I$103="Yes"),N$4:N$103)))</f>
        <v/>
      </c>
      <c r="V59" s="9">
        <f t="array" ref="V59">IF(I59&lt;&gt;"Yes","",MEDIAN(IF((A$4:A$103=A59)*(I$4:I$103="Yes"),N$4:N$103)))</f>
        <v/>
      </c>
      <c r="W59" s="24">
        <f>IF(OR(I59&lt;&gt;"Yes",T59=0),0,U59/N59*INDEX('Tender Setup'!$C$4:$C$33,T59))</f>
        <v/>
      </c>
      <c r="X59" s="24">
        <f>IF(OR(I59&lt;&gt;"Yes",T59=0),0,(N(O59)*INDEX('Tender Setup'!$D$4:$D$33,T59)+N(P59)*INDEX('Tender Setup'!$E$4:$E$33,T59)+N(Q59)*INDEX('Tender Setup'!$F$4:$F$33,T59)+N(R59)*INDEX('Tender Setup'!$G$4:$G$33,T59)+N(S59)*INDEX('Tender Setup'!$H$4:$H$33,T59))/10)</f>
        <v/>
      </c>
      <c r="Y59" s="24">
        <f>IF(B59="","",W59+X59)</f>
        <v/>
      </c>
      <c r="Z59" s="7">
        <f>IF(B59="","",IF(I59&lt;&gt;"Yes","Excluded",COUNTIFS(A$4:A$103,A59,I$4:I$103,"Yes",Y$4:Y$103,"&gt;"&amp;Y59)+1))</f>
        <v/>
      </c>
      <c r="AA59" s="7">
        <f>IF(I59&lt;&gt;"Yes","",IF(AND(COUNTIFS(A$4:A$103,A59,I$4:I$103,"Yes")&gt;=2,N59&lt;V59*0.85),"Over 15% under median",""))</f>
        <v/>
      </c>
      <c r="AB59" s="7">
        <f>A59&amp;"|"&amp;Z59</f>
        <v/>
      </c>
      <c r="AD59" s="6" t="n"/>
    </row>
    <row r="60">
      <c r="C60" s="21" t="n"/>
      <c r="I60" s="7">
        <f>IF(B60="","",IF(AND(D60="Yes",E60="Yes",F60="Yes",G60="Yes",H60="Yes",N(J60)&gt;0),"Yes","No"))</f>
        <v/>
      </c>
      <c r="J60" s="29" t="n"/>
      <c r="K60" s="29" t="n"/>
      <c r="L60" s="29" t="n"/>
      <c r="M60" s="29" t="n"/>
      <c r="N60" s="9">
        <f>IF(B60="","",N(J60)+N(K60)+N(L60)+N(M60))</f>
        <v/>
      </c>
      <c r="T60" s="7">
        <f>IFERROR(MATCH(A60,'Tender Setup'!$A$4:$A$33,0),0)</f>
        <v/>
      </c>
      <c r="U60" s="9">
        <f t="array" ref="U60">IF(I60&lt;&gt;"Yes","",MIN(IF((A$4:A$103=A60)*(I$4:I$103="Yes"),N$4:N$103)))</f>
        <v/>
      </c>
      <c r="V60" s="9">
        <f t="array" ref="V60">IF(I60&lt;&gt;"Yes","",MEDIAN(IF((A$4:A$103=A60)*(I$4:I$103="Yes"),N$4:N$103)))</f>
        <v/>
      </c>
      <c r="W60" s="24">
        <f>IF(OR(I60&lt;&gt;"Yes",T60=0),0,U60/N60*INDEX('Tender Setup'!$C$4:$C$33,T60))</f>
        <v/>
      </c>
      <c r="X60" s="24">
        <f>IF(OR(I60&lt;&gt;"Yes",T60=0),0,(N(O60)*INDEX('Tender Setup'!$D$4:$D$33,T60)+N(P60)*INDEX('Tender Setup'!$E$4:$E$33,T60)+N(Q60)*INDEX('Tender Setup'!$F$4:$F$33,T60)+N(R60)*INDEX('Tender Setup'!$G$4:$G$33,T60)+N(S60)*INDEX('Tender Setup'!$H$4:$H$33,T60))/10)</f>
        <v/>
      </c>
      <c r="Y60" s="24">
        <f>IF(B60="","",W60+X60)</f>
        <v/>
      </c>
      <c r="Z60" s="7">
        <f>IF(B60="","",IF(I60&lt;&gt;"Yes","Excluded",COUNTIFS(A$4:A$103,A60,I$4:I$103,"Yes",Y$4:Y$103,"&gt;"&amp;Y60)+1))</f>
        <v/>
      </c>
      <c r="AA60" s="7">
        <f>IF(I60&lt;&gt;"Yes","",IF(AND(COUNTIFS(A$4:A$103,A60,I$4:I$103,"Yes")&gt;=2,N60&lt;V60*0.85),"Over 15% under median",""))</f>
        <v/>
      </c>
      <c r="AB60" s="7">
        <f>A60&amp;"|"&amp;Z60</f>
        <v/>
      </c>
      <c r="AD60" s="6" t="n"/>
    </row>
    <row r="61">
      <c r="C61" s="21" t="n"/>
      <c r="I61" s="7">
        <f>IF(B61="","",IF(AND(D61="Yes",E61="Yes",F61="Yes",G61="Yes",H61="Yes",N(J61)&gt;0),"Yes","No"))</f>
        <v/>
      </c>
      <c r="J61" s="29" t="n"/>
      <c r="K61" s="29" t="n"/>
      <c r="L61" s="29" t="n"/>
      <c r="M61" s="29" t="n"/>
      <c r="N61" s="9">
        <f>IF(B61="","",N(J61)+N(K61)+N(L61)+N(M61))</f>
        <v/>
      </c>
      <c r="T61" s="7">
        <f>IFERROR(MATCH(A61,'Tender Setup'!$A$4:$A$33,0),0)</f>
        <v/>
      </c>
      <c r="U61" s="9">
        <f t="array" ref="U61">IF(I61&lt;&gt;"Yes","",MIN(IF((A$4:A$103=A61)*(I$4:I$103="Yes"),N$4:N$103)))</f>
        <v/>
      </c>
      <c r="V61" s="9">
        <f t="array" ref="V61">IF(I61&lt;&gt;"Yes","",MEDIAN(IF((A$4:A$103=A61)*(I$4:I$103="Yes"),N$4:N$103)))</f>
        <v/>
      </c>
      <c r="W61" s="24">
        <f>IF(OR(I61&lt;&gt;"Yes",T61=0),0,U61/N61*INDEX('Tender Setup'!$C$4:$C$33,T61))</f>
        <v/>
      </c>
      <c r="X61" s="24">
        <f>IF(OR(I61&lt;&gt;"Yes",T61=0),0,(N(O61)*INDEX('Tender Setup'!$D$4:$D$33,T61)+N(P61)*INDEX('Tender Setup'!$E$4:$E$33,T61)+N(Q61)*INDEX('Tender Setup'!$F$4:$F$33,T61)+N(R61)*INDEX('Tender Setup'!$G$4:$G$33,T61)+N(S61)*INDEX('Tender Setup'!$H$4:$H$33,T61))/10)</f>
        <v/>
      </c>
      <c r="Y61" s="24">
        <f>IF(B61="","",W61+X61)</f>
        <v/>
      </c>
      <c r="Z61" s="7">
        <f>IF(B61="","",IF(I61&lt;&gt;"Yes","Excluded",COUNTIFS(A$4:A$103,A61,I$4:I$103,"Yes",Y$4:Y$103,"&gt;"&amp;Y61)+1))</f>
        <v/>
      </c>
      <c r="AA61" s="7">
        <f>IF(I61&lt;&gt;"Yes","",IF(AND(COUNTIFS(A$4:A$103,A61,I$4:I$103,"Yes")&gt;=2,N61&lt;V61*0.85),"Over 15% under median",""))</f>
        <v/>
      </c>
      <c r="AB61" s="7">
        <f>A61&amp;"|"&amp;Z61</f>
        <v/>
      </c>
      <c r="AD61" s="6" t="n"/>
    </row>
    <row r="62">
      <c r="C62" s="21" t="n"/>
      <c r="I62" s="7">
        <f>IF(B62="","",IF(AND(D62="Yes",E62="Yes",F62="Yes",G62="Yes",H62="Yes",N(J62)&gt;0),"Yes","No"))</f>
        <v/>
      </c>
      <c r="J62" s="29" t="n"/>
      <c r="K62" s="29" t="n"/>
      <c r="L62" s="29" t="n"/>
      <c r="M62" s="29" t="n"/>
      <c r="N62" s="9">
        <f>IF(B62="","",N(J62)+N(K62)+N(L62)+N(M62))</f>
        <v/>
      </c>
      <c r="T62" s="7">
        <f>IFERROR(MATCH(A62,'Tender Setup'!$A$4:$A$33,0),0)</f>
        <v/>
      </c>
      <c r="U62" s="9">
        <f t="array" ref="U62">IF(I62&lt;&gt;"Yes","",MIN(IF((A$4:A$103=A62)*(I$4:I$103="Yes"),N$4:N$103)))</f>
        <v/>
      </c>
      <c r="V62" s="9">
        <f t="array" ref="V62">IF(I62&lt;&gt;"Yes","",MEDIAN(IF((A$4:A$103=A62)*(I$4:I$103="Yes"),N$4:N$103)))</f>
        <v/>
      </c>
      <c r="W62" s="24">
        <f>IF(OR(I62&lt;&gt;"Yes",T62=0),0,U62/N62*INDEX('Tender Setup'!$C$4:$C$33,T62))</f>
        <v/>
      </c>
      <c r="X62" s="24">
        <f>IF(OR(I62&lt;&gt;"Yes",T62=0),0,(N(O62)*INDEX('Tender Setup'!$D$4:$D$33,T62)+N(P62)*INDEX('Tender Setup'!$E$4:$E$33,T62)+N(Q62)*INDEX('Tender Setup'!$F$4:$F$33,T62)+N(R62)*INDEX('Tender Setup'!$G$4:$G$33,T62)+N(S62)*INDEX('Tender Setup'!$H$4:$H$33,T62))/10)</f>
        <v/>
      </c>
      <c r="Y62" s="24">
        <f>IF(B62="","",W62+X62)</f>
        <v/>
      </c>
      <c r="Z62" s="7">
        <f>IF(B62="","",IF(I62&lt;&gt;"Yes","Excluded",COUNTIFS(A$4:A$103,A62,I$4:I$103,"Yes",Y$4:Y$103,"&gt;"&amp;Y62)+1))</f>
        <v/>
      </c>
      <c r="AA62" s="7">
        <f>IF(I62&lt;&gt;"Yes","",IF(AND(COUNTIFS(A$4:A$103,A62,I$4:I$103,"Yes")&gt;=2,N62&lt;V62*0.85),"Over 15% under median",""))</f>
        <v/>
      </c>
      <c r="AB62" s="7">
        <f>A62&amp;"|"&amp;Z62</f>
        <v/>
      </c>
      <c r="AD62" s="6" t="n"/>
    </row>
    <row r="63">
      <c r="C63" s="21" t="n"/>
      <c r="I63" s="7">
        <f>IF(B63="","",IF(AND(D63="Yes",E63="Yes",F63="Yes",G63="Yes",H63="Yes",N(J63)&gt;0),"Yes","No"))</f>
        <v/>
      </c>
      <c r="J63" s="29" t="n"/>
      <c r="K63" s="29" t="n"/>
      <c r="L63" s="29" t="n"/>
      <c r="M63" s="29" t="n"/>
      <c r="N63" s="9">
        <f>IF(B63="","",N(J63)+N(K63)+N(L63)+N(M63))</f>
        <v/>
      </c>
      <c r="T63" s="7">
        <f>IFERROR(MATCH(A63,'Tender Setup'!$A$4:$A$33,0),0)</f>
        <v/>
      </c>
      <c r="U63" s="9">
        <f t="array" ref="U63">IF(I63&lt;&gt;"Yes","",MIN(IF((A$4:A$103=A63)*(I$4:I$103="Yes"),N$4:N$103)))</f>
        <v/>
      </c>
      <c r="V63" s="9">
        <f t="array" ref="V63">IF(I63&lt;&gt;"Yes","",MEDIAN(IF((A$4:A$103=A63)*(I$4:I$103="Yes"),N$4:N$103)))</f>
        <v/>
      </c>
      <c r="W63" s="24">
        <f>IF(OR(I63&lt;&gt;"Yes",T63=0),0,U63/N63*INDEX('Tender Setup'!$C$4:$C$33,T63))</f>
        <v/>
      </c>
      <c r="X63" s="24">
        <f>IF(OR(I63&lt;&gt;"Yes",T63=0),0,(N(O63)*INDEX('Tender Setup'!$D$4:$D$33,T63)+N(P63)*INDEX('Tender Setup'!$E$4:$E$33,T63)+N(Q63)*INDEX('Tender Setup'!$F$4:$F$33,T63)+N(R63)*INDEX('Tender Setup'!$G$4:$G$33,T63)+N(S63)*INDEX('Tender Setup'!$H$4:$H$33,T63))/10)</f>
        <v/>
      </c>
      <c r="Y63" s="24">
        <f>IF(B63="","",W63+X63)</f>
        <v/>
      </c>
      <c r="Z63" s="7">
        <f>IF(B63="","",IF(I63&lt;&gt;"Yes","Excluded",COUNTIFS(A$4:A$103,A63,I$4:I$103,"Yes",Y$4:Y$103,"&gt;"&amp;Y63)+1))</f>
        <v/>
      </c>
      <c r="AA63" s="7">
        <f>IF(I63&lt;&gt;"Yes","",IF(AND(COUNTIFS(A$4:A$103,A63,I$4:I$103,"Yes")&gt;=2,N63&lt;V63*0.85),"Over 15% under median",""))</f>
        <v/>
      </c>
      <c r="AB63" s="7">
        <f>A63&amp;"|"&amp;Z63</f>
        <v/>
      </c>
      <c r="AD63" s="6" t="n"/>
    </row>
    <row r="64">
      <c r="C64" s="21" t="n"/>
      <c r="I64" s="7">
        <f>IF(B64="","",IF(AND(D64="Yes",E64="Yes",F64="Yes",G64="Yes",H64="Yes",N(J64)&gt;0),"Yes","No"))</f>
        <v/>
      </c>
      <c r="J64" s="29" t="n"/>
      <c r="K64" s="29" t="n"/>
      <c r="L64" s="29" t="n"/>
      <c r="M64" s="29" t="n"/>
      <c r="N64" s="9">
        <f>IF(B64="","",N(J64)+N(K64)+N(L64)+N(M64))</f>
        <v/>
      </c>
      <c r="T64" s="7">
        <f>IFERROR(MATCH(A64,'Tender Setup'!$A$4:$A$33,0),0)</f>
        <v/>
      </c>
      <c r="U64" s="9">
        <f t="array" ref="U64">IF(I64&lt;&gt;"Yes","",MIN(IF((A$4:A$103=A64)*(I$4:I$103="Yes"),N$4:N$103)))</f>
        <v/>
      </c>
      <c r="V64" s="9">
        <f t="array" ref="V64">IF(I64&lt;&gt;"Yes","",MEDIAN(IF((A$4:A$103=A64)*(I$4:I$103="Yes"),N$4:N$103)))</f>
        <v/>
      </c>
      <c r="W64" s="24">
        <f>IF(OR(I64&lt;&gt;"Yes",T64=0),0,U64/N64*INDEX('Tender Setup'!$C$4:$C$33,T64))</f>
        <v/>
      </c>
      <c r="X64" s="24">
        <f>IF(OR(I64&lt;&gt;"Yes",T64=0),0,(N(O64)*INDEX('Tender Setup'!$D$4:$D$33,T64)+N(P64)*INDEX('Tender Setup'!$E$4:$E$33,T64)+N(Q64)*INDEX('Tender Setup'!$F$4:$F$33,T64)+N(R64)*INDEX('Tender Setup'!$G$4:$G$33,T64)+N(S64)*INDEX('Tender Setup'!$H$4:$H$33,T64))/10)</f>
        <v/>
      </c>
      <c r="Y64" s="24">
        <f>IF(B64="","",W64+X64)</f>
        <v/>
      </c>
      <c r="Z64" s="7">
        <f>IF(B64="","",IF(I64&lt;&gt;"Yes","Excluded",COUNTIFS(A$4:A$103,A64,I$4:I$103,"Yes",Y$4:Y$103,"&gt;"&amp;Y64)+1))</f>
        <v/>
      </c>
      <c r="AA64" s="7">
        <f>IF(I64&lt;&gt;"Yes","",IF(AND(COUNTIFS(A$4:A$103,A64,I$4:I$103,"Yes")&gt;=2,N64&lt;V64*0.85),"Over 15% under median",""))</f>
        <v/>
      </c>
      <c r="AB64" s="7">
        <f>A64&amp;"|"&amp;Z64</f>
        <v/>
      </c>
      <c r="AD64" s="6" t="n"/>
    </row>
    <row r="65">
      <c r="C65" s="21" t="n"/>
      <c r="I65" s="7">
        <f>IF(B65="","",IF(AND(D65="Yes",E65="Yes",F65="Yes",G65="Yes",H65="Yes",N(J65)&gt;0),"Yes","No"))</f>
        <v/>
      </c>
      <c r="J65" s="29" t="n"/>
      <c r="K65" s="29" t="n"/>
      <c r="L65" s="29" t="n"/>
      <c r="M65" s="29" t="n"/>
      <c r="N65" s="9">
        <f>IF(B65="","",N(J65)+N(K65)+N(L65)+N(M65))</f>
        <v/>
      </c>
      <c r="T65" s="7">
        <f>IFERROR(MATCH(A65,'Tender Setup'!$A$4:$A$33,0),0)</f>
        <v/>
      </c>
      <c r="U65" s="9">
        <f t="array" ref="U65">IF(I65&lt;&gt;"Yes","",MIN(IF((A$4:A$103=A65)*(I$4:I$103="Yes"),N$4:N$103)))</f>
        <v/>
      </c>
      <c r="V65" s="9">
        <f t="array" ref="V65">IF(I65&lt;&gt;"Yes","",MEDIAN(IF((A$4:A$103=A65)*(I$4:I$103="Yes"),N$4:N$103)))</f>
        <v/>
      </c>
      <c r="W65" s="24">
        <f>IF(OR(I65&lt;&gt;"Yes",T65=0),0,U65/N65*INDEX('Tender Setup'!$C$4:$C$33,T65))</f>
        <v/>
      </c>
      <c r="X65" s="24">
        <f>IF(OR(I65&lt;&gt;"Yes",T65=0),0,(N(O65)*INDEX('Tender Setup'!$D$4:$D$33,T65)+N(P65)*INDEX('Tender Setup'!$E$4:$E$33,T65)+N(Q65)*INDEX('Tender Setup'!$F$4:$F$33,T65)+N(R65)*INDEX('Tender Setup'!$G$4:$G$33,T65)+N(S65)*INDEX('Tender Setup'!$H$4:$H$33,T65))/10)</f>
        <v/>
      </c>
      <c r="Y65" s="24">
        <f>IF(B65="","",W65+X65)</f>
        <v/>
      </c>
      <c r="Z65" s="7">
        <f>IF(B65="","",IF(I65&lt;&gt;"Yes","Excluded",COUNTIFS(A$4:A$103,A65,I$4:I$103,"Yes",Y$4:Y$103,"&gt;"&amp;Y65)+1))</f>
        <v/>
      </c>
      <c r="AA65" s="7">
        <f>IF(I65&lt;&gt;"Yes","",IF(AND(COUNTIFS(A$4:A$103,A65,I$4:I$103,"Yes")&gt;=2,N65&lt;V65*0.85),"Over 15% under median",""))</f>
        <v/>
      </c>
      <c r="AB65" s="7">
        <f>A65&amp;"|"&amp;Z65</f>
        <v/>
      </c>
      <c r="AD65" s="6" t="n"/>
    </row>
    <row r="66">
      <c r="C66" s="21" t="n"/>
      <c r="I66" s="7">
        <f>IF(B66="","",IF(AND(D66="Yes",E66="Yes",F66="Yes",G66="Yes",H66="Yes",N(J66)&gt;0),"Yes","No"))</f>
        <v/>
      </c>
      <c r="J66" s="29" t="n"/>
      <c r="K66" s="29" t="n"/>
      <c r="L66" s="29" t="n"/>
      <c r="M66" s="29" t="n"/>
      <c r="N66" s="9">
        <f>IF(B66="","",N(J66)+N(K66)+N(L66)+N(M66))</f>
        <v/>
      </c>
      <c r="T66" s="7">
        <f>IFERROR(MATCH(A66,'Tender Setup'!$A$4:$A$33,0),0)</f>
        <v/>
      </c>
      <c r="U66" s="9">
        <f t="array" ref="U66">IF(I66&lt;&gt;"Yes","",MIN(IF((A$4:A$103=A66)*(I$4:I$103="Yes"),N$4:N$103)))</f>
        <v/>
      </c>
      <c r="V66" s="9">
        <f t="array" ref="V66">IF(I66&lt;&gt;"Yes","",MEDIAN(IF((A$4:A$103=A66)*(I$4:I$103="Yes"),N$4:N$103)))</f>
        <v/>
      </c>
      <c r="W66" s="24">
        <f>IF(OR(I66&lt;&gt;"Yes",T66=0),0,U66/N66*INDEX('Tender Setup'!$C$4:$C$33,T66))</f>
        <v/>
      </c>
      <c r="X66" s="24">
        <f>IF(OR(I66&lt;&gt;"Yes",T66=0),0,(N(O66)*INDEX('Tender Setup'!$D$4:$D$33,T66)+N(P66)*INDEX('Tender Setup'!$E$4:$E$33,T66)+N(Q66)*INDEX('Tender Setup'!$F$4:$F$33,T66)+N(R66)*INDEX('Tender Setup'!$G$4:$G$33,T66)+N(S66)*INDEX('Tender Setup'!$H$4:$H$33,T66))/10)</f>
        <v/>
      </c>
      <c r="Y66" s="24">
        <f>IF(B66="","",W66+X66)</f>
        <v/>
      </c>
      <c r="Z66" s="7">
        <f>IF(B66="","",IF(I66&lt;&gt;"Yes","Excluded",COUNTIFS(A$4:A$103,A66,I$4:I$103,"Yes",Y$4:Y$103,"&gt;"&amp;Y66)+1))</f>
        <v/>
      </c>
      <c r="AA66" s="7">
        <f>IF(I66&lt;&gt;"Yes","",IF(AND(COUNTIFS(A$4:A$103,A66,I$4:I$103,"Yes")&gt;=2,N66&lt;V66*0.85),"Over 15% under median",""))</f>
        <v/>
      </c>
      <c r="AB66" s="7">
        <f>A66&amp;"|"&amp;Z66</f>
        <v/>
      </c>
      <c r="AD66" s="6" t="n"/>
    </row>
    <row r="67">
      <c r="C67" s="21" t="n"/>
      <c r="I67" s="7">
        <f>IF(B67="","",IF(AND(D67="Yes",E67="Yes",F67="Yes",G67="Yes",H67="Yes",N(J67)&gt;0),"Yes","No"))</f>
        <v/>
      </c>
      <c r="J67" s="29" t="n"/>
      <c r="K67" s="29" t="n"/>
      <c r="L67" s="29" t="n"/>
      <c r="M67" s="29" t="n"/>
      <c r="N67" s="9">
        <f>IF(B67="","",N(J67)+N(K67)+N(L67)+N(M67))</f>
        <v/>
      </c>
      <c r="T67" s="7">
        <f>IFERROR(MATCH(A67,'Tender Setup'!$A$4:$A$33,0),0)</f>
        <v/>
      </c>
      <c r="U67" s="9">
        <f t="array" ref="U67">IF(I67&lt;&gt;"Yes","",MIN(IF((A$4:A$103=A67)*(I$4:I$103="Yes"),N$4:N$103)))</f>
        <v/>
      </c>
      <c r="V67" s="9">
        <f t="array" ref="V67">IF(I67&lt;&gt;"Yes","",MEDIAN(IF((A$4:A$103=A67)*(I$4:I$103="Yes"),N$4:N$103)))</f>
        <v/>
      </c>
      <c r="W67" s="24">
        <f>IF(OR(I67&lt;&gt;"Yes",T67=0),0,U67/N67*INDEX('Tender Setup'!$C$4:$C$33,T67))</f>
        <v/>
      </c>
      <c r="X67" s="24">
        <f>IF(OR(I67&lt;&gt;"Yes",T67=0),0,(N(O67)*INDEX('Tender Setup'!$D$4:$D$33,T67)+N(P67)*INDEX('Tender Setup'!$E$4:$E$33,T67)+N(Q67)*INDEX('Tender Setup'!$F$4:$F$33,T67)+N(R67)*INDEX('Tender Setup'!$G$4:$G$33,T67)+N(S67)*INDEX('Tender Setup'!$H$4:$H$33,T67))/10)</f>
        <v/>
      </c>
      <c r="Y67" s="24">
        <f>IF(B67="","",W67+X67)</f>
        <v/>
      </c>
      <c r="Z67" s="7">
        <f>IF(B67="","",IF(I67&lt;&gt;"Yes","Excluded",COUNTIFS(A$4:A$103,A67,I$4:I$103,"Yes",Y$4:Y$103,"&gt;"&amp;Y67)+1))</f>
        <v/>
      </c>
      <c r="AA67" s="7">
        <f>IF(I67&lt;&gt;"Yes","",IF(AND(COUNTIFS(A$4:A$103,A67,I$4:I$103,"Yes")&gt;=2,N67&lt;V67*0.85),"Over 15% under median",""))</f>
        <v/>
      </c>
      <c r="AB67" s="7">
        <f>A67&amp;"|"&amp;Z67</f>
        <v/>
      </c>
      <c r="AD67" s="6" t="n"/>
    </row>
    <row r="68">
      <c r="C68" s="21" t="n"/>
      <c r="I68" s="7">
        <f>IF(B68="","",IF(AND(D68="Yes",E68="Yes",F68="Yes",G68="Yes",H68="Yes",N(J68)&gt;0),"Yes","No"))</f>
        <v/>
      </c>
      <c r="J68" s="29" t="n"/>
      <c r="K68" s="29" t="n"/>
      <c r="L68" s="29" t="n"/>
      <c r="M68" s="29" t="n"/>
      <c r="N68" s="9">
        <f>IF(B68="","",N(J68)+N(K68)+N(L68)+N(M68))</f>
        <v/>
      </c>
      <c r="T68" s="7">
        <f>IFERROR(MATCH(A68,'Tender Setup'!$A$4:$A$33,0),0)</f>
        <v/>
      </c>
      <c r="U68" s="9">
        <f t="array" ref="U68">IF(I68&lt;&gt;"Yes","",MIN(IF((A$4:A$103=A68)*(I$4:I$103="Yes"),N$4:N$103)))</f>
        <v/>
      </c>
      <c r="V68" s="9">
        <f t="array" ref="V68">IF(I68&lt;&gt;"Yes","",MEDIAN(IF((A$4:A$103=A68)*(I$4:I$103="Yes"),N$4:N$103)))</f>
        <v/>
      </c>
      <c r="W68" s="24">
        <f>IF(OR(I68&lt;&gt;"Yes",T68=0),0,U68/N68*INDEX('Tender Setup'!$C$4:$C$33,T68))</f>
        <v/>
      </c>
      <c r="X68" s="24">
        <f>IF(OR(I68&lt;&gt;"Yes",T68=0),0,(N(O68)*INDEX('Tender Setup'!$D$4:$D$33,T68)+N(P68)*INDEX('Tender Setup'!$E$4:$E$33,T68)+N(Q68)*INDEX('Tender Setup'!$F$4:$F$33,T68)+N(R68)*INDEX('Tender Setup'!$G$4:$G$33,T68)+N(S68)*INDEX('Tender Setup'!$H$4:$H$33,T68))/10)</f>
        <v/>
      </c>
      <c r="Y68" s="24">
        <f>IF(B68="","",W68+X68)</f>
        <v/>
      </c>
      <c r="Z68" s="7">
        <f>IF(B68="","",IF(I68&lt;&gt;"Yes","Excluded",COUNTIFS(A$4:A$103,A68,I$4:I$103,"Yes",Y$4:Y$103,"&gt;"&amp;Y68)+1))</f>
        <v/>
      </c>
      <c r="AA68" s="7">
        <f>IF(I68&lt;&gt;"Yes","",IF(AND(COUNTIFS(A$4:A$103,A68,I$4:I$103,"Yes")&gt;=2,N68&lt;V68*0.85),"Over 15% under median",""))</f>
        <v/>
      </c>
      <c r="AB68" s="7">
        <f>A68&amp;"|"&amp;Z68</f>
        <v/>
      </c>
      <c r="AD68" s="6" t="n"/>
    </row>
    <row r="69">
      <c r="C69" s="21" t="n"/>
      <c r="I69" s="7">
        <f>IF(B69="","",IF(AND(D69="Yes",E69="Yes",F69="Yes",G69="Yes",H69="Yes",N(J69)&gt;0),"Yes","No"))</f>
        <v/>
      </c>
      <c r="J69" s="29" t="n"/>
      <c r="K69" s="29" t="n"/>
      <c r="L69" s="29" t="n"/>
      <c r="M69" s="29" t="n"/>
      <c r="N69" s="9">
        <f>IF(B69="","",N(J69)+N(K69)+N(L69)+N(M69))</f>
        <v/>
      </c>
      <c r="T69" s="7">
        <f>IFERROR(MATCH(A69,'Tender Setup'!$A$4:$A$33,0),0)</f>
        <v/>
      </c>
      <c r="U69" s="9">
        <f t="array" ref="U69">IF(I69&lt;&gt;"Yes","",MIN(IF((A$4:A$103=A69)*(I$4:I$103="Yes"),N$4:N$103)))</f>
        <v/>
      </c>
      <c r="V69" s="9">
        <f t="array" ref="V69">IF(I69&lt;&gt;"Yes","",MEDIAN(IF((A$4:A$103=A69)*(I$4:I$103="Yes"),N$4:N$103)))</f>
        <v/>
      </c>
      <c r="W69" s="24">
        <f>IF(OR(I69&lt;&gt;"Yes",T69=0),0,U69/N69*INDEX('Tender Setup'!$C$4:$C$33,T69))</f>
        <v/>
      </c>
      <c r="X69" s="24">
        <f>IF(OR(I69&lt;&gt;"Yes",T69=0),0,(N(O69)*INDEX('Tender Setup'!$D$4:$D$33,T69)+N(P69)*INDEX('Tender Setup'!$E$4:$E$33,T69)+N(Q69)*INDEX('Tender Setup'!$F$4:$F$33,T69)+N(R69)*INDEX('Tender Setup'!$G$4:$G$33,T69)+N(S69)*INDEX('Tender Setup'!$H$4:$H$33,T69))/10)</f>
        <v/>
      </c>
      <c r="Y69" s="24">
        <f>IF(B69="","",W69+X69)</f>
        <v/>
      </c>
      <c r="Z69" s="7">
        <f>IF(B69="","",IF(I69&lt;&gt;"Yes","Excluded",COUNTIFS(A$4:A$103,A69,I$4:I$103,"Yes",Y$4:Y$103,"&gt;"&amp;Y69)+1))</f>
        <v/>
      </c>
      <c r="AA69" s="7">
        <f>IF(I69&lt;&gt;"Yes","",IF(AND(COUNTIFS(A$4:A$103,A69,I$4:I$103,"Yes")&gt;=2,N69&lt;V69*0.85),"Over 15% under median",""))</f>
        <v/>
      </c>
      <c r="AB69" s="7">
        <f>A69&amp;"|"&amp;Z69</f>
        <v/>
      </c>
      <c r="AD69" s="6" t="n"/>
    </row>
    <row r="70">
      <c r="C70" s="21" t="n"/>
      <c r="I70" s="7">
        <f>IF(B70="","",IF(AND(D70="Yes",E70="Yes",F70="Yes",G70="Yes",H70="Yes",N(J70)&gt;0),"Yes","No"))</f>
        <v/>
      </c>
      <c r="J70" s="29" t="n"/>
      <c r="K70" s="29" t="n"/>
      <c r="L70" s="29" t="n"/>
      <c r="M70" s="29" t="n"/>
      <c r="N70" s="9">
        <f>IF(B70="","",N(J70)+N(K70)+N(L70)+N(M70))</f>
        <v/>
      </c>
      <c r="T70" s="7">
        <f>IFERROR(MATCH(A70,'Tender Setup'!$A$4:$A$33,0),0)</f>
        <v/>
      </c>
      <c r="U70" s="9">
        <f t="array" ref="U70">IF(I70&lt;&gt;"Yes","",MIN(IF((A$4:A$103=A70)*(I$4:I$103="Yes"),N$4:N$103)))</f>
        <v/>
      </c>
      <c r="V70" s="9">
        <f t="array" ref="V70">IF(I70&lt;&gt;"Yes","",MEDIAN(IF((A$4:A$103=A70)*(I$4:I$103="Yes"),N$4:N$103)))</f>
        <v/>
      </c>
      <c r="W70" s="24">
        <f>IF(OR(I70&lt;&gt;"Yes",T70=0),0,U70/N70*INDEX('Tender Setup'!$C$4:$C$33,T70))</f>
        <v/>
      </c>
      <c r="X70" s="24">
        <f>IF(OR(I70&lt;&gt;"Yes",T70=0),0,(N(O70)*INDEX('Tender Setup'!$D$4:$D$33,T70)+N(P70)*INDEX('Tender Setup'!$E$4:$E$33,T70)+N(Q70)*INDEX('Tender Setup'!$F$4:$F$33,T70)+N(R70)*INDEX('Tender Setup'!$G$4:$G$33,T70)+N(S70)*INDEX('Tender Setup'!$H$4:$H$33,T70))/10)</f>
        <v/>
      </c>
      <c r="Y70" s="24">
        <f>IF(B70="","",W70+X70)</f>
        <v/>
      </c>
      <c r="Z70" s="7">
        <f>IF(B70="","",IF(I70&lt;&gt;"Yes","Excluded",COUNTIFS(A$4:A$103,A70,I$4:I$103,"Yes",Y$4:Y$103,"&gt;"&amp;Y70)+1))</f>
        <v/>
      </c>
      <c r="AA70" s="7">
        <f>IF(I70&lt;&gt;"Yes","",IF(AND(COUNTIFS(A$4:A$103,A70,I$4:I$103,"Yes")&gt;=2,N70&lt;V70*0.85),"Over 15% under median",""))</f>
        <v/>
      </c>
      <c r="AB70" s="7">
        <f>A70&amp;"|"&amp;Z70</f>
        <v/>
      </c>
      <c r="AD70" s="6" t="n"/>
    </row>
    <row r="71">
      <c r="C71" s="21" t="n"/>
      <c r="I71" s="7">
        <f>IF(B71="","",IF(AND(D71="Yes",E71="Yes",F71="Yes",G71="Yes",H71="Yes",N(J71)&gt;0),"Yes","No"))</f>
        <v/>
      </c>
      <c r="J71" s="29" t="n"/>
      <c r="K71" s="29" t="n"/>
      <c r="L71" s="29" t="n"/>
      <c r="M71" s="29" t="n"/>
      <c r="N71" s="9">
        <f>IF(B71="","",N(J71)+N(K71)+N(L71)+N(M71))</f>
        <v/>
      </c>
      <c r="T71" s="7">
        <f>IFERROR(MATCH(A71,'Tender Setup'!$A$4:$A$33,0),0)</f>
        <v/>
      </c>
      <c r="U71" s="9">
        <f t="array" ref="U71">IF(I71&lt;&gt;"Yes","",MIN(IF((A$4:A$103=A71)*(I$4:I$103="Yes"),N$4:N$103)))</f>
        <v/>
      </c>
      <c r="V71" s="9">
        <f t="array" ref="V71">IF(I71&lt;&gt;"Yes","",MEDIAN(IF((A$4:A$103=A71)*(I$4:I$103="Yes"),N$4:N$103)))</f>
        <v/>
      </c>
      <c r="W71" s="24">
        <f>IF(OR(I71&lt;&gt;"Yes",T71=0),0,U71/N71*INDEX('Tender Setup'!$C$4:$C$33,T71))</f>
        <v/>
      </c>
      <c r="X71" s="24">
        <f>IF(OR(I71&lt;&gt;"Yes",T71=0),0,(N(O71)*INDEX('Tender Setup'!$D$4:$D$33,T71)+N(P71)*INDEX('Tender Setup'!$E$4:$E$33,T71)+N(Q71)*INDEX('Tender Setup'!$F$4:$F$33,T71)+N(R71)*INDEX('Tender Setup'!$G$4:$G$33,T71)+N(S71)*INDEX('Tender Setup'!$H$4:$H$33,T71))/10)</f>
        <v/>
      </c>
      <c r="Y71" s="24">
        <f>IF(B71="","",W71+X71)</f>
        <v/>
      </c>
      <c r="Z71" s="7">
        <f>IF(B71="","",IF(I71&lt;&gt;"Yes","Excluded",COUNTIFS(A$4:A$103,A71,I$4:I$103,"Yes",Y$4:Y$103,"&gt;"&amp;Y71)+1))</f>
        <v/>
      </c>
      <c r="AA71" s="7">
        <f>IF(I71&lt;&gt;"Yes","",IF(AND(COUNTIFS(A$4:A$103,A71,I$4:I$103,"Yes")&gt;=2,N71&lt;V71*0.85),"Over 15% under median",""))</f>
        <v/>
      </c>
      <c r="AB71" s="7">
        <f>A71&amp;"|"&amp;Z71</f>
        <v/>
      </c>
      <c r="AD71" s="6" t="n"/>
    </row>
    <row r="72">
      <c r="C72" s="21" t="n"/>
      <c r="I72" s="7">
        <f>IF(B72="","",IF(AND(D72="Yes",E72="Yes",F72="Yes",G72="Yes",H72="Yes",N(J72)&gt;0),"Yes","No"))</f>
        <v/>
      </c>
      <c r="J72" s="29" t="n"/>
      <c r="K72" s="29" t="n"/>
      <c r="L72" s="29" t="n"/>
      <c r="M72" s="29" t="n"/>
      <c r="N72" s="9">
        <f>IF(B72="","",N(J72)+N(K72)+N(L72)+N(M72))</f>
        <v/>
      </c>
      <c r="T72" s="7">
        <f>IFERROR(MATCH(A72,'Tender Setup'!$A$4:$A$33,0),0)</f>
        <v/>
      </c>
      <c r="U72" s="9">
        <f t="array" ref="U72">IF(I72&lt;&gt;"Yes","",MIN(IF((A$4:A$103=A72)*(I$4:I$103="Yes"),N$4:N$103)))</f>
        <v/>
      </c>
      <c r="V72" s="9">
        <f t="array" ref="V72">IF(I72&lt;&gt;"Yes","",MEDIAN(IF((A$4:A$103=A72)*(I$4:I$103="Yes"),N$4:N$103)))</f>
        <v/>
      </c>
      <c r="W72" s="24">
        <f>IF(OR(I72&lt;&gt;"Yes",T72=0),0,U72/N72*INDEX('Tender Setup'!$C$4:$C$33,T72))</f>
        <v/>
      </c>
      <c r="X72" s="24">
        <f>IF(OR(I72&lt;&gt;"Yes",T72=0),0,(N(O72)*INDEX('Tender Setup'!$D$4:$D$33,T72)+N(P72)*INDEX('Tender Setup'!$E$4:$E$33,T72)+N(Q72)*INDEX('Tender Setup'!$F$4:$F$33,T72)+N(R72)*INDEX('Tender Setup'!$G$4:$G$33,T72)+N(S72)*INDEX('Tender Setup'!$H$4:$H$33,T72))/10)</f>
        <v/>
      </c>
      <c r="Y72" s="24">
        <f>IF(B72="","",W72+X72)</f>
        <v/>
      </c>
      <c r="Z72" s="7">
        <f>IF(B72="","",IF(I72&lt;&gt;"Yes","Excluded",COUNTIFS(A$4:A$103,A72,I$4:I$103,"Yes",Y$4:Y$103,"&gt;"&amp;Y72)+1))</f>
        <v/>
      </c>
      <c r="AA72" s="7">
        <f>IF(I72&lt;&gt;"Yes","",IF(AND(COUNTIFS(A$4:A$103,A72,I$4:I$103,"Yes")&gt;=2,N72&lt;V72*0.85),"Over 15% under median",""))</f>
        <v/>
      </c>
      <c r="AB72" s="7">
        <f>A72&amp;"|"&amp;Z72</f>
        <v/>
      </c>
      <c r="AD72" s="6" t="n"/>
    </row>
    <row r="73">
      <c r="C73" s="21" t="n"/>
      <c r="I73" s="7">
        <f>IF(B73="","",IF(AND(D73="Yes",E73="Yes",F73="Yes",G73="Yes",H73="Yes",N(J73)&gt;0),"Yes","No"))</f>
        <v/>
      </c>
      <c r="J73" s="29" t="n"/>
      <c r="K73" s="29" t="n"/>
      <c r="L73" s="29" t="n"/>
      <c r="M73" s="29" t="n"/>
      <c r="N73" s="9">
        <f>IF(B73="","",N(J73)+N(K73)+N(L73)+N(M73))</f>
        <v/>
      </c>
      <c r="T73" s="7">
        <f>IFERROR(MATCH(A73,'Tender Setup'!$A$4:$A$33,0),0)</f>
        <v/>
      </c>
      <c r="U73" s="9">
        <f t="array" ref="U73">IF(I73&lt;&gt;"Yes","",MIN(IF((A$4:A$103=A73)*(I$4:I$103="Yes"),N$4:N$103)))</f>
        <v/>
      </c>
      <c r="V73" s="9">
        <f t="array" ref="V73">IF(I73&lt;&gt;"Yes","",MEDIAN(IF((A$4:A$103=A73)*(I$4:I$103="Yes"),N$4:N$103)))</f>
        <v/>
      </c>
      <c r="W73" s="24">
        <f>IF(OR(I73&lt;&gt;"Yes",T73=0),0,U73/N73*INDEX('Tender Setup'!$C$4:$C$33,T73))</f>
        <v/>
      </c>
      <c r="X73" s="24">
        <f>IF(OR(I73&lt;&gt;"Yes",T73=0),0,(N(O73)*INDEX('Tender Setup'!$D$4:$D$33,T73)+N(P73)*INDEX('Tender Setup'!$E$4:$E$33,T73)+N(Q73)*INDEX('Tender Setup'!$F$4:$F$33,T73)+N(R73)*INDEX('Tender Setup'!$G$4:$G$33,T73)+N(S73)*INDEX('Tender Setup'!$H$4:$H$33,T73))/10)</f>
        <v/>
      </c>
      <c r="Y73" s="24">
        <f>IF(B73="","",W73+X73)</f>
        <v/>
      </c>
      <c r="Z73" s="7">
        <f>IF(B73="","",IF(I73&lt;&gt;"Yes","Excluded",COUNTIFS(A$4:A$103,A73,I$4:I$103,"Yes",Y$4:Y$103,"&gt;"&amp;Y73)+1))</f>
        <v/>
      </c>
      <c r="AA73" s="7">
        <f>IF(I73&lt;&gt;"Yes","",IF(AND(COUNTIFS(A$4:A$103,A73,I$4:I$103,"Yes")&gt;=2,N73&lt;V73*0.85),"Over 15% under median",""))</f>
        <v/>
      </c>
      <c r="AB73" s="7">
        <f>A73&amp;"|"&amp;Z73</f>
        <v/>
      </c>
      <c r="AD73" s="6" t="n"/>
    </row>
    <row r="74">
      <c r="C74" s="21" t="n"/>
      <c r="I74" s="7">
        <f>IF(B74="","",IF(AND(D74="Yes",E74="Yes",F74="Yes",G74="Yes",H74="Yes",N(J74)&gt;0),"Yes","No"))</f>
        <v/>
      </c>
      <c r="J74" s="29" t="n"/>
      <c r="K74" s="29" t="n"/>
      <c r="L74" s="29" t="n"/>
      <c r="M74" s="29" t="n"/>
      <c r="N74" s="9">
        <f>IF(B74="","",N(J74)+N(K74)+N(L74)+N(M74))</f>
        <v/>
      </c>
      <c r="T74" s="7">
        <f>IFERROR(MATCH(A74,'Tender Setup'!$A$4:$A$33,0),0)</f>
        <v/>
      </c>
      <c r="U74" s="9">
        <f t="array" ref="U74">IF(I74&lt;&gt;"Yes","",MIN(IF((A$4:A$103=A74)*(I$4:I$103="Yes"),N$4:N$103)))</f>
        <v/>
      </c>
      <c r="V74" s="9">
        <f t="array" ref="V74">IF(I74&lt;&gt;"Yes","",MEDIAN(IF((A$4:A$103=A74)*(I$4:I$103="Yes"),N$4:N$103)))</f>
        <v/>
      </c>
      <c r="W74" s="24">
        <f>IF(OR(I74&lt;&gt;"Yes",T74=0),0,U74/N74*INDEX('Tender Setup'!$C$4:$C$33,T74))</f>
        <v/>
      </c>
      <c r="X74" s="24">
        <f>IF(OR(I74&lt;&gt;"Yes",T74=0),0,(N(O74)*INDEX('Tender Setup'!$D$4:$D$33,T74)+N(P74)*INDEX('Tender Setup'!$E$4:$E$33,T74)+N(Q74)*INDEX('Tender Setup'!$F$4:$F$33,T74)+N(R74)*INDEX('Tender Setup'!$G$4:$G$33,T74)+N(S74)*INDEX('Tender Setup'!$H$4:$H$33,T74))/10)</f>
        <v/>
      </c>
      <c r="Y74" s="24">
        <f>IF(B74="","",W74+X74)</f>
        <v/>
      </c>
      <c r="Z74" s="7">
        <f>IF(B74="","",IF(I74&lt;&gt;"Yes","Excluded",COUNTIFS(A$4:A$103,A74,I$4:I$103,"Yes",Y$4:Y$103,"&gt;"&amp;Y74)+1))</f>
        <v/>
      </c>
      <c r="AA74" s="7">
        <f>IF(I74&lt;&gt;"Yes","",IF(AND(COUNTIFS(A$4:A$103,A74,I$4:I$103,"Yes")&gt;=2,N74&lt;V74*0.85),"Over 15% under median",""))</f>
        <v/>
      </c>
      <c r="AB74" s="7">
        <f>A74&amp;"|"&amp;Z74</f>
        <v/>
      </c>
      <c r="AD74" s="6" t="n"/>
    </row>
    <row r="75">
      <c r="C75" s="21" t="n"/>
      <c r="I75" s="7">
        <f>IF(B75="","",IF(AND(D75="Yes",E75="Yes",F75="Yes",G75="Yes",H75="Yes",N(J75)&gt;0),"Yes","No"))</f>
        <v/>
      </c>
      <c r="J75" s="29" t="n"/>
      <c r="K75" s="29" t="n"/>
      <c r="L75" s="29" t="n"/>
      <c r="M75" s="29" t="n"/>
      <c r="N75" s="9">
        <f>IF(B75="","",N(J75)+N(K75)+N(L75)+N(M75))</f>
        <v/>
      </c>
      <c r="T75" s="7">
        <f>IFERROR(MATCH(A75,'Tender Setup'!$A$4:$A$33,0),0)</f>
        <v/>
      </c>
      <c r="U75" s="9">
        <f t="array" ref="U75">IF(I75&lt;&gt;"Yes","",MIN(IF((A$4:A$103=A75)*(I$4:I$103="Yes"),N$4:N$103)))</f>
        <v/>
      </c>
      <c r="V75" s="9">
        <f t="array" ref="V75">IF(I75&lt;&gt;"Yes","",MEDIAN(IF((A$4:A$103=A75)*(I$4:I$103="Yes"),N$4:N$103)))</f>
        <v/>
      </c>
      <c r="W75" s="24">
        <f>IF(OR(I75&lt;&gt;"Yes",T75=0),0,U75/N75*INDEX('Tender Setup'!$C$4:$C$33,T75))</f>
        <v/>
      </c>
      <c r="X75" s="24">
        <f>IF(OR(I75&lt;&gt;"Yes",T75=0),0,(N(O75)*INDEX('Tender Setup'!$D$4:$D$33,T75)+N(P75)*INDEX('Tender Setup'!$E$4:$E$33,T75)+N(Q75)*INDEX('Tender Setup'!$F$4:$F$33,T75)+N(R75)*INDEX('Tender Setup'!$G$4:$G$33,T75)+N(S75)*INDEX('Tender Setup'!$H$4:$H$33,T75))/10)</f>
        <v/>
      </c>
      <c r="Y75" s="24">
        <f>IF(B75="","",W75+X75)</f>
        <v/>
      </c>
      <c r="Z75" s="7">
        <f>IF(B75="","",IF(I75&lt;&gt;"Yes","Excluded",COUNTIFS(A$4:A$103,A75,I$4:I$103,"Yes",Y$4:Y$103,"&gt;"&amp;Y75)+1))</f>
        <v/>
      </c>
      <c r="AA75" s="7">
        <f>IF(I75&lt;&gt;"Yes","",IF(AND(COUNTIFS(A$4:A$103,A75,I$4:I$103,"Yes")&gt;=2,N75&lt;V75*0.85),"Over 15% under median",""))</f>
        <v/>
      </c>
      <c r="AB75" s="7">
        <f>A75&amp;"|"&amp;Z75</f>
        <v/>
      </c>
      <c r="AD75" s="6" t="n"/>
    </row>
    <row r="76">
      <c r="C76" s="21" t="n"/>
      <c r="I76" s="7">
        <f>IF(B76="","",IF(AND(D76="Yes",E76="Yes",F76="Yes",G76="Yes",H76="Yes",N(J76)&gt;0),"Yes","No"))</f>
        <v/>
      </c>
      <c r="J76" s="29" t="n"/>
      <c r="K76" s="29" t="n"/>
      <c r="L76" s="29" t="n"/>
      <c r="M76" s="29" t="n"/>
      <c r="N76" s="9">
        <f>IF(B76="","",N(J76)+N(K76)+N(L76)+N(M76))</f>
        <v/>
      </c>
      <c r="T76" s="7">
        <f>IFERROR(MATCH(A76,'Tender Setup'!$A$4:$A$33,0),0)</f>
        <v/>
      </c>
      <c r="U76" s="9">
        <f t="array" ref="U76">IF(I76&lt;&gt;"Yes","",MIN(IF((A$4:A$103=A76)*(I$4:I$103="Yes"),N$4:N$103)))</f>
        <v/>
      </c>
      <c r="V76" s="9">
        <f t="array" ref="V76">IF(I76&lt;&gt;"Yes","",MEDIAN(IF((A$4:A$103=A76)*(I$4:I$103="Yes"),N$4:N$103)))</f>
        <v/>
      </c>
      <c r="W76" s="24">
        <f>IF(OR(I76&lt;&gt;"Yes",T76=0),0,U76/N76*INDEX('Tender Setup'!$C$4:$C$33,T76))</f>
        <v/>
      </c>
      <c r="X76" s="24">
        <f>IF(OR(I76&lt;&gt;"Yes",T76=0),0,(N(O76)*INDEX('Tender Setup'!$D$4:$D$33,T76)+N(P76)*INDEX('Tender Setup'!$E$4:$E$33,T76)+N(Q76)*INDEX('Tender Setup'!$F$4:$F$33,T76)+N(R76)*INDEX('Tender Setup'!$G$4:$G$33,T76)+N(S76)*INDEX('Tender Setup'!$H$4:$H$33,T76))/10)</f>
        <v/>
      </c>
      <c r="Y76" s="24">
        <f>IF(B76="","",W76+X76)</f>
        <v/>
      </c>
      <c r="Z76" s="7">
        <f>IF(B76="","",IF(I76&lt;&gt;"Yes","Excluded",COUNTIFS(A$4:A$103,A76,I$4:I$103,"Yes",Y$4:Y$103,"&gt;"&amp;Y76)+1))</f>
        <v/>
      </c>
      <c r="AA76" s="7">
        <f>IF(I76&lt;&gt;"Yes","",IF(AND(COUNTIFS(A$4:A$103,A76,I$4:I$103,"Yes")&gt;=2,N76&lt;V76*0.85),"Over 15% under median",""))</f>
        <v/>
      </c>
      <c r="AB76" s="7">
        <f>A76&amp;"|"&amp;Z76</f>
        <v/>
      </c>
      <c r="AD76" s="6" t="n"/>
    </row>
    <row r="77">
      <c r="C77" s="21" t="n"/>
      <c r="I77" s="7">
        <f>IF(B77="","",IF(AND(D77="Yes",E77="Yes",F77="Yes",G77="Yes",H77="Yes",N(J77)&gt;0),"Yes","No"))</f>
        <v/>
      </c>
      <c r="J77" s="29" t="n"/>
      <c r="K77" s="29" t="n"/>
      <c r="L77" s="29" t="n"/>
      <c r="M77" s="29" t="n"/>
      <c r="N77" s="9">
        <f>IF(B77="","",N(J77)+N(K77)+N(L77)+N(M77))</f>
        <v/>
      </c>
      <c r="T77" s="7">
        <f>IFERROR(MATCH(A77,'Tender Setup'!$A$4:$A$33,0),0)</f>
        <v/>
      </c>
      <c r="U77" s="9">
        <f t="array" ref="U77">IF(I77&lt;&gt;"Yes","",MIN(IF((A$4:A$103=A77)*(I$4:I$103="Yes"),N$4:N$103)))</f>
        <v/>
      </c>
      <c r="V77" s="9">
        <f t="array" ref="V77">IF(I77&lt;&gt;"Yes","",MEDIAN(IF((A$4:A$103=A77)*(I$4:I$103="Yes"),N$4:N$103)))</f>
        <v/>
      </c>
      <c r="W77" s="24">
        <f>IF(OR(I77&lt;&gt;"Yes",T77=0),0,U77/N77*INDEX('Tender Setup'!$C$4:$C$33,T77))</f>
        <v/>
      </c>
      <c r="X77" s="24">
        <f>IF(OR(I77&lt;&gt;"Yes",T77=0),0,(N(O77)*INDEX('Tender Setup'!$D$4:$D$33,T77)+N(P77)*INDEX('Tender Setup'!$E$4:$E$33,T77)+N(Q77)*INDEX('Tender Setup'!$F$4:$F$33,T77)+N(R77)*INDEX('Tender Setup'!$G$4:$G$33,T77)+N(S77)*INDEX('Tender Setup'!$H$4:$H$33,T77))/10)</f>
        <v/>
      </c>
      <c r="Y77" s="24">
        <f>IF(B77="","",W77+X77)</f>
        <v/>
      </c>
      <c r="Z77" s="7">
        <f>IF(B77="","",IF(I77&lt;&gt;"Yes","Excluded",COUNTIFS(A$4:A$103,A77,I$4:I$103,"Yes",Y$4:Y$103,"&gt;"&amp;Y77)+1))</f>
        <v/>
      </c>
      <c r="AA77" s="7">
        <f>IF(I77&lt;&gt;"Yes","",IF(AND(COUNTIFS(A$4:A$103,A77,I$4:I$103,"Yes")&gt;=2,N77&lt;V77*0.85),"Over 15% under median",""))</f>
        <v/>
      </c>
      <c r="AB77" s="7">
        <f>A77&amp;"|"&amp;Z77</f>
        <v/>
      </c>
      <c r="AD77" s="6" t="n"/>
    </row>
    <row r="78">
      <c r="C78" s="21" t="n"/>
      <c r="I78" s="7">
        <f>IF(B78="","",IF(AND(D78="Yes",E78="Yes",F78="Yes",G78="Yes",H78="Yes",N(J78)&gt;0),"Yes","No"))</f>
        <v/>
      </c>
      <c r="J78" s="29" t="n"/>
      <c r="K78" s="29" t="n"/>
      <c r="L78" s="29" t="n"/>
      <c r="M78" s="29" t="n"/>
      <c r="N78" s="9">
        <f>IF(B78="","",N(J78)+N(K78)+N(L78)+N(M78))</f>
        <v/>
      </c>
      <c r="T78" s="7">
        <f>IFERROR(MATCH(A78,'Tender Setup'!$A$4:$A$33,0),0)</f>
        <v/>
      </c>
      <c r="U78" s="9">
        <f t="array" ref="U78">IF(I78&lt;&gt;"Yes","",MIN(IF((A$4:A$103=A78)*(I$4:I$103="Yes"),N$4:N$103)))</f>
        <v/>
      </c>
      <c r="V78" s="9">
        <f t="array" ref="V78">IF(I78&lt;&gt;"Yes","",MEDIAN(IF((A$4:A$103=A78)*(I$4:I$103="Yes"),N$4:N$103)))</f>
        <v/>
      </c>
      <c r="W78" s="24">
        <f>IF(OR(I78&lt;&gt;"Yes",T78=0),0,U78/N78*INDEX('Tender Setup'!$C$4:$C$33,T78))</f>
        <v/>
      </c>
      <c r="X78" s="24">
        <f>IF(OR(I78&lt;&gt;"Yes",T78=0),0,(N(O78)*INDEX('Tender Setup'!$D$4:$D$33,T78)+N(P78)*INDEX('Tender Setup'!$E$4:$E$33,T78)+N(Q78)*INDEX('Tender Setup'!$F$4:$F$33,T78)+N(R78)*INDEX('Tender Setup'!$G$4:$G$33,T78)+N(S78)*INDEX('Tender Setup'!$H$4:$H$33,T78))/10)</f>
        <v/>
      </c>
      <c r="Y78" s="24">
        <f>IF(B78="","",W78+X78)</f>
        <v/>
      </c>
      <c r="Z78" s="7">
        <f>IF(B78="","",IF(I78&lt;&gt;"Yes","Excluded",COUNTIFS(A$4:A$103,A78,I$4:I$103,"Yes",Y$4:Y$103,"&gt;"&amp;Y78)+1))</f>
        <v/>
      </c>
      <c r="AA78" s="7">
        <f>IF(I78&lt;&gt;"Yes","",IF(AND(COUNTIFS(A$4:A$103,A78,I$4:I$103,"Yes")&gt;=2,N78&lt;V78*0.85),"Over 15% under median",""))</f>
        <v/>
      </c>
      <c r="AB78" s="7">
        <f>A78&amp;"|"&amp;Z78</f>
        <v/>
      </c>
      <c r="AD78" s="6" t="n"/>
    </row>
    <row r="79">
      <c r="C79" s="21" t="n"/>
      <c r="I79" s="7">
        <f>IF(B79="","",IF(AND(D79="Yes",E79="Yes",F79="Yes",G79="Yes",H79="Yes",N(J79)&gt;0),"Yes","No"))</f>
        <v/>
      </c>
      <c r="J79" s="29" t="n"/>
      <c r="K79" s="29" t="n"/>
      <c r="L79" s="29" t="n"/>
      <c r="M79" s="29" t="n"/>
      <c r="N79" s="9">
        <f>IF(B79="","",N(J79)+N(K79)+N(L79)+N(M79))</f>
        <v/>
      </c>
      <c r="T79" s="7">
        <f>IFERROR(MATCH(A79,'Tender Setup'!$A$4:$A$33,0),0)</f>
        <v/>
      </c>
      <c r="U79" s="9">
        <f t="array" ref="U79">IF(I79&lt;&gt;"Yes","",MIN(IF((A$4:A$103=A79)*(I$4:I$103="Yes"),N$4:N$103)))</f>
        <v/>
      </c>
      <c r="V79" s="9">
        <f t="array" ref="V79">IF(I79&lt;&gt;"Yes","",MEDIAN(IF((A$4:A$103=A79)*(I$4:I$103="Yes"),N$4:N$103)))</f>
        <v/>
      </c>
      <c r="W79" s="24">
        <f>IF(OR(I79&lt;&gt;"Yes",T79=0),0,U79/N79*INDEX('Tender Setup'!$C$4:$C$33,T79))</f>
        <v/>
      </c>
      <c r="X79" s="24">
        <f>IF(OR(I79&lt;&gt;"Yes",T79=0),0,(N(O79)*INDEX('Tender Setup'!$D$4:$D$33,T79)+N(P79)*INDEX('Tender Setup'!$E$4:$E$33,T79)+N(Q79)*INDEX('Tender Setup'!$F$4:$F$33,T79)+N(R79)*INDEX('Tender Setup'!$G$4:$G$33,T79)+N(S79)*INDEX('Tender Setup'!$H$4:$H$33,T79))/10)</f>
        <v/>
      </c>
      <c r="Y79" s="24">
        <f>IF(B79="","",W79+X79)</f>
        <v/>
      </c>
      <c r="Z79" s="7">
        <f>IF(B79="","",IF(I79&lt;&gt;"Yes","Excluded",COUNTIFS(A$4:A$103,A79,I$4:I$103,"Yes",Y$4:Y$103,"&gt;"&amp;Y79)+1))</f>
        <v/>
      </c>
      <c r="AA79" s="7">
        <f>IF(I79&lt;&gt;"Yes","",IF(AND(COUNTIFS(A$4:A$103,A79,I$4:I$103,"Yes")&gt;=2,N79&lt;V79*0.85),"Over 15% under median",""))</f>
        <v/>
      </c>
      <c r="AB79" s="7">
        <f>A79&amp;"|"&amp;Z79</f>
        <v/>
      </c>
      <c r="AD79" s="6" t="n"/>
    </row>
    <row r="80">
      <c r="C80" s="21" t="n"/>
      <c r="I80" s="7">
        <f>IF(B80="","",IF(AND(D80="Yes",E80="Yes",F80="Yes",G80="Yes",H80="Yes",N(J80)&gt;0),"Yes","No"))</f>
        <v/>
      </c>
      <c r="J80" s="29" t="n"/>
      <c r="K80" s="29" t="n"/>
      <c r="L80" s="29" t="n"/>
      <c r="M80" s="29" t="n"/>
      <c r="N80" s="9">
        <f>IF(B80="","",N(J80)+N(K80)+N(L80)+N(M80))</f>
        <v/>
      </c>
      <c r="T80" s="7">
        <f>IFERROR(MATCH(A80,'Tender Setup'!$A$4:$A$33,0),0)</f>
        <v/>
      </c>
      <c r="U80" s="9">
        <f t="array" ref="U80">IF(I80&lt;&gt;"Yes","",MIN(IF((A$4:A$103=A80)*(I$4:I$103="Yes"),N$4:N$103)))</f>
        <v/>
      </c>
      <c r="V80" s="9">
        <f t="array" ref="V80">IF(I80&lt;&gt;"Yes","",MEDIAN(IF((A$4:A$103=A80)*(I$4:I$103="Yes"),N$4:N$103)))</f>
        <v/>
      </c>
      <c r="W80" s="24">
        <f>IF(OR(I80&lt;&gt;"Yes",T80=0),0,U80/N80*INDEX('Tender Setup'!$C$4:$C$33,T80))</f>
        <v/>
      </c>
      <c r="X80" s="24">
        <f>IF(OR(I80&lt;&gt;"Yes",T80=0),0,(N(O80)*INDEX('Tender Setup'!$D$4:$D$33,T80)+N(P80)*INDEX('Tender Setup'!$E$4:$E$33,T80)+N(Q80)*INDEX('Tender Setup'!$F$4:$F$33,T80)+N(R80)*INDEX('Tender Setup'!$G$4:$G$33,T80)+N(S80)*INDEX('Tender Setup'!$H$4:$H$33,T80))/10)</f>
        <v/>
      </c>
      <c r="Y80" s="24">
        <f>IF(B80="","",W80+X80)</f>
        <v/>
      </c>
      <c r="Z80" s="7">
        <f>IF(B80="","",IF(I80&lt;&gt;"Yes","Excluded",COUNTIFS(A$4:A$103,A80,I$4:I$103,"Yes",Y$4:Y$103,"&gt;"&amp;Y80)+1))</f>
        <v/>
      </c>
      <c r="AA80" s="7">
        <f>IF(I80&lt;&gt;"Yes","",IF(AND(COUNTIFS(A$4:A$103,A80,I$4:I$103,"Yes")&gt;=2,N80&lt;V80*0.85),"Over 15% under median",""))</f>
        <v/>
      </c>
      <c r="AB80" s="7">
        <f>A80&amp;"|"&amp;Z80</f>
        <v/>
      </c>
      <c r="AD80" s="6" t="n"/>
    </row>
    <row r="81">
      <c r="C81" s="21" t="n"/>
      <c r="I81" s="7">
        <f>IF(B81="","",IF(AND(D81="Yes",E81="Yes",F81="Yes",G81="Yes",H81="Yes",N(J81)&gt;0),"Yes","No"))</f>
        <v/>
      </c>
      <c r="J81" s="29" t="n"/>
      <c r="K81" s="29" t="n"/>
      <c r="L81" s="29" t="n"/>
      <c r="M81" s="29" t="n"/>
      <c r="N81" s="9">
        <f>IF(B81="","",N(J81)+N(K81)+N(L81)+N(M81))</f>
        <v/>
      </c>
      <c r="T81" s="7">
        <f>IFERROR(MATCH(A81,'Tender Setup'!$A$4:$A$33,0),0)</f>
        <v/>
      </c>
      <c r="U81" s="9">
        <f t="array" ref="U81">IF(I81&lt;&gt;"Yes","",MIN(IF((A$4:A$103=A81)*(I$4:I$103="Yes"),N$4:N$103)))</f>
        <v/>
      </c>
      <c r="V81" s="9">
        <f t="array" ref="V81">IF(I81&lt;&gt;"Yes","",MEDIAN(IF((A$4:A$103=A81)*(I$4:I$103="Yes"),N$4:N$103)))</f>
        <v/>
      </c>
      <c r="W81" s="24">
        <f>IF(OR(I81&lt;&gt;"Yes",T81=0),0,U81/N81*INDEX('Tender Setup'!$C$4:$C$33,T81))</f>
        <v/>
      </c>
      <c r="X81" s="24">
        <f>IF(OR(I81&lt;&gt;"Yes",T81=0),0,(N(O81)*INDEX('Tender Setup'!$D$4:$D$33,T81)+N(P81)*INDEX('Tender Setup'!$E$4:$E$33,T81)+N(Q81)*INDEX('Tender Setup'!$F$4:$F$33,T81)+N(R81)*INDEX('Tender Setup'!$G$4:$G$33,T81)+N(S81)*INDEX('Tender Setup'!$H$4:$H$33,T81))/10)</f>
        <v/>
      </c>
      <c r="Y81" s="24">
        <f>IF(B81="","",W81+X81)</f>
        <v/>
      </c>
      <c r="Z81" s="7">
        <f>IF(B81="","",IF(I81&lt;&gt;"Yes","Excluded",COUNTIFS(A$4:A$103,A81,I$4:I$103,"Yes",Y$4:Y$103,"&gt;"&amp;Y81)+1))</f>
        <v/>
      </c>
      <c r="AA81" s="7">
        <f>IF(I81&lt;&gt;"Yes","",IF(AND(COUNTIFS(A$4:A$103,A81,I$4:I$103,"Yes")&gt;=2,N81&lt;V81*0.85),"Over 15% under median",""))</f>
        <v/>
      </c>
      <c r="AB81" s="7">
        <f>A81&amp;"|"&amp;Z81</f>
        <v/>
      </c>
      <c r="AD81" s="6" t="n"/>
    </row>
    <row r="82">
      <c r="C82" s="21" t="n"/>
      <c r="I82" s="7">
        <f>IF(B82="","",IF(AND(D82="Yes",E82="Yes",F82="Yes",G82="Yes",H82="Yes",N(J82)&gt;0),"Yes","No"))</f>
        <v/>
      </c>
      <c r="J82" s="29" t="n"/>
      <c r="K82" s="29" t="n"/>
      <c r="L82" s="29" t="n"/>
      <c r="M82" s="29" t="n"/>
      <c r="N82" s="9">
        <f>IF(B82="","",N(J82)+N(K82)+N(L82)+N(M82))</f>
        <v/>
      </c>
      <c r="T82" s="7">
        <f>IFERROR(MATCH(A82,'Tender Setup'!$A$4:$A$33,0),0)</f>
        <v/>
      </c>
      <c r="U82" s="9">
        <f t="array" ref="U82">IF(I82&lt;&gt;"Yes","",MIN(IF((A$4:A$103=A82)*(I$4:I$103="Yes"),N$4:N$103)))</f>
        <v/>
      </c>
      <c r="V82" s="9">
        <f t="array" ref="V82">IF(I82&lt;&gt;"Yes","",MEDIAN(IF((A$4:A$103=A82)*(I$4:I$103="Yes"),N$4:N$103)))</f>
        <v/>
      </c>
      <c r="W82" s="24">
        <f>IF(OR(I82&lt;&gt;"Yes",T82=0),0,U82/N82*INDEX('Tender Setup'!$C$4:$C$33,T82))</f>
        <v/>
      </c>
      <c r="X82" s="24">
        <f>IF(OR(I82&lt;&gt;"Yes",T82=0),0,(N(O82)*INDEX('Tender Setup'!$D$4:$D$33,T82)+N(P82)*INDEX('Tender Setup'!$E$4:$E$33,T82)+N(Q82)*INDEX('Tender Setup'!$F$4:$F$33,T82)+N(R82)*INDEX('Tender Setup'!$G$4:$G$33,T82)+N(S82)*INDEX('Tender Setup'!$H$4:$H$33,T82))/10)</f>
        <v/>
      </c>
      <c r="Y82" s="24">
        <f>IF(B82="","",W82+X82)</f>
        <v/>
      </c>
      <c r="Z82" s="7">
        <f>IF(B82="","",IF(I82&lt;&gt;"Yes","Excluded",COUNTIFS(A$4:A$103,A82,I$4:I$103,"Yes",Y$4:Y$103,"&gt;"&amp;Y82)+1))</f>
        <v/>
      </c>
      <c r="AA82" s="7">
        <f>IF(I82&lt;&gt;"Yes","",IF(AND(COUNTIFS(A$4:A$103,A82,I$4:I$103,"Yes")&gt;=2,N82&lt;V82*0.85),"Over 15% under median",""))</f>
        <v/>
      </c>
      <c r="AB82" s="7">
        <f>A82&amp;"|"&amp;Z82</f>
        <v/>
      </c>
      <c r="AD82" s="6" t="n"/>
    </row>
    <row r="83">
      <c r="C83" s="21" t="n"/>
      <c r="I83" s="7">
        <f>IF(B83="","",IF(AND(D83="Yes",E83="Yes",F83="Yes",G83="Yes",H83="Yes",N(J83)&gt;0),"Yes","No"))</f>
        <v/>
      </c>
      <c r="J83" s="29" t="n"/>
      <c r="K83" s="29" t="n"/>
      <c r="L83" s="29" t="n"/>
      <c r="M83" s="29" t="n"/>
      <c r="N83" s="9">
        <f>IF(B83="","",N(J83)+N(K83)+N(L83)+N(M83))</f>
        <v/>
      </c>
      <c r="T83" s="7">
        <f>IFERROR(MATCH(A83,'Tender Setup'!$A$4:$A$33,0),0)</f>
        <v/>
      </c>
      <c r="U83" s="9">
        <f t="array" ref="U83">IF(I83&lt;&gt;"Yes","",MIN(IF((A$4:A$103=A83)*(I$4:I$103="Yes"),N$4:N$103)))</f>
        <v/>
      </c>
      <c r="V83" s="9">
        <f t="array" ref="V83">IF(I83&lt;&gt;"Yes","",MEDIAN(IF((A$4:A$103=A83)*(I$4:I$103="Yes"),N$4:N$103)))</f>
        <v/>
      </c>
      <c r="W83" s="24">
        <f>IF(OR(I83&lt;&gt;"Yes",T83=0),0,U83/N83*INDEX('Tender Setup'!$C$4:$C$33,T83))</f>
        <v/>
      </c>
      <c r="X83" s="24">
        <f>IF(OR(I83&lt;&gt;"Yes",T83=0),0,(N(O83)*INDEX('Tender Setup'!$D$4:$D$33,T83)+N(P83)*INDEX('Tender Setup'!$E$4:$E$33,T83)+N(Q83)*INDEX('Tender Setup'!$F$4:$F$33,T83)+N(R83)*INDEX('Tender Setup'!$G$4:$G$33,T83)+N(S83)*INDEX('Tender Setup'!$H$4:$H$33,T83))/10)</f>
        <v/>
      </c>
      <c r="Y83" s="24">
        <f>IF(B83="","",W83+X83)</f>
        <v/>
      </c>
      <c r="Z83" s="7">
        <f>IF(B83="","",IF(I83&lt;&gt;"Yes","Excluded",COUNTIFS(A$4:A$103,A83,I$4:I$103,"Yes",Y$4:Y$103,"&gt;"&amp;Y83)+1))</f>
        <v/>
      </c>
      <c r="AA83" s="7">
        <f>IF(I83&lt;&gt;"Yes","",IF(AND(COUNTIFS(A$4:A$103,A83,I$4:I$103,"Yes")&gt;=2,N83&lt;V83*0.85),"Over 15% under median",""))</f>
        <v/>
      </c>
      <c r="AB83" s="7">
        <f>A83&amp;"|"&amp;Z83</f>
        <v/>
      </c>
      <c r="AD83" s="6" t="n"/>
    </row>
    <row r="84">
      <c r="C84" s="21" t="n"/>
      <c r="I84" s="7">
        <f>IF(B84="","",IF(AND(D84="Yes",E84="Yes",F84="Yes",G84="Yes",H84="Yes",N(J84)&gt;0),"Yes","No"))</f>
        <v/>
      </c>
      <c r="J84" s="29" t="n"/>
      <c r="K84" s="29" t="n"/>
      <c r="L84" s="29" t="n"/>
      <c r="M84" s="29" t="n"/>
      <c r="N84" s="9">
        <f>IF(B84="","",N(J84)+N(K84)+N(L84)+N(M84))</f>
        <v/>
      </c>
      <c r="T84" s="7">
        <f>IFERROR(MATCH(A84,'Tender Setup'!$A$4:$A$33,0),0)</f>
        <v/>
      </c>
      <c r="U84" s="9">
        <f t="array" ref="U84">IF(I84&lt;&gt;"Yes","",MIN(IF((A$4:A$103=A84)*(I$4:I$103="Yes"),N$4:N$103)))</f>
        <v/>
      </c>
      <c r="V84" s="9">
        <f t="array" ref="V84">IF(I84&lt;&gt;"Yes","",MEDIAN(IF((A$4:A$103=A84)*(I$4:I$103="Yes"),N$4:N$103)))</f>
        <v/>
      </c>
      <c r="W84" s="24">
        <f>IF(OR(I84&lt;&gt;"Yes",T84=0),0,U84/N84*INDEX('Tender Setup'!$C$4:$C$33,T84))</f>
        <v/>
      </c>
      <c r="X84" s="24">
        <f>IF(OR(I84&lt;&gt;"Yes",T84=0),0,(N(O84)*INDEX('Tender Setup'!$D$4:$D$33,T84)+N(P84)*INDEX('Tender Setup'!$E$4:$E$33,T84)+N(Q84)*INDEX('Tender Setup'!$F$4:$F$33,T84)+N(R84)*INDEX('Tender Setup'!$G$4:$G$33,T84)+N(S84)*INDEX('Tender Setup'!$H$4:$H$33,T84))/10)</f>
        <v/>
      </c>
      <c r="Y84" s="24">
        <f>IF(B84="","",W84+X84)</f>
        <v/>
      </c>
      <c r="Z84" s="7">
        <f>IF(B84="","",IF(I84&lt;&gt;"Yes","Excluded",COUNTIFS(A$4:A$103,A84,I$4:I$103,"Yes",Y$4:Y$103,"&gt;"&amp;Y84)+1))</f>
        <v/>
      </c>
      <c r="AA84" s="7">
        <f>IF(I84&lt;&gt;"Yes","",IF(AND(COUNTIFS(A$4:A$103,A84,I$4:I$103,"Yes")&gt;=2,N84&lt;V84*0.85),"Over 15% under median",""))</f>
        <v/>
      </c>
      <c r="AB84" s="7">
        <f>A84&amp;"|"&amp;Z84</f>
        <v/>
      </c>
      <c r="AD84" s="6" t="n"/>
    </row>
    <row r="85">
      <c r="C85" s="21" t="n"/>
      <c r="I85" s="7">
        <f>IF(B85="","",IF(AND(D85="Yes",E85="Yes",F85="Yes",G85="Yes",H85="Yes",N(J85)&gt;0),"Yes","No"))</f>
        <v/>
      </c>
      <c r="J85" s="29" t="n"/>
      <c r="K85" s="29" t="n"/>
      <c r="L85" s="29" t="n"/>
      <c r="M85" s="29" t="n"/>
      <c r="N85" s="9">
        <f>IF(B85="","",N(J85)+N(K85)+N(L85)+N(M85))</f>
        <v/>
      </c>
      <c r="T85" s="7">
        <f>IFERROR(MATCH(A85,'Tender Setup'!$A$4:$A$33,0),0)</f>
        <v/>
      </c>
      <c r="U85" s="9">
        <f t="array" ref="U85">IF(I85&lt;&gt;"Yes","",MIN(IF((A$4:A$103=A85)*(I$4:I$103="Yes"),N$4:N$103)))</f>
        <v/>
      </c>
      <c r="V85" s="9">
        <f t="array" ref="V85">IF(I85&lt;&gt;"Yes","",MEDIAN(IF((A$4:A$103=A85)*(I$4:I$103="Yes"),N$4:N$103)))</f>
        <v/>
      </c>
      <c r="W85" s="24">
        <f>IF(OR(I85&lt;&gt;"Yes",T85=0),0,U85/N85*INDEX('Tender Setup'!$C$4:$C$33,T85))</f>
        <v/>
      </c>
      <c r="X85" s="24">
        <f>IF(OR(I85&lt;&gt;"Yes",T85=0),0,(N(O85)*INDEX('Tender Setup'!$D$4:$D$33,T85)+N(P85)*INDEX('Tender Setup'!$E$4:$E$33,T85)+N(Q85)*INDEX('Tender Setup'!$F$4:$F$33,T85)+N(R85)*INDEX('Tender Setup'!$G$4:$G$33,T85)+N(S85)*INDEX('Tender Setup'!$H$4:$H$33,T85))/10)</f>
        <v/>
      </c>
      <c r="Y85" s="24">
        <f>IF(B85="","",W85+X85)</f>
        <v/>
      </c>
      <c r="Z85" s="7">
        <f>IF(B85="","",IF(I85&lt;&gt;"Yes","Excluded",COUNTIFS(A$4:A$103,A85,I$4:I$103,"Yes",Y$4:Y$103,"&gt;"&amp;Y85)+1))</f>
        <v/>
      </c>
      <c r="AA85" s="7">
        <f>IF(I85&lt;&gt;"Yes","",IF(AND(COUNTIFS(A$4:A$103,A85,I$4:I$103,"Yes")&gt;=2,N85&lt;V85*0.85),"Over 15% under median",""))</f>
        <v/>
      </c>
      <c r="AB85" s="7">
        <f>A85&amp;"|"&amp;Z85</f>
        <v/>
      </c>
      <c r="AD85" s="6" t="n"/>
    </row>
    <row r="86">
      <c r="C86" s="21" t="n"/>
      <c r="I86" s="7">
        <f>IF(B86="","",IF(AND(D86="Yes",E86="Yes",F86="Yes",G86="Yes",H86="Yes",N(J86)&gt;0),"Yes","No"))</f>
        <v/>
      </c>
      <c r="J86" s="29" t="n"/>
      <c r="K86" s="29" t="n"/>
      <c r="L86" s="29" t="n"/>
      <c r="M86" s="29" t="n"/>
      <c r="N86" s="9">
        <f>IF(B86="","",N(J86)+N(K86)+N(L86)+N(M86))</f>
        <v/>
      </c>
      <c r="T86" s="7">
        <f>IFERROR(MATCH(A86,'Tender Setup'!$A$4:$A$33,0),0)</f>
        <v/>
      </c>
      <c r="U86" s="9">
        <f t="array" ref="U86">IF(I86&lt;&gt;"Yes","",MIN(IF((A$4:A$103=A86)*(I$4:I$103="Yes"),N$4:N$103)))</f>
        <v/>
      </c>
      <c r="V86" s="9">
        <f t="array" ref="V86">IF(I86&lt;&gt;"Yes","",MEDIAN(IF((A$4:A$103=A86)*(I$4:I$103="Yes"),N$4:N$103)))</f>
        <v/>
      </c>
      <c r="W86" s="24">
        <f>IF(OR(I86&lt;&gt;"Yes",T86=0),0,U86/N86*INDEX('Tender Setup'!$C$4:$C$33,T86))</f>
        <v/>
      </c>
      <c r="X86" s="24">
        <f>IF(OR(I86&lt;&gt;"Yes",T86=0),0,(N(O86)*INDEX('Tender Setup'!$D$4:$D$33,T86)+N(P86)*INDEX('Tender Setup'!$E$4:$E$33,T86)+N(Q86)*INDEX('Tender Setup'!$F$4:$F$33,T86)+N(R86)*INDEX('Tender Setup'!$G$4:$G$33,T86)+N(S86)*INDEX('Tender Setup'!$H$4:$H$33,T86))/10)</f>
        <v/>
      </c>
      <c r="Y86" s="24">
        <f>IF(B86="","",W86+X86)</f>
        <v/>
      </c>
      <c r="Z86" s="7">
        <f>IF(B86="","",IF(I86&lt;&gt;"Yes","Excluded",COUNTIFS(A$4:A$103,A86,I$4:I$103,"Yes",Y$4:Y$103,"&gt;"&amp;Y86)+1))</f>
        <v/>
      </c>
      <c r="AA86" s="7">
        <f>IF(I86&lt;&gt;"Yes","",IF(AND(COUNTIFS(A$4:A$103,A86,I$4:I$103,"Yes")&gt;=2,N86&lt;V86*0.85),"Over 15% under median",""))</f>
        <v/>
      </c>
      <c r="AB86" s="7">
        <f>A86&amp;"|"&amp;Z86</f>
        <v/>
      </c>
      <c r="AD86" s="6" t="n"/>
    </row>
    <row r="87">
      <c r="C87" s="21" t="n"/>
      <c r="I87" s="7">
        <f>IF(B87="","",IF(AND(D87="Yes",E87="Yes",F87="Yes",G87="Yes",H87="Yes",N(J87)&gt;0),"Yes","No"))</f>
        <v/>
      </c>
      <c r="J87" s="29" t="n"/>
      <c r="K87" s="29" t="n"/>
      <c r="L87" s="29" t="n"/>
      <c r="M87" s="29" t="n"/>
      <c r="N87" s="9">
        <f>IF(B87="","",N(J87)+N(K87)+N(L87)+N(M87))</f>
        <v/>
      </c>
      <c r="T87" s="7">
        <f>IFERROR(MATCH(A87,'Tender Setup'!$A$4:$A$33,0),0)</f>
        <v/>
      </c>
      <c r="U87" s="9">
        <f t="array" ref="U87">IF(I87&lt;&gt;"Yes","",MIN(IF((A$4:A$103=A87)*(I$4:I$103="Yes"),N$4:N$103)))</f>
        <v/>
      </c>
      <c r="V87" s="9">
        <f t="array" ref="V87">IF(I87&lt;&gt;"Yes","",MEDIAN(IF((A$4:A$103=A87)*(I$4:I$103="Yes"),N$4:N$103)))</f>
        <v/>
      </c>
      <c r="W87" s="24">
        <f>IF(OR(I87&lt;&gt;"Yes",T87=0),0,U87/N87*INDEX('Tender Setup'!$C$4:$C$33,T87))</f>
        <v/>
      </c>
      <c r="X87" s="24">
        <f>IF(OR(I87&lt;&gt;"Yes",T87=0),0,(N(O87)*INDEX('Tender Setup'!$D$4:$D$33,T87)+N(P87)*INDEX('Tender Setup'!$E$4:$E$33,T87)+N(Q87)*INDEX('Tender Setup'!$F$4:$F$33,T87)+N(R87)*INDEX('Tender Setup'!$G$4:$G$33,T87)+N(S87)*INDEX('Tender Setup'!$H$4:$H$33,T87))/10)</f>
        <v/>
      </c>
      <c r="Y87" s="24">
        <f>IF(B87="","",W87+X87)</f>
        <v/>
      </c>
      <c r="Z87" s="7">
        <f>IF(B87="","",IF(I87&lt;&gt;"Yes","Excluded",COUNTIFS(A$4:A$103,A87,I$4:I$103,"Yes",Y$4:Y$103,"&gt;"&amp;Y87)+1))</f>
        <v/>
      </c>
      <c r="AA87" s="7">
        <f>IF(I87&lt;&gt;"Yes","",IF(AND(COUNTIFS(A$4:A$103,A87,I$4:I$103,"Yes")&gt;=2,N87&lt;V87*0.85),"Over 15% under median",""))</f>
        <v/>
      </c>
      <c r="AB87" s="7">
        <f>A87&amp;"|"&amp;Z87</f>
        <v/>
      </c>
      <c r="AD87" s="6" t="n"/>
    </row>
    <row r="88">
      <c r="C88" s="21" t="n"/>
      <c r="I88" s="7">
        <f>IF(B88="","",IF(AND(D88="Yes",E88="Yes",F88="Yes",G88="Yes",H88="Yes",N(J88)&gt;0),"Yes","No"))</f>
        <v/>
      </c>
      <c r="J88" s="29" t="n"/>
      <c r="K88" s="29" t="n"/>
      <c r="L88" s="29" t="n"/>
      <c r="M88" s="29" t="n"/>
      <c r="N88" s="9">
        <f>IF(B88="","",N(J88)+N(K88)+N(L88)+N(M88))</f>
        <v/>
      </c>
      <c r="T88" s="7">
        <f>IFERROR(MATCH(A88,'Tender Setup'!$A$4:$A$33,0),0)</f>
        <v/>
      </c>
      <c r="U88" s="9">
        <f t="array" ref="U88">IF(I88&lt;&gt;"Yes","",MIN(IF((A$4:A$103=A88)*(I$4:I$103="Yes"),N$4:N$103)))</f>
        <v/>
      </c>
      <c r="V88" s="9">
        <f t="array" ref="V88">IF(I88&lt;&gt;"Yes","",MEDIAN(IF((A$4:A$103=A88)*(I$4:I$103="Yes"),N$4:N$103)))</f>
        <v/>
      </c>
      <c r="W88" s="24">
        <f>IF(OR(I88&lt;&gt;"Yes",T88=0),0,U88/N88*INDEX('Tender Setup'!$C$4:$C$33,T88))</f>
        <v/>
      </c>
      <c r="X88" s="24">
        <f>IF(OR(I88&lt;&gt;"Yes",T88=0),0,(N(O88)*INDEX('Tender Setup'!$D$4:$D$33,T88)+N(P88)*INDEX('Tender Setup'!$E$4:$E$33,T88)+N(Q88)*INDEX('Tender Setup'!$F$4:$F$33,T88)+N(R88)*INDEX('Tender Setup'!$G$4:$G$33,T88)+N(S88)*INDEX('Tender Setup'!$H$4:$H$33,T88))/10)</f>
        <v/>
      </c>
      <c r="Y88" s="24">
        <f>IF(B88="","",W88+X88)</f>
        <v/>
      </c>
      <c r="Z88" s="7">
        <f>IF(B88="","",IF(I88&lt;&gt;"Yes","Excluded",COUNTIFS(A$4:A$103,A88,I$4:I$103,"Yes",Y$4:Y$103,"&gt;"&amp;Y88)+1))</f>
        <v/>
      </c>
      <c r="AA88" s="7">
        <f>IF(I88&lt;&gt;"Yes","",IF(AND(COUNTIFS(A$4:A$103,A88,I$4:I$103,"Yes")&gt;=2,N88&lt;V88*0.85),"Over 15% under median",""))</f>
        <v/>
      </c>
      <c r="AB88" s="7">
        <f>A88&amp;"|"&amp;Z88</f>
        <v/>
      </c>
      <c r="AD88" s="6" t="n"/>
    </row>
    <row r="89">
      <c r="C89" s="21" t="n"/>
      <c r="I89" s="7">
        <f>IF(B89="","",IF(AND(D89="Yes",E89="Yes",F89="Yes",G89="Yes",H89="Yes",N(J89)&gt;0),"Yes","No"))</f>
        <v/>
      </c>
      <c r="J89" s="29" t="n"/>
      <c r="K89" s="29" t="n"/>
      <c r="L89" s="29" t="n"/>
      <c r="M89" s="29" t="n"/>
      <c r="N89" s="9">
        <f>IF(B89="","",N(J89)+N(K89)+N(L89)+N(M89))</f>
        <v/>
      </c>
      <c r="T89" s="7">
        <f>IFERROR(MATCH(A89,'Tender Setup'!$A$4:$A$33,0),0)</f>
        <v/>
      </c>
      <c r="U89" s="9">
        <f t="array" ref="U89">IF(I89&lt;&gt;"Yes","",MIN(IF((A$4:A$103=A89)*(I$4:I$103="Yes"),N$4:N$103)))</f>
        <v/>
      </c>
      <c r="V89" s="9">
        <f t="array" ref="V89">IF(I89&lt;&gt;"Yes","",MEDIAN(IF((A$4:A$103=A89)*(I$4:I$103="Yes"),N$4:N$103)))</f>
        <v/>
      </c>
      <c r="W89" s="24">
        <f>IF(OR(I89&lt;&gt;"Yes",T89=0),0,U89/N89*INDEX('Tender Setup'!$C$4:$C$33,T89))</f>
        <v/>
      </c>
      <c r="X89" s="24">
        <f>IF(OR(I89&lt;&gt;"Yes",T89=0),0,(N(O89)*INDEX('Tender Setup'!$D$4:$D$33,T89)+N(P89)*INDEX('Tender Setup'!$E$4:$E$33,T89)+N(Q89)*INDEX('Tender Setup'!$F$4:$F$33,T89)+N(R89)*INDEX('Tender Setup'!$G$4:$G$33,T89)+N(S89)*INDEX('Tender Setup'!$H$4:$H$33,T89))/10)</f>
        <v/>
      </c>
      <c r="Y89" s="24">
        <f>IF(B89="","",W89+X89)</f>
        <v/>
      </c>
      <c r="Z89" s="7">
        <f>IF(B89="","",IF(I89&lt;&gt;"Yes","Excluded",COUNTIFS(A$4:A$103,A89,I$4:I$103,"Yes",Y$4:Y$103,"&gt;"&amp;Y89)+1))</f>
        <v/>
      </c>
      <c r="AA89" s="7">
        <f>IF(I89&lt;&gt;"Yes","",IF(AND(COUNTIFS(A$4:A$103,A89,I$4:I$103,"Yes")&gt;=2,N89&lt;V89*0.85),"Over 15% under median",""))</f>
        <v/>
      </c>
      <c r="AB89" s="7">
        <f>A89&amp;"|"&amp;Z89</f>
        <v/>
      </c>
      <c r="AD89" s="6" t="n"/>
    </row>
    <row r="90">
      <c r="C90" s="21" t="n"/>
      <c r="I90" s="7">
        <f>IF(B90="","",IF(AND(D90="Yes",E90="Yes",F90="Yes",G90="Yes",H90="Yes",N(J90)&gt;0),"Yes","No"))</f>
        <v/>
      </c>
      <c r="J90" s="29" t="n"/>
      <c r="K90" s="29" t="n"/>
      <c r="L90" s="29" t="n"/>
      <c r="M90" s="29" t="n"/>
      <c r="N90" s="9">
        <f>IF(B90="","",N(J90)+N(K90)+N(L90)+N(M90))</f>
        <v/>
      </c>
      <c r="T90" s="7">
        <f>IFERROR(MATCH(A90,'Tender Setup'!$A$4:$A$33,0),0)</f>
        <v/>
      </c>
      <c r="U90" s="9">
        <f t="array" ref="U90">IF(I90&lt;&gt;"Yes","",MIN(IF((A$4:A$103=A90)*(I$4:I$103="Yes"),N$4:N$103)))</f>
        <v/>
      </c>
      <c r="V90" s="9">
        <f t="array" ref="V90">IF(I90&lt;&gt;"Yes","",MEDIAN(IF((A$4:A$103=A90)*(I$4:I$103="Yes"),N$4:N$103)))</f>
        <v/>
      </c>
      <c r="W90" s="24">
        <f>IF(OR(I90&lt;&gt;"Yes",T90=0),0,U90/N90*INDEX('Tender Setup'!$C$4:$C$33,T90))</f>
        <v/>
      </c>
      <c r="X90" s="24">
        <f>IF(OR(I90&lt;&gt;"Yes",T90=0),0,(N(O90)*INDEX('Tender Setup'!$D$4:$D$33,T90)+N(P90)*INDEX('Tender Setup'!$E$4:$E$33,T90)+N(Q90)*INDEX('Tender Setup'!$F$4:$F$33,T90)+N(R90)*INDEX('Tender Setup'!$G$4:$G$33,T90)+N(S90)*INDEX('Tender Setup'!$H$4:$H$33,T90))/10)</f>
        <v/>
      </c>
      <c r="Y90" s="24">
        <f>IF(B90="","",W90+X90)</f>
        <v/>
      </c>
      <c r="Z90" s="7">
        <f>IF(B90="","",IF(I90&lt;&gt;"Yes","Excluded",COUNTIFS(A$4:A$103,A90,I$4:I$103,"Yes",Y$4:Y$103,"&gt;"&amp;Y90)+1))</f>
        <v/>
      </c>
      <c r="AA90" s="7">
        <f>IF(I90&lt;&gt;"Yes","",IF(AND(COUNTIFS(A$4:A$103,A90,I$4:I$103,"Yes")&gt;=2,N90&lt;V90*0.85),"Over 15% under median",""))</f>
        <v/>
      </c>
      <c r="AB90" s="7">
        <f>A90&amp;"|"&amp;Z90</f>
        <v/>
      </c>
      <c r="AD90" s="6" t="n"/>
    </row>
    <row r="91">
      <c r="C91" s="21" t="n"/>
      <c r="I91" s="7">
        <f>IF(B91="","",IF(AND(D91="Yes",E91="Yes",F91="Yes",G91="Yes",H91="Yes",N(J91)&gt;0),"Yes","No"))</f>
        <v/>
      </c>
      <c r="J91" s="29" t="n"/>
      <c r="K91" s="29" t="n"/>
      <c r="L91" s="29" t="n"/>
      <c r="M91" s="29" t="n"/>
      <c r="N91" s="9">
        <f>IF(B91="","",N(J91)+N(K91)+N(L91)+N(M91))</f>
        <v/>
      </c>
      <c r="T91" s="7">
        <f>IFERROR(MATCH(A91,'Tender Setup'!$A$4:$A$33,0),0)</f>
        <v/>
      </c>
      <c r="U91" s="9">
        <f t="array" ref="U91">IF(I91&lt;&gt;"Yes","",MIN(IF((A$4:A$103=A91)*(I$4:I$103="Yes"),N$4:N$103)))</f>
        <v/>
      </c>
      <c r="V91" s="9">
        <f t="array" ref="V91">IF(I91&lt;&gt;"Yes","",MEDIAN(IF((A$4:A$103=A91)*(I$4:I$103="Yes"),N$4:N$103)))</f>
        <v/>
      </c>
      <c r="W91" s="24">
        <f>IF(OR(I91&lt;&gt;"Yes",T91=0),0,U91/N91*INDEX('Tender Setup'!$C$4:$C$33,T91))</f>
        <v/>
      </c>
      <c r="X91" s="24">
        <f>IF(OR(I91&lt;&gt;"Yes",T91=0),0,(N(O91)*INDEX('Tender Setup'!$D$4:$D$33,T91)+N(P91)*INDEX('Tender Setup'!$E$4:$E$33,T91)+N(Q91)*INDEX('Tender Setup'!$F$4:$F$33,T91)+N(R91)*INDEX('Tender Setup'!$G$4:$G$33,T91)+N(S91)*INDEX('Tender Setup'!$H$4:$H$33,T91))/10)</f>
        <v/>
      </c>
      <c r="Y91" s="24">
        <f>IF(B91="","",W91+X91)</f>
        <v/>
      </c>
      <c r="Z91" s="7">
        <f>IF(B91="","",IF(I91&lt;&gt;"Yes","Excluded",COUNTIFS(A$4:A$103,A91,I$4:I$103,"Yes",Y$4:Y$103,"&gt;"&amp;Y91)+1))</f>
        <v/>
      </c>
      <c r="AA91" s="7">
        <f>IF(I91&lt;&gt;"Yes","",IF(AND(COUNTIFS(A$4:A$103,A91,I$4:I$103,"Yes")&gt;=2,N91&lt;V91*0.85),"Over 15% under median",""))</f>
        <v/>
      </c>
      <c r="AB91" s="7">
        <f>A91&amp;"|"&amp;Z91</f>
        <v/>
      </c>
      <c r="AD91" s="6" t="n"/>
    </row>
    <row r="92">
      <c r="C92" s="21" t="n"/>
      <c r="I92" s="7">
        <f>IF(B92="","",IF(AND(D92="Yes",E92="Yes",F92="Yes",G92="Yes",H92="Yes",N(J92)&gt;0),"Yes","No"))</f>
        <v/>
      </c>
      <c r="J92" s="29" t="n"/>
      <c r="K92" s="29" t="n"/>
      <c r="L92" s="29" t="n"/>
      <c r="M92" s="29" t="n"/>
      <c r="N92" s="9">
        <f>IF(B92="","",N(J92)+N(K92)+N(L92)+N(M92))</f>
        <v/>
      </c>
      <c r="T92" s="7">
        <f>IFERROR(MATCH(A92,'Tender Setup'!$A$4:$A$33,0),0)</f>
        <v/>
      </c>
      <c r="U92" s="9">
        <f t="array" ref="U92">IF(I92&lt;&gt;"Yes","",MIN(IF((A$4:A$103=A92)*(I$4:I$103="Yes"),N$4:N$103)))</f>
        <v/>
      </c>
      <c r="V92" s="9">
        <f t="array" ref="V92">IF(I92&lt;&gt;"Yes","",MEDIAN(IF((A$4:A$103=A92)*(I$4:I$103="Yes"),N$4:N$103)))</f>
        <v/>
      </c>
      <c r="W92" s="24">
        <f>IF(OR(I92&lt;&gt;"Yes",T92=0),0,U92/N92*INDEX('Tender Setup'!$C$4:$C$33,T92))</f>
        <v/>
      </c>
      <c r="X92" s="24">
        <f>IF(OR(I92&lt;&gt;"Yes",T92=0),0,(N(O92)*INDEX('Tender Setup'!$D$4:$D$33,T92)+N(P92)*INDEX('Tender Setup'!$E$4:$E$33,T92)+N(Q92)*INDEX('Tender Setup'!$F$4:$F$33,T92)+N(R92)*INDEX('Tender Setup'!$G$4:$G$33,T92)+N(S92)*INDEX('Tender Setup'!$H$4:$H$33,T92))/10)</f>
        <v/>
      </c>
      <c r="Y92" s="24">
        <f>IF(B92="","",W92+X92)</f>
        <v/>
      </c>
      <c r="Z92" s="7">
        <f>IF(B92="","",IF(I92&lt;&gt;"Yes","Excluded",COUNTIFS(A$4:A$103,A92,I$4:I$103,"Yes",Y$4:Y$103,"&gt;"&amp;Y92)+1))</f>
        <v/>
      </c>
      <c r="AA92" s="7">
        <f>IF(I92&lt;&gt;"Yes","",IF(AND(COUNTIFS(A$4:A$103,A92,I$4:I$103,"Yes")&gt;=2,N92&lt;V92*0.85),"Over 15% under median",""))</f>
        <v/>
      </c>
      <c r="AB92" s="7">
        <f>A92&amp;"|"&amp;Z92</f>
        <v/>
      </c>
      <c r="AD92" s="6" t="n"/>
    </row>
    <row r="93">
      <c r="C93" s="21" t="n"/>
      <c r="I93" s="7">
        <f>IF(B93="","",IF(AND(D93="Yes",E93="Yes",F93="Yes",G93="Yes",H93="Yes",N(J93)&gt;0),"Yes","No"))</f>
        <v/>
      </c>
      <c r="J93" s="29" t="n"/>
      <c r="K93" s="29" t="n"/>
      <c r="L93" s="29" t="n"/>
      <c r="M93" s="29" t="n"/>
      <c r="N93" s="9">
        <f>IF(B93="","",N(J93)+N(K93)+N(L93)+N(M93))</f>
        <v/>
      </c>
      <c r="T93" s="7">
        <f>IFERROR(MATCH(A93,'Tender Setup'!$A$4:$A$33,0),0)</f>
        <v/>
      </c>
      <c r="U93" s="9">
        <f t="array" ref="U93">IF(I93&lt;&gt;"Yes","",MIN(IF((A$4:A$103=A93)*(I$4:I$103="Yes"),N$4:N$103)))</f>
        <v/>
      </c>
      <c r="V93" s="9">
        <f t="array" ref="V93">IF(I93&lt;&gt;"Yes","",MEDIAN(IF((A$4:A$103=A93)*(I$4:I$103="Yes"),N$4:N$103)))</f>
        <v/>
      </c>
      <c r="W93" s="24">
        <f>IF(OR(I93&lt;&gt;"Yes",T93=0),0,U93/N93*INDEX('Tender Setup'!$C$4:$C$33,T93))</f>
        <v/>
      </c>
      <c r="X93" s="24">
        <f>IF(OR(I93&lt;&gt;"Yes",T93=0),0,(N(O93)*INDEX('Tender Setup'!$D$4:$D$33,T93)+N(P93)*INDEX('Tender Setup'!$E$4:$E$33,T93)+N(Q93)*INDEX('Tender Setup'!$F$4:$F$33,T93)+N(R93)*INDEX('Tender Setup'!$G$4:$G$33,T93)+N(S93)*INDEX('Tender Setup'!$H$4:$H$33,T93))/10)</f>
        <v/>
      </c>
      <c r="Y93" s="24">
        <f>IF(B93="","",W93+X93)</f>
        <v/>
      </c>
      <c r="Z93" s="7">
        <f>IF(B93="","",IF(I93&lt;&gt;"Yes","Excluded",COUNTIFS(A$4:A$103,A93,I$4:I$103,"Yes",Y$4:Y$103,"&gt;"&amp;Y93)+1))</f>
        <v/>
      </c>
      <c r="AA93" s="7">
        <f>IF(I93&lt;&gt;"Yes","",IF(AND(COUNTIFS(A$4:A$103,A93,I$4:I$103,"Yes")&gt;=2,N93&lt;V93*0.85),"Over 15% under median",""))</f>
        <v/>
      </c>
      <c r="AB93" s="7">
        <f>A93&amp;"|"&amp;Z93</f>
        <v/>
      </c>
      <c r="AD93" s="6" t="n"/>
    </row>
    <row r="94">
      <c r="C94" s="21" t="n"/>
      <c r="I94" s="7">
        <f>IF(B94="","",IF(AND(D94="Yes",E94="Yes",F94="Yes",G94="Yes",H94="Yes",N(J94)&gt;0),"Yes","No"))</f>
        <v/>
      </c>
      <c r="J94" s="29" t="n"/>
      <c r="K94" s="29" t="n"/>
      <c r="L94" s="29" t="n"/>
      <c r="M94" s="29" t="n"/>
      <c r="N94" s="9">
        <f>IF(B94="","",N(J94)+N(K94)+N(L94)+N(M94))</f>
        <v/>
      </c>
      <c r="T94" s="7">
        <f>IFERROR(MATCH(A94,'Tender Setup'!$A$4:$A$33,0),0)</f>
        <v/>
      </c>
      <c r="U94" s="9">
        <f t="array" ref="U94">IF(I94&lt;&gt;"Yes","",MIN(IF((A$4:A$103=A94)*(I$4:I$103="Yes"),N$4:N$103)))</f>
        <v/>
      </c>
      <c r="V94" s="9">
        <f t="array" ref="V94">IF(I94&lt;&gt;"Yes","",MEDIAN(IF((A$4:A$103=A94)*(I$4:I$103="Yes"),N$4:N$103)))</f>
        <v/>
      </c>
      <c r="W94" s="24">
        <f>IF(OR(I94&lt;&gt;"Yes",T94=0),0,U94/N94*INDEX('Tender Setup'!$C$4:$C$33,T94))</f>
        <v/>
      </c>
      <c r="X94" s="24">
        <f>IF(OR(I94&lt;&gt;"Yes",T94=0),0,(N(O94)*INDEX('Tender Setup'!$D$4:$D$33,T94)+N(P94)*INDEX('Tender Setup'!$E$4:$E$33,T94)+N(Q94)*INDEX('Tender Setup'!$F$4:$F$33,T94)+N(R94)*INDEX('Tender Setup'!$G$4:$G$33,T94)+N(S94)*INDEX('Tender Setup'!$H$4:$H$33,T94))/10)</f>
        <v/>
      </c>
      <c r="Y94" s="24">
        <f>IF(B94="","",W94+X94)</f>
        <v/>
      </c>
      <c r="Z94" s="7">
        <f>IF(B94="","",IF(I94&lt;&gt;"Yes","Excluded",COUNTIFS(A$4:A$103,A94,I$4:I$103,"Yes",Y$4:Y$103,"&gt;"&amp;Y94)+1))</f>
        <v/>
      </c>
      <c r="AA94" s="7">
        <f>IF(I94&lt;&gt;"Yes","",IF(AND(COUNTIFS(A$4:A$103,A94,I$4:I$103,"Yes")&gt;=2,N94&lt;V94*0.85),"Over 15% under median",""))</f>
        <v/>
      </c>
      <c r="AB94" s="7">
        <f>A94&amp;"|"&amp;Z94</f>
        <v/>
      </c>
      <c r="AD94" s="6" t="n"/>
    </row>
    <row r="95">
      <c r="C95" s="21" t="n"/>
      <c r="I95" s="7">
        <f>IF(B95="","",IF(AND(D95="Yes",E95="Yes",F95="Yes",G95="Yes",H95="Yes",N(J95)&gt;0),"Yes","No"))</f>
        <v/>
      </c>
      <c r="J95" s="29" t="n"/>
      <c r="K95" s="29" t="n"/>
      <c r="L95" s="29" t="n"/>
      <c r="M95" s="29" t="n"/>
      <c r="N95" s="9">
        <f>IF(B95="","",N(J95)+N(K95)+N(L95)+N(M95))</f>
        <v/>
      </c>
      <c r="T95" s="7">
        <f>IFERROR(MATCH(A95,'Tender Setup'!$A$4:$A$33,0),0)</f>
        <v/>
      </c>
      <c r="U95" s="9">
        <f t="array" ref="U95">IF(I95&lt;&gt;"Yes","",MIN(IF((A$4:A$103=A95)*(I$4:I$103="Yes"),N$4:N$103)))</f>
        <v/>
      </c>
      <c r="V95" s="9">
        <f t="array" ref="V95">IF(I95&lt;&gt;"Yes","",MEDIAN(IF((A$4:A$103=A95)*(I$4:I$103="Yes"),N$4:N$103)))</f>
        <v/>
      </c>
      <c r="W95" s="24">
        <f>IF(OR(I95&lt;&gt;"Yes",T95=0),0,U95/N95*INDEX('Tender Setup'!$C$4:$C$33,T95))</f>
        <v/>
      </c>
      <c r="X95" s="24">
        <f>IF(OR(I95&lt;&gt;"Yes",T95=0),0,(N(O95)*INDEX('Tender Setup'!$D$4:$D$33,T95)+N(P95)*INDEX('Tender Setup'!$E$4:$E$33,T95)+N(Q95)*INDEX('Tender Setup'!$F$4:$F$33,T95)+N(R95)*INDEX('Tender Setup'!$G$4:$G$33,T95)+N(S95)*INDEX('Tender Setup'!$H$4:$H$33,T95))/10)</f>
        <v/>
      </c>
      <c r="Y95" s="24">
        <f>IF(B95="","",W95+X95)</f>
        <v/>
      </c>
      <c r="Z95" s="7">
        <f>IF(B95="","",IF(I95&lt;&gt;"Yes","Excluded",COUNTIFS(A$4:A$103,A95,I$4:I$103,"Yes",Y$4:Y$103,"&gt;"&amp;Y95)+1))</f>
        <v/>
      </c>
      <c r="AA95" s="7">
        <f>IF(I95&lt;&gt;"Yes","",IF(AND(COUNTIFS(A$4:A$103,A95,I$4:I$103,"Yes")&gt;=2,N95&lt;V95*0.85),"Over 15% under median",""))</f>
        <v/>
      </c>
      <c r="AB95" s="7">
        <f>A95&amp;"|"&amp;Z95</f>
        <v/>
      </c>
      <c r="AD95" s="6" t="n"/>
    </row>
    <row r="96">
      <c r="C96" s="21" t="n"/>
      <c r="I96" s="7">
        <f>IF(B96="","",IF(AND(D96="Yes",E96="Yes",F96="Yes",G96="Yes",H96="Yes",N(J96)&gt;0),"Yes","No"))</f>
        <v/>
      </c>
      <c r="J96" s="29" t="n"/>
      <c r="K96" s="29" t="n"/>
      <c r="L96" s="29" t="n"/>
      <c r="M96" s="29" t="n"/>
      <c r="N96" s="9">
        <f>IF(B96="","",N(J96)+N(K96)+N(L96)+N(M96))</f>
        <v/>
      </c>
      <c r="T96" s="7">
        <f>IFERROR(MATCH(A96,'Tender Setup'!$A$4:$A$33,0),0)</f>
        <v/>
      </c>
      <c r="U96" s="9">
        <f t="array" ref="U96">IF(I96&lt;&gt;"Yes","",MIN(IF((A$4:A$103=A96)*(I$4:I$103="Yes"),N$4:N$103)))</f>
        <v/>
      </c>
      <c r="V96" s="9">
        <f t="array" ref="V96">IF(I96&lt;&gt;"Yes","",MEDIAN(IF((A$4:A$103=A96)*(I$4:I$103="Yes"),N$4:N$103)))</f>
        <v/>
      </c>
      <c r="W96" s="24">
        <f>IF(OR(I96&lt;&gt;"Yes",T96=0),0,U96/N96*INDEX('Tender Setup'!$C$4:$C$33,T96))</f>
        <v/>
      </c>
      <c r="X96" s="24">
        <f>IF(OR(I96&lt;&gt;"Yes",T96=0),0,(N(O96)*INDEX('Tender Setup'!$D$4:$D$33,T96)+N(P96)*INDEX('Tender Setup'!$E$4:$E$33,T96)+N(Q96)*INDEX('Tender Setup'!$F$4:$F$33,T96)+N(R96)*INDEX('Tender Setup'!$G$4:$G$33,T96)+N(S96)*INDEX('Tender Setup'!$H$4:$H$33,T96))/10)</f>
        <v/>
      </c>
      <c r="Y96" s="24">
        <f>IF(B96="","",W96+X96)</f>
        <v/>
      </c>
      <c r="Z96" s="7">
        <f>IF(B96="","",IF(I96&lt;&gt;"Yes","Excluded",COUNTIFS(A$4:A$103,A96,I$4:I$103,"Yes",Y$4:Y$103,"&gt;"&amp;Y96)+1))</f>
        <v/>
      </c>
      <c r="AA96" s="7">
        <f>IF(I96&lt;&gt;"Yes","",IF(AND(COUNTIFS(A$4:A$103,A96,I$4:I$103,"Yes")&gt;=2,N96&lt;V96*0.85),"Over 15% under median",""))</f>
        <v/>
      </c>
      <c r="AB96" s="7">
        <f>A96&amp;"|"&amp;Z96</f>
        <v/>
      </c>
      <c r="AD96" s="6" t="n"/>
    </row>
    <row r="97">
      <c r="C97" s="21" t="n"/>
      <c r="I97" s="7">
        <f>IF(B97="","",IF(AND(D97="Yes",E97="Yes",F97="Yes",G97="Yes",H97="Yes",N(J97)&gt;0),"Yes","No"))</f>
        <v/>
      </c>
      <c r="J97" s="29" t="n"/>
      <c r="K97" s="29" t="n"/>
      <c r="L97" s="29" t="n"/>
      <c r="M97" s="29" t="n"/>
      <c r="N97" s="9">
        <f>IF(B97="","",N(J97)+N(K97)+N(L97)+N(M97))</f>
        <v/>
      </c>
      <c r="T97" s="7">
        <f>IFERROR(MATCH(A97,'Tender Setup'!$A$4:$A$33,0),0)</f>
        <v/>
      </c>
      <c r="U97" s="9">
        <f t="array" ref="U97">IF(I97&lt;&gt;"Yes","",MIN(IF((A$4:A$103=A97)*(I$4:I$103="Yes"),N$4:N$103)))</f>
        <v/>
      </c>
      <c r="V97" s="9">
        <f t="array" ref="V97">IF(I97&lt;&gt;"Yes","",MEDIAN(IF((A$4:A$103=A97)*(I$4:I$103="Yes"),N$4:N$103)))</f>
        <v/>
      </c>
      <c r="W97" s="24">
        <f>IF(OR(I97&lt;&gt;"Yes",T97=0),0,U97/N97*INDEX('Tender Setup'!$C$4:$C$33,T97))</f>
        <v/>
      </c>
      <c r="X97" s="24">
        <f>IF(OR(I97&lt;&gt;"Yes",T97=0),0,(N(O97)*INDEX('Tender Setup'!$D$4:$D$33,T97)+N(P97)*INDEX('Tender Setup'!$E$4:$E$33,T97)+N(Q97)*INDEX('Tender Setup'!$F$4:$F$33,T97)+N(R97)*INDEX('Tender Setup'!$G$4:$G$33,T97)+N(S97)*INDEX('Tender Setup'!$H$4:$H$33,T97))/10)</f>
        <v/>
      </c>
      <c r="Y97" s="24">
        <f>IF(B97="","",W97+X97)</f>
        <v/>
      </c>
      <c r="Z97" s="7">
        <f>IF(B97="","",IF(I97&lt;&gt;"Yes","Excluded",COUNTIFS(A$4:A$103,A97,I$4:I$103,"Yes",Y$4:Y$103,"&gt;"&amp;Y97)+1))</f>
        <v/>
      </c>
      <c r="AA97" s="7">
        <f>IF(I97&lt;&gt;"Yes","",IF(AND(COUNTIFS(A$4:A$103,A97,I$4:I$103,"Yes")&gt;=2,N97&lt;V97*0.85),"Over 15% under median",""))</f>
        <v/>
      </c>
      <c r="AB97" s="7">
        <f>A97&amp;"|"&amp;Z97</f>
        <v/>
      </c>
      <c r="AD97" s="6" t="n"/>
    </row>
    <row r="98">
      <c r="C98" s="21" t="n"/>
      <c r="I98" s="7">
        <f>IF(B98="","",IF(AND(D98="Yes",E98="Yes",F98="Yes",G98="Yes",H98="Yes",N(J98)&gt;0),"Yes","No"))</f>
        <v/>
      </c>
      <c r="J98" s="29" t="n"/>
      <c r="K98" s="29" t="n"/>
      <c r="L98" s="29" t="n"/>
      <c r="M98" s="29" t="n"/>
      <c r="N98" s="9">
        <f>IF(B98="","",N(J98)+N(K98)+N(L98)+N(M98))</f>
        <v/>
      </c>
      <c r="T98" s="7">
        <f>IFERROR(MATCH(A98,'Tender Setup'!$A$4:$A$33,0),0)</f>
        <v/>
      </c>
      <c r="U98" s="9">
        <f t="array" ref="U98">IF(I98&lt;&gt;"Yes","",MIN(IF((A$4:A$103=A98)*(I$4:I$103="Yes"),N$4:N$103)))</f>
        <v/>
      </c>
      <c r="V98" s="9">
        <f t="array" ref="V98">IF(I98&lt;&gt;"Yes","",MEDIAN(IF((A$4:A$103=A98)*(I$4:I$103="Yes"),N$4:N$103)))</f>
        <v/>
      </c>
      <c r="W98" s="24">
        <f>IF(OR(I98&lt;&gt;"Yes",T98=0),0,U98/N98*INDEX('Tender Setup'!$C$4:$C$33,T98))</f>
        <v/>
      </c>
      <c r="X98" s="24">
        <f>IF(OR(I98&lt;&gt;"Yes",T98=0),0,(N(O98)*INDEX('Tender Setup'!$D$4:$D$33,T98)+N(P98)*INDEX('Tender Setup'!$E$4:$E$33,T98)+N(Q98)*INDEX('Tender Setup'!$F$4:$F$33,T98)+N(R98)*INDEX('Tender Setup'!$G$4:$G$33,T98)+N(S98)*INDEX('Tender Setup'!$H$4:$H$33,T98))/10)</f>
        <v/>
      </c>
      <c r="Y98" s="24">
        <f>IF(B98="","",W98+X98)</f>
        <v/>
      </c>
      <c r="Z98" s="7">
        <f>IF(B98="","",IF(I98&lt;&gt;"Yes","Excluded",COUNTIFS(A$4:A$103,A98,I$4:I$103,"Yes",Y$4:Y$103,"&gt;"&amp;Y98)+1))</f>
        <v/>
      </c>
      <c r="AA98" s="7">
        <f>IF(I98&lt;&gt;"Yes","",IF(AND(COUNTIFS(A$4:A$103,A98,I$4:I$103,"Yes")&gt;=2,N98&lt;V98*0.85),"Over 15% under median",""))</f>
        <v/>
      </c>
      <c r="AB98" s="7">
        <f>A98&amp;"|"&amp;Z98</f>
        <v/>
      </c>
      <c r="AD98" s="6" t="n"/>
    </row>
    <row r="99">
      <c r="C99" s="21" t="n"/>
      <c r="I99" s="7">
        <f>IF(B99="","",IF(AND(D99="Yes",E99="Yes",F99="Yes",G99="Yes",H99="Yes",N(J99)&gt;0),"Yes","No"))</f>
        <v/>
      </c>
      <c r="J99" s="29" t="n"/>
      <c r="K99" s="29" t="n"/>
      <c r="L99" s="29" t="n"/>
      <c r="M99" s="29" t="n"/>
      <c r="N99" s="9">
        <f>IF(B99="","",N(J99)+N(K99)+N(L99)+N(M99))</f>
        <v/>
      </c>
      <c r="T99" s="7">
        <f>IFERROR(MATCH(A99,'Tender Setup'!$A$4:$A$33,0),0)</f>
        <v/>
      </c>
      <c r="U99" s="9">
        <f t="array" ref="U99">IF(I99&lt;&gt;"Yes","",MIN(IF((A$4:A$103=A99)*(I$4:I$103="Yes"),N$4:N$103)))</f>
        <v/>
      </c>
      <c r="V99" s="9">
        <f t="array" ref="V99">IF(I99&lt;&gt;"Yes","",MEDIAN(IF((A$4:A$103=A99)*(I$4:I$103="Yes"),N$4:N$103)))</f>
        <v/>
      </c>
      <c r="W99" s="24">
        <f>IF(OR(I99&lt;&gt;"Yes",T99=0),0,U99/N99*INDEX('Tender Setup'!$C$4:$C$33,T99))</f>
        <v/>
      </c>
      <c r="X99" s="24">
        <f>IF(OR(I99&lt;&gt;"Yes",T99=0),0,(N(O99)*INDEX('Tender Setup'!$D$4:$D$33,T99)+N(P99)*INDEX('Tender Setup'!$E$4:$E$33,T99)+N(Q99)*INDEX('Tender Setup'!$F$4:$F$33,T99)+N(R99)*INDEX('Tender Setup'!$G$4:$G$33,T99)+N(S99)*INDEX('Tender Setup'!$H$4:$H$33,T99))/10)</f>
        <v/>
      </c>
      <c r="Y99" s="24">
        <f>IF(B99="","",W99+X99)</f>
        <v/>
      </c>
      <c r="Z99" s="7">
        <f>IF(B99="","",IF(I99&lt;&gt;"Yes","Excluded",COUNTIFS(A$4:A$103,A99,I$4:I$103,"Yes",Y$4:Y$103,"&gt;"&amp;Y99)+1))</f>
        <v/>
      </c>
      <c r="AA99" s="7">
        <f>IF(I99&lt;&gt;"Yes","",IF(AND(COUNTIFS(A$4:A$103,A99,I$4:I$103,"Yes")&gt;=2,N99&lt;V99*0.85),"Over 15% under median",""))</f>
        <v/>
      </c>
      <c r="AB99" s="7">
        <f>A99&amp;"|"&amp;Z99</f>
        <v/>
      </c>
      <c r="AD99" s="6" t="n"/>
    </row>
    <row r="100">
      <c r="C100" s="21" t="n"/>
      <c r="I100" s="7">
        <f>IF(B100="","",IF(AND(D100="Yes",E100="Yes",F100="Yes",G100="Yes",H100="Yes",N(J100)&gt;0),"Yes","No"))</f>
        <v/>
      </c>
      <c r="J100" s="29" t="n"/>
      <c r="K100" s="29" t="n"/>
      <c r="L100" s="29" t="n"/>
      <c r="M100" s="29" t="n"/>
      <c r="N100" s="9">
        <f>IF(B100="","",N(J100)+N(K100)+N(L100)+N(M100))</f>
        <v/>
      </c>
      <c r="T100" s="7">
        <f>IFERROR(MATCH(A100,'Tender Setup'!$A$4:$A$33,0),0)</f>
        <v/>
      </c>
      <c r="U100" s="9">
        <f t="array" ref="U100">IF(I100&lt;&gt;"Yes","",MIN(IF((A$4:A$103=A100)*(I$4:I$103="Yes"),N$4:N$103)))</f>
        <v/>
      </c>
      <c r="V100" s="9">
        <f t="array" ref="V100">IF(I100&lt;&gt;"Yes","",MEDIAN(IF((A$4:A$103=A100)*(I$4:I$103="Yes"),N$4:N$103)))</f>
        <v/>
      </c>
      <c r="W100" s="24">
        <f>IF(OR(I100&lt;&gt;"Yes",T100=0),0,U100/N100*INDEX('Tender Setup'!$C$4:$C$33,T100))</f>
        <v/>
      </c>
      <c r="X100" s="24">
        <f>IF(OR(I100&lt;&gt;"Yes",T100=0),0,(N(O100)*INDEX('Tender Setup'!$D$4:$D$33,T100)+N(P100)*INDEX('Tender Setup'!$E$4:$E$33,T100)+N(Q100)*INDEX('Tender Setup'!$F$4:$F$33,T100)+N(R100)*INDEX('Tender Setup'!$G$4:$G$33,T100)+N(S100)*INDEX('Tender Setup'!$H$4:$H$33,T100))/10)</f>
        <v/>
      </c>
      <c r="Y100" s="24">
        <f>IF(B100="","",W100+X100)</f>
        <v/>
      </c>
      <c r="Z100" s="7">
        <f>IF(B100="","",IF(I100&lt;&gt;"Yes","Excluded",COUNTIFS(A$4:A$103,A100,I$4:I$103,"Yes",Y$4:Y$103,"&gt;"&amp;Y100)+1))</f>
        <v/>
      </c>
      <c r="AA100" s="7">
        <f>IF(I100&lt;&gt;"Yes","",IF(AND(COUNTIFS(A$4:A$103,A100,I$4:I$103,"Yes")&gt;=2,N100&lt;V100*0.85),"Over 15% under median",""))</f>
        <v/>
      </c>
      <c r="AB100" s="7">
        <f>A100&amp;"|"&amp;Z100</f>
        <v/>
      </c>
      <c r="AD100" s="6" t="n"/>
    </row>
    <row r="101">
      <c r="C101" s="21" t="n"/>
      <c r="I101" s="7">
        <f>IF(B101="","",IF(AND(D101="Yes",E101="Yes",F101="Yes",G101="Yes",H101="Yes",N(J101)&gt;0),"Yes","No"))</f>
        <v/>
      </c>
      <c r="J101" s="29" t="n"/>
      <c r="K101" s="29" t="n"/>
      <c r="L101" s="29" t="n"/>
      <c r="M101" s="29" t="n"/>
      <c r="N101" s="9">
        <f>IF(B101="","",N(J101)+N(K101)+N(L101)+N(M101))</f>
        <v/>
      </c>
      <c r="T101" s="7">
        <f>IFERROR(MATCH(A101,'Tender Setup'!$A$4:$A$33,0),0)</f>
        <v/>
      </c>
      <c r="U101" s="9">
        <f t="array" ref="U101">IF(I101&lt;&gt;"Yes","",MIN(IF((A$4:A$103=A101)*(I$4:I$103="Yes"),N$4:N$103)))</f>
        <v/>
      </c>
      <c r="V101" s="9">
        <f t="array" ref="V101">IF(I101&lt;&gt;"Yes","",MEDIAN(IF((A$4:A$103=A101)*(I$4:I$103="Yes"),N$4:N$103)))</f>
        <v/>
      </c>
      <c r="W101" s="24">
        <f>IF(OR(I101&lt;&gt;"Yes",T101=0),0,U101/N101*INDEX('Tender Setup'!$C$4:$C$33,T101))</f>
        <v/>
      </c>
      <c r="X101" s="24">
        <f>IF(OR(I101&lt;&gt;"Yes",T101=0),0,(N(O101)*INDEX('Tender Setup'!$D$4:$D$33,T101)+N(P101)*INDEX('Tender Setup'!$E$4:$E$33,T101)+N(Q101)*INDEX('Tender Setup'!$F$4:$F$33,T101)+N(R101)*INDEX('Tender Setup'!$G$4:$G$33,T101)+N(S101)*INDEX('Tender Setup'!$H$4:$H$33,T101))/10)</f>
        <v/>
      </c>
      <c r="Y101" s="24">
        <f>IF(B101="","",W101+X101)</f>
        <v/>
      </c>
      <c r="Z101" s="7">
        <f>IF(B101="","",IF(I101&lt;&gt;"Yes","Excluded",COUNTIFS(A$4:A$103,A101,I$4:I$103,"Yes",Y$4:Y$103,"&gt;"&amp;Y101)+1))</f>
        <v/>
      </c>
      <c r="AA101" s="7">
        <f>IF(I101&lt;&gt;"Yes","",IF(AND(COUNTIFS(A$4:A$103,A101,I$4:I$103,"Yes")&gt;=2,N101&lt;V101*0.85),"Over 15% under median",""))</f>
        <v/>
      </c>
      <c r="AB101" s="7">
        <f>A101&amp;"|"&amp;Z101</f>
        <v/>
      </c>
      <c r="AD101" s="6" t="n"/>
    </row>
    <row r="102">
      <c r="C102" s="21" t="n"/>
      <c r="I102" s="7">
        <f>IF(B102="","",IF(AND(D102="Yes",E102="Yes",F102="Yes",G102="Yes",H102="Yes",N(J102)&gt;0),"Yes","No"))</f>
        <v/>
      </c>
      <c r="J102" s="29" t="n"/>
      <c r="K102" s="29" t="n"/>
      <c r="L102" s="29" t="n"/>
      <c r="M102" s="29" t="n"/>
      <c r="N102" s="9">
        <f>IF(B102="","",N(J102)+N(K102)+N(L102)+N(M102))</f>
        <v/>
      </c>
      <c r="T102" s="7">
        <f>IFERROR(MATCH(A102,'Tender Setup'!$A$4:$A$33,0),0)</f>
        <v/>
      </c>
      <c r="U102" s="9">
        <f t="array" ref="U102">IF(I102&lt;&gt;"Yes","",MIN(IF((A$4:A$103=A102)*(I$4:I$103="Yes"),N$4:N$103)))</f>
        <v/>
      </c>
      <c r="V102" s="9">
        <f t="array" ref="V102">IF(I102&lt;&gt;"Yes","",MEDIAN(IF((A$4:A$103=A102)*(I$4:I$103="Yes"),N$4:N$103)))</f>
        <v/>
      </c>
      <c r="W102" s="24">
        <f>IF(OR(I102&lt;&gt;"Yes",T102=0),0,U102/N102*INDEX('Tender Setup'!$C$4:$C$33,T102))</f>
        <v/>
      </c>
      <c r="X102" s="24">
        <f>IF(OR(I102&lt;&gt;"Yes",T102=0),0,(N(O102)*INDEX('Tender Setup'!$D$4:$D$33,T102)+N(P102)*INDEX('Tender Setup'!$E$4:$E$33,T102)+N(Q102)*INDEX('Tender Setup'!$F$4:$F$33,T102)+N(R102)*INDEX('Tender Setup'!$G$4:$G$33,T102)+N(S102)*INDEX('Tender Setup'!$H$4:$H$33,T102))/10)</f>
        <v/>
      </c>
      <c r="Y102" s="24">
        <f>IF(B102="","",W102+X102)</f>
        <v/>
      </c>
      <c r="Z102" s="7">
        <f>IF(B102="","",IF(I102&lt;&gt;"Yes","Excluded",COUNTIFS(A$4:A$103,A102,I$4:I$103,"Yes",Y$4:Y$103,"&gt;"&amp;Y102)+1))</f>
        <v/>
      </c>
      <c r="AA102" s="7">
        <f>IF(I102&lt;&gt;"Yes","",IF(AND(COUNTIFS(A$4:A$103,A102,I$4:I$103,"Yes")&gt;=2,N102&lt;V102*0.85),"Over 15% under median",""))</f>
        <v/>
      </c>
      <c r="AB102" s="7">
        <f>A102&amp;"|"&amp;Z102</f>
        <v/>
      </c>
      <c r="AD102" s="6" t="n"/>
    </row>
    <row r="103">
      <c r="C103" s="21" t="n"/>
      <c r="I103" s="7">
        <f>IF(B103="","",IF(AND(D103="Yes",E103="Yes",F103="Yes",G103="Yes",H103="Yes",N(J103)&gt;0),"Yes","No"))</f>
        <v/>
      </c>
      <c r="J103" s="29" t="n"/>
      <c r="K103" s="29" t="n"/>
      <c r="L103" s="29" t="n"/>
      <c r="M103" s="29" t="n"/>
      <c r="N103" s="9">
        <f>IF(B103="","",N(J103)+N(K103)+N(L103)+N(M103))</f>
        <v/>
      </c>
      <c r="T103" s="7">
        <f>IFERROR(MATCH(A103,'Tender Setup'!$A$4:$A$33,0),0)</f>
        <v/>
      </c>
      <c r="U103" s="9">
        <f t="array" ref="U103">IF(I103&lt;&gt;"Yes","",MIN(IF((A$4:A$103=A103)*(I$4:I$103="Yes"),N$4:N$103)))</f>
        <v/>
      </c>
      <c r="V103" s="9">
        <f t="array" ref="V103">IF(I103&lt;&gt;"Yes","",MEDIAN(IF((A$4:A$103=A103)*(I$4:I$103="Yes"),N$4:N$103)))</f>
        <v/>
      </c>
      <c r="W103" s="24">
        <f>IF(OR(I103&lt;&gt;"Yes",T103=0),0,U103/N103*INDEX('Tender Setup'!$C$4:$C$33,T103))</f>
        <v/>
      </c>
      <c r="X103" s="24">
        <f>IF(OR(I103&lt;&gt;"Yes",T103=0),0,(N(O103)*INDEX('Tender Setup'!$D$4:$D$33,T103)+N(P103)*INDEX('Tender Setup'!$E$4:$E$33,T103)+N(Q103)*INDEX('Tender Setup'!$F$4:$F$33,T103)+N(R103)*INDEX('Tender Setup'!$G$4:$G$33,T103)+N(S103)*INDEX('Tender Setup'!$H$4:$H$33,T103))/10)</f>
        <v/>
      </c>
      <c r="Y103" s="24">
        <f>IF(B103="","",W103+X103)</f>
        <v/>
      </c>
      <c r="Z103" s="7">
        <f>IF(B103="","",IF(I103&lt;&gt;"Yes","Excluded",COUNTIFS(A$4:A$103,A103,I$4:I$103,"Yes",Y$4:Y$103,"&gt;"&amp;Y103)+1))</f>
        <v/>
      </c>
      <c r="AA103" s="7">
        <f>IF(I103&lt;&gt;"Yes","",IF(AND(COUNTIFS(A$4:A$103,A103,I$4:I$103,"Yes")&gt;=2,N103&lt;V103*0.85),"Over 15% under median",""))</f>
        <v/>
      </c>
      <c r="AB103" s="7">
        <f>A103&amp;"|"&amp;Z103</f>
        <v/>
      </c>
      <c r="AD103" s="6" t="n"/>
    </row>
  </sheetData>
  <autoFilter ref="A3:AD103"/>
  <conditionalFormatting sqref="I4:I103">
    <cfRule type="cellIs" priority="1" operator="equal" dxfId="2">
      <formula>"No"</formula>
    </cfRule>
  </conditionalFormatting>
  <conditionalFormatting sqref="Z4:Z103">
    <cfRule type="cellIs" priority="2" operator="equal" dxfId="0">
      <formula>1</formula>
    </cfRule>
  </conditionalFormatting>
  <conditionalFormatting sqref="AA4:AA103">
    <cfRule type="cellIs" priority="3" operator="equal" dxfId="1">
      <formula>"Over 15% under median"</formula>
    </cfRule>
  </conditionalFormatting>
  <conditionalFormatting sqref="D4:D103">
    <cfRule type="cellIs" priority="4" operator="equal" dxfId="2">
      <formula>"No"</formula>
    </cfRule>
  </conditionalFormatting>
  <conditionalFormatting sqref="E4:E103">
    <cfRule type="cellIs" priority="5" operator="equal" dxfId="2">
      <formula>"No"</formula>
    </cfRule>
  </conditionalFormatting>
  <conditionalFormatting sqref="F4:F103">
    <cfRule type="cellIs" priority="6" operator="equal" dxfId="2">
      <formula>"No"</formula>
    </cfRule>
  </conditionalFormatting>
  <conditionalFormatting sqref="G4:G103">
    <cfRule type="cellIs" priority="7" operator="equal" dxfId="2">
      <formula>"No"</formula>
    </cfRule>
  </conditionalFormatting>
  <conditionalFormatting sqref="H4:H103">
    <cfRule type="cellIs" priority="8" operator="equal" dxfId="2">
      <formula>"No"</formula>
    </cfRule>
  </conditionalFormatting>
  <dataValidations count="11">
    <dataValidation sqref="A4:A103" showDropDown="0" showInputMessage="0" showErrorMessage="0" allowBlank="1" error="Pick a value from the list." type="list" errorStyle="warning">
      <formula1>='Packages'!$B$4:$B$33</formula1>
    </dataValidation>
    <dataValidation sqref="D4:D103" showDropDown="0" showInputMessage="0" showErrorMessage="0" allowBlank="1" error="Pick a value from the list." type="list" errorStyle="warning">
      <formula1>=Lists!$B$2:$B$3</formula1>
    </dataValidation>
    <dataValidation sqref="E4:E103" showDropDown="0" showInputMessage="0" showErrorMessage="0" allowBlank="1" error="Pick a value from the list." type="list" errorStyle="warning">
      <formula1>=Lists!$B$2:$B$3</formula1>
    </dataValidation>
    <dataValidation sqref="F4:F103" showDropDown="0" showInputMessage="0" showErrorMessage="0" allowBlank="1" error="Pick a value from the list." type="list" errorStyle="warning">
      <formula1>=Lists!$B$2:$B$3</formula1>
    </dataValidation>
    <dataValidation sqref="G4:G103" showDropDown="0" showInputMessage="0" showErrorMessage="0" allowBlank="1" error="Pick a value from the list." type="list" errorStyle="warning">
      <formula1>=Lists!$B$2:$B$3</formula1>
    </dataValidation>
    <dataValidation sqref="H4:H103" showDropDown="0" showInputMessage="0" showErrorMessage="0" allowBlank="1" error="Pick a value from the list." type="list" errorStyle="warning">
      <formula1>=Lists!$B$2:$B$3</formula1>
    </dataValidation>
    <dataValidation sqref="O4:O103" showDropDown="0" showInputMessage="0" showErrorMessage="0" allowBlank="1" error="Score from 0 to 10." type="whole" errorStyle="warning" operator="between">
      <formula1>0</formula1>
      <formula2>10</formula2>
    </dataValidation>
    <dataValidation sqref="P4:P103" showDropDown="0" showInputMessage="0" showErrorMessage="0" allowBlank="1" error="Score from 0 to 10." type="whole" errorStyle="warning" operator="between">
      <formula1>0</formula1>
      <formula2>10</formula2>
    </dataValidation>
    <dataValidation sqref="Q4:Q103" showDropDown="0" showInputMessage="0" showErrorMessage="0" allowBlank="1" error="Score from 0 to 10." type="whole" errorStyle="warning" operator="between">
      <formula1>0</formula1>
      <formula2>10</formula2>
    </dataValidation>
    <dataValidation sqref="R4:R103" showDropDown="0" showInputMessage="0" showErrorMessage="0" allowBlank="1" error="Score from 0 to 10." type="whole" errorStyle="warning" operator="between">
      <formula1>0</formula1>
      <formula2>10</formula2>
    </dataValidation>
    <dataValidation sqref="S4:S103" showDropDown="0" showInputMessage="0" showErrorMessage="0" allowBlank="1" error="Score from 0 to 10." type="whole" errorStyle="warning" operator="between">
      <formula1>0</formula1>
      <formula2>10</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20" customWidth="1" min="4" max="4"/>
    <col width="40" customWidth="1" min="5" max="5"/>
    <col width="16" customWidth="1" min="6" max="6"/>
    <col width="12" customWidth="1" min="7" max="7"/>
    <col width="10" customWidth="1" min="8" max="8"/>
    <col width="11" customWidth="1" min="9" max="9"/>
    <col width="12" customWidth="1" min="10" max="10"/>
    <col width="15" customWidth="1" min="11" max="11"/>
    <col width="28" customWidth="1" min="12" max="12"/>
  </cols>
  <sheetData>
    <row r="1" ht="24" customHeight="1">
      <c r="A1" s="1" t="inlineStr">
        <is>
          <t>Variations</t>
        </is>
      </c>
    </row>
    <row r="2">
      <c r="A2" s="2" t="inlineStr">
        <is>
          <t>Agree the price and time impact in writing before any extra work. Approved variations add to the package's committed cost.</t>
        </is>
      </c>
    </row>
    <row r="3" ht="32" customHeight="1">
      <c r="A3" s="19" t="inlineStr">
        <is>
          <t>Var. no.</t>
        </is>
      </c>
      <c r="B3" s="19" t="inlineStr">
        <is>
          <t>Date</t>
        </is>
      </c>
      <c r="C3" s="19" t="inlineStr">
        <is>
          <t>Package</t>
        </is>
      </c>
      <c r="D3" s="19" t="inlineStr">
        <is>
          <t>Trade</t>
        </is>
      </c>
      <c r="E3" s="19" t="inlineStr">
        <is>
          <t>Description</t>
        </is>
      </c>
      <c r="F3" s="19" t="inlineStr">
        <is>
          <t>Reason</t>
        </is>
      </c>
      <c r="G3" s="19" t="inlineStr">
        <is>
          <t>Price impact ($)</t>
        </is>
      </c>
      <c r="H3" s="19" t="inlineStr">
        <is>
          <t>Time impact (days)</t>
        </is>
      </c>
      <c r="I3" s="19" t="inlineStr">
        <is>
          <t>Approval</t>
        </is>
      </c>
      <c r="J3" s="19" t="inlineStr">
        <is>
          <t>Approved date</t>
        </is>
      </c>
      <c r="K3" s="19" t="inlineStr">
        <is>
          <t>Signed Doc ID</t>
        </is>
      </c>
      <c r="L3" s="19" t="inlineStr">
        <is>
          <t>Notes</t>
        </is>
      </c>
    </row>
    <row r="4">
      <c r="B4" s="21" t="n"/>
      <c r="E4" s="6" t="n"/>
      <c r="G4" s="32" t="n"/>
      <c r="J4" s="21" t="n"/>
      <c r="L4" s="6" t="n"/>
    </row>
    <row r="5">
      <c r="B5" s="21" t="n"/>
      <c r="E5" s="6" t="n"/>
      <c r="G5" s="32" t="n"/>
      <c r="J5" s="21" t="n"/>
      <c r="L5" s="6" t="n"/>
    </row>
    <row r="6">
      <c r="B6" s="21" t="n"/>
      <c r="E6" s="6" t="n"/>
      <c r="G6" s="32" t="n"/>
      <c r="J6" s="21" t="n"/>
      <c r="L6" s="6" t="n"/>
    </row>
    <row r="7">
      <c r="B7" s="21" t="n"/>
      <c r="E7" s="6" t="n"/>
      <c r="G7" s="32" t="n"/>
      <c r="J7" s="21" t="n"/>
      <c r="L7" s="6" t="n"/>
    </row>
    <row r="8">
      <c r="B8" s="21" t="n"/>
      <c r="E8" s="6" t="n"/>
      <c r="G8" s="32" t="n"/>
      <c r="J8" s="21" t="n"/>
      <c r="L8" s="6" t="n"/>
    </row>
    <row r="9">
      <c r="B9" s="21" t="n"/>
      <c r="E9" s="6" t="n"/>
      <c r="G9" s="32" t="n"/>
      <c r="J9" s="21" t="n"/>
      <c r="L9" s="6" t="n"/>
    </row>
    <row r="10">
      <c r="B10" s="21" t="n"/>
      <c r="E10" s="6" t="n"/>
      <c r="G10" s="32" t="n"/>
      <c r="J10" s="21" t="n"/>
      <c r="L10" s="6" t="n"/>
    </row>
    <row r="11">
      <c r="B11" s="21" t="n"/>
      <c r="E11" s="6" t="n"/>
      <c r="G11" s="32" t="n"/>
      <c r="J11" s="21" t="n"/>
      <c r="L11" s="6" t="n"/>
    </row>
    <row r="12">
      <c r="B12" s="21" t="n"/>
      <c r="E12" s="6" t="n"/>
      <c r="G12" s="32" t="n"/>
      <c r="J12" s="21" t="n"/>
      <c r="L12" s="6" t="n"/>
    </row>
    <row r="13">
      <c r="B13" s="21" t="n"/>
      <c r="E13" s="6" t="n"/>
      <c r="G13" s="32" t="n"/>
      <c r="J13" s="21" t="n"/>
      <c r="L13" s="6" t="n"/>
    </row>
    <row r="14">
      <c r="B14" s="21" t="n"/>
      <c r="E14" s="6" t="n"/>
      <c r="G14" s="32" t="n"/>
      <c r="J14" s="21" t="n"/>
      <c r="L14" s="6" t="n"/>
    </row>
    <row r="15">
      <c r="B15" s="21" t="n"/>
      <c r="E15" s="6" t="n"/>
      <c r="G15" s="32" t="n"/>
      <c r="J15" s="21" t="n"/>
      <c r="L15" s="6" t="n"/>
    </row>
    <row r="16">
      <c r="B16" s="21" t="n"/>
      <c r="E16" s="6" t="n"/>
      <c r="G16" s="32" t="n"/>
      <c r="J16" s="21" t="n"/>
      <c r="L16" s="6" t="n"/>
    </row>
    <row r="17">
      <c r="B17" s="21" t="n"/>
      <c r="E17" s="6" t="n"/>
      <c r="G17" s="32" t="n"/>
      <c r="J17" s="21" t="n"/>
      <c r="L17" s="6" t="n"/>
    </row>
    <row r="18">
      <c r="B18" s="21" t="n"/>
      <c r="E18" s="6" t="n"/>
      <c r="G18" s="32" t="n"/>
      <c r="J18" s="21" t="n"/>
      <c r="L18" s="6" t="n"/>
    </row>
    <row r="19">
      <c r="B19" s="21" t="n"/>
      <c r="E19" s="6" t="n"/>
      <c r="G19" s="32" t="n"/>
      <c r="J19" s="21" t="n"/>
      <c r="L19" s="6" t="n"/>
    </row>
    <row r="20">
      <c r="B20" s="21" t="n"/>
      <c r="E20" s="6" t="n"/>
      <c r="G20" s="32" t="n"/>
      <c r="J20" s="21" t="n"/>
      <c r="L20" s="6" t="n"/>
    </row>
    <row r="21">
      <c r="B21" s="21" t="n"/>
      <c r="E21" s="6" t="n"/>
      <c r="G21" s="32" t="n"/>
      <c r="J21" s="21" t="n"/>
      <c r="L21" s="6" t="n"/>
    </row>
    <row r="22">
      <c r="B22" s="21" t="n"/>
      <c r="E22" s="6" t="n"/>
      <c r="G22" s="32" t="n"/>
      <c r="J22" s="21" t="n"/>
      <c r="L22" s="6" t="n"/>
    </row>
    <row r="23">
      <c r="B23" s="21" t="n"/>
      <c r="E23" s="6" t="n"/>
      <c r="G23" s="32" t="n"/>
      <c r="J23" s="21" t="n"/>
      <c r="L23" s="6" t="n"/>
    </row>
    <row r="24">
      <c r="B24" s="21" t="n"/>
      <c r="E24" s="6" t="n"/>
      <c r="G24" s="32" t="n"/>
      <c r="J24" s="21" t="n"/>
      <c r="L24" s="6" t="n"/>
    </row>
    <row r="25">
      <c r="B25" s="21" t="n"/>
      <c r="E25" s="6" t="n"/>
      <c r="G25" s="32" t="n"/>
      <c r="J25" s="21" t="n"/>
      <c r="L25" s="6" t="n"/>
    </row>
    <row r="26">
      <c r="B26" s="21" t="n"/>
      <c r="E26" s="6" t="n"/>
      <c r="G26" s="32" t="n"/>
      <c r="J26" s="21" t="n"/>
      <c r="L26" s="6" t="n"/>
    </row>
    <row r="27">
      <c r="B27" s="21" t="n"/>
      <c r="E27" s="6" t="n"/>
      <c r="G27" s="32" t="n"/>
      <c r="J27" s="21" t="n"/>
      <c r="L27" s="6" t="n"/>
    </row>
    <row r="28">
      <c r="B28" s="21" t="n"/>
      <c r="E28" s="6" t="n"/>
      <c r="G28" s="32" t="n"/>
      <c r="J28" s="21" t="n"/>
      <c r="L28" s="6" t="n"/>
    </row>
    <row r="29">
      <c r="B29" s="21" t="n"/>
      <c r="E29" s="6" t="n"/>
      <c r="G29" s="32" t="n"/>
      <c r="J29" s="21" t="n"/>
      <c r="L29" s="6" t="n"/>
    </row>
    <row r="30">
      <c r="B30" s="21" t="n"/>
      <c r="E30" s="6" t="n"/>
      <c r="G30" s="32" t="n"/>
      <c r="J30" s="21" t="n"/>
      <c r="L30" s="6" t="n"/>
    </row>
    <row r="31">
      <c r="B31" s="21" t="n"/>
      <c r="E31" s="6" t="n"/>
      <c r="G31" s="32" t="n"/>
      <c r="J31" s="21" t="n"/>
      <c r="L31" s="6" t="n"/>
    </row>
    <row r="32">
      <c r="B32" s="21" t="n"/>
      <c r="E32" s="6" t="n"/>
      <c r="G32" s="32" t="n"/>
      <c r="J32" s="21" t="n"/>
      <c r="L32" s="6" t="n"/>
    </row>
    <row r="33">
      <c r="B33" s="21" t="n"/>
      <c r="E33" s="6" t="n"/>
      <c r="G33" s="32" t="n"/>
      <c r="J33" s="21" t="n"/>
      <c r="L33" s="6" t="n"/>
    </row>
    <row r="34">
      <c r="B34" s="21" t="n"/>
      <c r="E34" s="6" t="n"/>
      <c r="G34" s="32" t="n"/>
      <c r="J34" s="21" t="n"/>
      <c r="L34" s="6" t="n"/>
    </row>
    <row r="35">
      <c r="B35" s="21" t="n"/>
      <c r="E35" s="6" t="n"/>
      <c r="G35" s="32" t="n"/>
      <c r="J35" s="21" t="n"/>
      <c r="L35" s="6" t="n"/>
    </row>
    <row r="36">
      <c r="B36" s="21" t="n"/>
      <c r="E36" s="6" t="n"/>
      <c r="G36" s="32" t="n"/>
      <c r="J36" s="21" t="n"/>
      <c r="L36" s="6" t="n"/>
    </row>
    <row r="37">
      <c r="B37" s="21" t="n"/>
      <c r="E37" s="6" t="n"/>
      <c r="G37" s="32" t="n"/>
      <c r="J37" s="21" t="n"/>
      <c r="L37" s="6" t="n"/>
    </row>
    <row r="38">
      <c r="B38" s="21" t="n"/>
      <c r="E38" s="6" t="n"/>
      <c r="G38" s="32" t="n"/>
      <c r="J38" s="21" t="n"/>
      <c r="L38" s="6" t="n"/>
    </row>
    <row r="39">
      <c r="B39" s="21" t="n"/>
      <c r="E39" s="6" t="n"/>
      <c r="G39" s="32" t="n"/>
      <c r="J39" s="21" t="n"/>
      <c r="L39" s="6" t="n"/>
    </row>
    <row r="40">
      <c r="B40" s="21" t="n"/>
      <c r="E40" s="6" t="n"/>
      <c r="G40" s="32" t="n"/>
      <c r="J40" s="21" t="n"/>
      <c r="L40" s="6" t="n"/>
    </row>
    <row r="41">
      <c r="B41" s="21" t="n"/>
      <c r="E41" s="6" t="n"/>
      <c r="G41" s="32" t="n"/>
      <c r="J41" s="21" t="n"/>
      <c r="L41" s="6" t="n"/>
    </row>
    <row r="42">
      <c r="B42" s="21" t="n"/>
      <c r="E42" s="6" t="n"/>
      <c r="G42" s="32" t="n"/>
      <c r="J42" s="21" t="n"/>
      <c r="L42" s="6" t="n"/>
    </row>
    <row r="43">
      <c r="B43" s="21" t="n"/>
      <c r="E43" s="6" t="n"/>
      <c r="G43" s="32" t="n"/>
      <c r="J43" s="21" t="n"/>
      <c r="L43" s="6" t="n"/>
    </row>
    <row r="44">
      <c r="B44" s="21" t="n"/>
      <c r="E44" s="6" t="n"/>
      <c r="G44" s="32" t="n"/>
      <c r="J44" s="21" t="n"/>
      <c r="L44" s="6" t="n"/>
    </row>
    <row r="45">
      <c r="B45" s="21" t="n"/>
      <c r="E45" s="6" t="n"/>
      <c r="G45" s="32" t="n"/>
      <c r="J45" s="21" t="n"/>
      <c r="L45" s="6" t="n"/>
    </row>
    <row r="46">
      <c r="B46" s="21" t="n"/>
      <c r="E46" s="6" t="n"/>
      <c r="G46" s="32" t="n"/>
      <c r="J46" s="21" t="n"/>
      <c r="L46" s="6" t="n"/>
    </row>
    <row r="47">
      <c r="B47" s="21" t="n"/>
      <c r="E47" s="6" t="n"/>
      <c r="G47" s="32" t="n"/>
      <c r="J47" s="21" t="n"/>
      <c r="L47" s="6" t="n"/>
    </row>
    <row r="48">
      <c r="B48" s="21" t="n"/>
      <c r="E48" s="6" t="n"/>
      <c r="G48" s="32" t="n"/>
      <c r="J48" s="21" t="n"/>
      <c r="L48" s="6" t="n"/>
    </row>
    <row r="49">
      <c r="B49" s="21" t="n"/>
      <c r="E49" s="6" t="n"/>
      <c r="G49" s="32" t="n"/>
      <c r="J49" s="21" t="n"/>
      <c r="L49" s="6" t="n"/>
    </row>
    <row r="50">
      <c r="B50" s="21" t="n"/>
      <c r="E50" s="6" t="n"/>
      <c r="G50" s="32" t="n"/>
      <c r="J50" s="21" t="n"/>
      <c r="L50" s="6" t="n"/>
    </row>
    <row r="51">
      <c r="B51" s="21" t="n"/>
      <c r="E51" s="6" t="n"/>
      <c r="G51" s="32" t="n"/>
      <c r="J51" s="21" t="n"/>
      <c r="L51" s="6" t="n"/>
    </row>
    <row r="52">
      <c r="B52" s="21" t="n"/>
      <c r="E52" s="6" t="n"/>
      <c r="G52" s="32" t="n"/>
      <c r="J52" s="21" t="n"/>
      <c r="L52" s="6" t="n"/>
    </row>
    <row r="53">
      <c r="B53" s="21" t="n"/>
      <c r="E53" s="6" t="n"/>
      <c r="G53" s="32" t="n"/>
      <c r="J53" s="21" t="n"/>
      <c r="L53" s="6" t="n"/>
    </row>
    <row r="54">
      <c r="B54" s="21" t="n"/>
      <c r="E54" s="6" t="n"/>
      <c r="G54" s="32" t="n"/>
      <c r="J54" s="21" t="n"/>
      <c r="L54" s="6" t="n"/>
    </row>
    <row r="55">
      <c r="B55" s="21" t="n"/>
      <c r="E55" s="6" t="n"/>
      <c r="G55" s="32" t="n"/>
      <c r="J55" s="21" t="n"/>
      <c r="L55" s="6" t="n"/>
    </row>
    <row r="56">
      <c r="B56" s="21" t="n"/>
      <c r="E56" s="6" t="n"/>
      <c r="G56" s="32" t="n"/>
      <c r="J56" s="21" t="n"/>
      <c r="L56" s="6" t="n"/>
    </row>
    <row r="57">
      <c r="B57" s="21" t="n"/>
      <c r="E57" s="6" t="n"/>
      <c r="G57" s="32" t="n"/>
      <c r="J57" s="21" t="n"/>
      <c r="L57" s="6" t="n"/>
    </row>
    <row r="58">
      <c r="B58" s="21" t="n"/>
      <c r="E58" s="6" t="n"/>
      <c r="G58" s="32" t="n"/>
      <c r="J58" s="21" t="n"/>
      <c r="L58" s="6" t="n"/>
    </row>
    <row r="59">
      <c r="B59" s="21" t="n"/>
      <c r="E59" s="6" t="n"/>
      <c r="G59" s="32" t="n"/>
      <c r="J59" s="21" t="n"/>
      <c r="L59" s="6" t="n"/>
    </row>
    <row r="60">
      <c r="B60" s="21" t="n"/>
      <c r="E60" s="6" t="n"/>
      <c r="G60" s="32" t="n"/>
      <c r="J60" s="21" t="n"/>
      <c r="L60" s="6" t="n"/>
    </row>
    <row r="61">
      <c r="B61" s="21" t="n"/>
      <c r="E61" s="6" t="n"/>
      <c r="G61" s="32" t="n"/>
      <c r="J61" s="21" t="n"/>
      <c r="L61" s="6" t="n"/>
    </row>
    <row r="62">
      <c r="B62" s="21" t="n"/>
      <c r="E62" s="6" t="n"/>
      <c r="G62" s="32" t="n"/>
      <c r="J62" s="21" t="n"/>
      <c r="L62" s="6" t="n"/>
    </row>
    <row r="63">
      <c r="B63" s="21" t="n"/>
      <c r="E63" s="6" t="n"/>
      <c r="G63" s="32" t="n"/>
      <c r="J63" s="21" t="n"/>
      <c r="L63" s="6" t="n"/>
    </row>
    <row r="64">
      <c r="B64" s="21" t="n"/>
      <c r="E64" s="6" t="n"/>
      <c r="G64" s="32" t="n"/>
      <c r="J64" s="21" t="n"/>
      <c r="L64" s="6" t="n"/>
    </row>
    <row r="65">
      <c r="B65" s="21" t="n"/>
      <c r="E65" s="6" t="n"/>
      <c r="G65" s="32" t="n"/>
      <c r="J65" s="21" t="n"/>
      <c r="L65" s="6" t="n"/>
    </row>
    <row r="66">
      <c r="B66" s="21" t="n"/>
      <c r="E66" s="6" t="n"/>
      <c r="G66" s="32" t="n"/>
      <c r="J66" s="21" t="n"/>
      <c r="L66" s="6" t="n"/>
    </row>
    <row r="67">
      <c r="B67" s="21" t="n"/>
      <c r="E67" s="6" t="n"/>
      <c r="G67" s="32" t="n"/>
      <c r="J67" s="21" t="n"/>
      <c r="L67" s="6" t="n"/>
    </row>
    <row r="68">
      <c r="B68" s="21" t="n"/>
      <c r="E68" s="6" t="n"/>
      <c r="G68" s="32" t="n"/>
      <c r="J68" s="21" t="n"/>
      <c r="L68" s="6" t="n"/>
    </row>
    <row r="69">
      <c r="B69" s="21" t="n"/>
      <c r="E69" s="6" t="n"/>
      <c r="G69" s="32" t="n"/>
      <c r="J69" s="21" t="n"/>
      <c r="L69" s="6" t="n"/>
    </row>
    <row r="70">
      <c r="B70" s="21" t="n"/>
      <c r="E70" s="6" t="n"/>
      <c r="G70" s="32" t="n"/>
      <c r="J70" s="21" t="n"/>
      <c r="L70" s="6" t="n"/>
    </row>
    <row r="71">
      <c r="B71" s="21" t="n"/>
      <c r="E71" s="6" t="n"/>
      <c r="G71" s="32" t="n"/>
      <c r="J71" s="21" t="n"/>
      <c r="L71" s="6" t="n"/>
    </row>
    <row r="72">
      <c r="B72" s="21" t="n"/>
      <c r="E72" s="6" t="n"/>
      <c r="G72" s="32" t="n"/>
      <c r="J72" s="21" t="n"/>
      <c r="L72" s="6" t="n"/>
    </row>
    <row r="73">
      <c r="B73" s="21" t="n"/>
      <c r="E73" s="6" t="n"/>
      <c r="G73" s="32" t="n"/>
      <c r="J73" s="21" t="n"/>
      <c r="L73" s="6" t="n"/>
    </row>
    <row r="74">
      <c r="B74" s="21" t="n"/>
      <c r="E74" s="6" t="n"/>
      <c r="G74" s="32" t="n"/>
      <c r="J74" s="21" t="n"/>
      <c r="L74" s="6" t="n"/>
    </row>
    <row r="75">
      <c r="B75" s="21" t="n"/>
      <c r="E75" s="6" t="n"/>
      <c r="G75" s="32" t="n"/>
      <c r="J75" s="21" t="n"/>
      <c r="L75" s="6" t="n"/>
    </row>
    <row r="76">
      <c r="B76" s="21" t="n"/>
      <c r="E76" s="6" t="n"/>
      <c r="G76" s="32" t="n"/>
      <c r="J76" s="21" t="n"/>
      <c r="L76" s="6" t="n"/>
    </row>
    <row r="77">
      <c r="B77" s="21" t="n"/>
      <c r="E77" s="6" t="n"/>
      <c r="G77" s="32" t="n"/>
      <c r="J77" s="21" t="n"/>
      <c r="L77" s="6" t="n"/>
    </row>
    <row r="78">
      <c r="B78" s="21" t="n"/>
      <c r="E78" s="6" t="n"/>
      <c r="G78" s="32" t="n"/>
      <c r="J78" s="21" t="n"/>
      <c r="L78" s="6" t="n"/>
    </row>
    <row r="79">
      <c r="B79" s="21" t="n"/>
      <c r="E79" s="6" t="n"/>
      <c r="G79" s="32" t="n"/>
      <c r="J79" s="21" t="n"/>
      <c r="L79" s="6" t="n"/>
    </row>
    <row r="80">
      <c r="B80" s="21" t="n"/>
      <c r="E80" s="6" t="n"/>
      <c r="G80" s="32" t="n"/>
      <c r="J80" s="21" t="n"/>
      <c r="L80" s="6" t="n"/>
    </row>
    <row r="81">
      <c r="B81" s="21" t="n"/>
      <c r="E81" s="6" t="n"/>
      <c r="G81" s="32" t="n"/>
      <c r="J81" s="21" t="n"/>
      <c r="L81" s="6" t="n"/>
    </row>
    <row r="82">
      <c r="B82" s="21" t="n"/>
      <c r="E82" s="6" t="n"/>
      <c r="G82" s="32" t="n"/>
      <c r="J82" s="21" t="n"/>
      <c r="L82" s="6" t="n"/>
    </row>
    <row r="83">
      <c r="B83" s="21" t="n"/>
      <c r="E83" s="6" t="n"/>
      <c r="G83" s="32" t="n"/>
      <c r="J83" s="21" t="n"/>
      <c r="L83" s="6" t="n"/>
    </row>
    <row r="84">
      <c r="B84" s="21" t="n"/>
      <c r="E84" s="6" t="n"/>
      <c r="G84" s="32" t="n"/>
      <c r="J84" s="21" t="n"/>
      <c r="L84" s="6" t="n"/>
    </row>
    <row r="85">
      <c r="B85" s="21" t="n"/>
      <c r="E85" s="6" t="n"/>
      <c r="G85" s="32" t="n"/>
      <c r="J85" s="21" t="n"/>
      <c r="L85" s="6" t="n"/>
    </row>
    <row r="86">
      <c r="B86" s="21" t="n"/>
      <c r="E86" s="6" t="n"/>
      <c r="G86" s="32" t="n"/>
      <c r="J86" s="21" t="n"/>
      <c r="L86" s="6" t="n"/>
    </row>
    <row r="87">
      <c r="B87" s="21" t="n"/>
      <c r="E87" s="6" t="n"/>
      <c r="G87" s="32" t="n"/>
      <c r="J87" s="21" t="n"/>
      <c r="L87" s="6" t="n"/>
    </row>
    <row r="88">
      <c r="B88" s="21" t="n"/>
      <c r="E88" s="6" t="n"/>
      <c r="G88" s="32" t="n"/>
      <c r="J88" s="21" t="n"/>
      <c r="L88" s="6" t="n"/>
    </row>
    <row r="89">
      <c r="B89" s="21" t="n"/>
      <c r="E89" s="6" t="n"/>
      <c r="G89" s="32" t="n"/>
      <c r="J89" s="21" t="n"/>
      <c r="L89" s="6" t="n"/>
    </row>
    <row r="90">
      <c r="B90" s="21" t="n"/>
      <c r="E90" s="6" t="n"/>
      <c r="G90" s="32" t="n"/>
      <c r="J90" s="21" t="n"/>
      <c r="L90" s="6" t="n"/>
    </row>
    <row r="91">
      <c r="B91" s="21" t="n"/>
      <c r="E91" s="6" t="n"/>
      <c r="G91" s="32" t="n"/>
      <c r="J91" s="21" t="n"/>
      <c r="L91" s="6" t="n"/>
    </row>
    <row r="92">
      <c r="B92" s="21" t="n"/>
      <c r="E92" s="6" t="n"/>
      <c r="G92" s="32" t="n"/>
      <c r="J92" s="21" t="n"/>
      <c r="L92" s="6" t="n"/>
    </row>
    <row r="93">
      <c r="B93" s="21" t="n"/>
      <c r="E93" s="6" t="n"/>
      <c r="G93" s="32" t="n"/>
      <c r="J93" s="21" t="n"/>
      <c r="L93" s="6" t="n"/>
    </row>
    <row r="94">
      <c r="B94" s="21" t="n"/>
      <c r="E94" s="6" t="n"/>
      <c r="G94" s="32" t="n"/>
      <c r="J94" s="21" t="n"/>
      <c r="L94" s="6" t="n"/>
    </row>
    <row r="95">
      <c r="B95" s="21" t="n"/>
      <c r="E95" s="6" t="n"/>
      <c r="G95" s="32" t="n"/>
      <c r="J95" s="21" t="n"/>
      <c r="L95" s="6" t="n"/>
    </row>
    <row r="96">
      <c r="B96" s="21" t="n"/>
      <c r="E96" s="6" t="n"/>
      <c r="G96" s="32" t="n"/>
      <c r="J96" s="21" t="n"/>
      <c r="L96" s="6" t="n"/>
    </row>
    <row r="97">
      <c r="B97" s="21" t="n"/>
      <c r="E97" s="6" t="n"/>
      <c r="G97" s="32" t="n"/>
      <c r="J97" s="21" t="n"/>
      <c r="L97" s="6" t="n"/>
    </row>
    <row r="98">
      <c r="B98" s="21" t="n"/>
      <c r="E98" s="6" t="n"/>
      <c r="G98" s="32" t="n"/>
      <c r="J98" s="21" t="n"/>
      <c r="L98" s="6" t="n"/>
    </row>
    <row r="99">
      <c r="B99" s="21" t="n"/>
      <c r="E99" s="6" t="n"/>
      <c r="G99" s="32" t="n"/>
      <c r="J99" s="21" t="n"/>
      <c r="L99" s="6" t="n"/>
    </row>
    <row r="100">
      <c r="B100" s="21" t="n"/>
      <c r="E100" s="6" t="n"/>
      <c r="G100" s="32" t="n"/>
      <c r="J100" s="21" t="n"/>
      <c r="L100" s="6" t="n"/>
    </row>
    <row r="101">
      <c r="B101" s="21" t="n"/>
      <c r="E101" s="6" t="n"/>
      <c r="G101" s="32" t="n"/>
      <c r="J101" s="21" t="n"/>
      <c r="L101" s="6" t="n"/>
    </row>
    <row r="102">
      <c r="B102" s="21" t="n"/>
      <c r="E102" s="6" t="n"/>
      <c r="G102" s="32" t="n"/>
      <c r="J102" s="21" t="n"/>
      <c r="L102" s="6" t="n"/>
    </row>
    <row r="103">
      <c r="B103" s="21" t="n"/>
      <c r="E103" s="6" t="n"/>
      <c r="G103" s="32" t="n"/>
      <c r="J103" s="21" t="n"/>
      <c r="L103" s="6" t="n"/>
    </row>
    <row r="104">
      <c r="B104" s="21" t="n"/>
      <c r="E104" s="6" t="n"/>
      <c r="G104" s="32" t="n"/>
      <c r="J104" s="21" t="n"/>
      <c r="L104" s="6" t="n"/>
    </row>
    <row r="105">
      <c r="B105" s="21" t="n"/>
      <c r="E105" s="6" t="n"/>
      <c r="G105" s="32" t="n"/>
      <c r="J105" s="21" t="n"/>
      <c r="L105" s="6" t="n"/>
    </row>
    <row r="106">
      <c r="B106" s="21" t="n"/>
      <c r="E106" s="6" t="n"/>
      <c r="G106" s="32" t="n"/>
      <c r="J106" s="21" t="n"/>
      <c r="L106" s="6" t="n"/>
    </row>
    <row r="107">
      <c r="B107" s="21" t="n"/>
      <c r="E107" s="6" t="n"/>
      <c r="G107" s="32" t="n"/>
      <c r="J107" s="21" t="n"/>
      <c r="L107" s="6" t="n"/>
    </row>
    <row r="108">
      <c r="B108" s="21" t="n"/>
      <c r="E108" s="6" t="n"/>
      <c r="G108" s="32" t="n"/>
      <c r="J108" s="21" t="n"/>
      <c r="L108" s="6" t="n"/>
    </row>
    <row r="109">
      <c r="B109" s="21" t="n"/>
      <c r="E109" s="6" t="n"/>
      <c r="G109" s="32" t="n"/>
      <c r="J109" s="21" t="n"/>
      <c r="L109" s="6" t="n"/>
    </row>
    <row r="110">
      <c r="B110" s="21" t="n"/>
      <c r="E110" s="6" t="n"/>
      <c r="G110" s="32" t="n"/>
      <c r="J110" s="21" t="n"/>
      <c r="L110" s="6" t="n"/>
    </row>
    <row r="111">
      <c r="B111" s="21" t="n"/>
      <c r="E111" s="6" t="n"/>
      <c r="G111" s="32" t="n"/>
      <c r="J111" s="21" t="n"/>
      <c r="L111" s="6" t="n"/>
    </row>
    <row r="112">
      <c r="B112" s="21" t="n"/>
      <c r="E112" s="6" t="n"/>
      <c r="G112" s="32" t="n"/>
      <c r="J112" s="21" t="n"/>
      <c r="L112" s="6" t="n"/>
    </row>
    <row r="113">
      <c r="B113" s="21" t="n"/>
      <c r="E113" s="6" t="n"/>
      <c r="G113" s="32" t="n"/>
      <c r="J113" s="21" t="n"/>
      <c r="L113" s="6" t="n"/>
    </row>
    <row r="114">
      <c r="B114" s="21" t="n"/>
      <c r="E114" s="6" t="n"/>
      <c r="G114" s="32" t="n"/>
      <c r="J114" s="21" t="n"/>
      <c r="L114" s="6" t="n"/>
    </row>
    <row r="115">
      <c r="B115" s="21" t="n"/>
      <c r="E115" s="6" t="n"/>
      <c r="G115" s="32" t="n"/>
      <c r="J115" s="21" t="n"/>
      <c r="L115" s="6" t="n"/>
    </row>
    <row r="116">
      <c r="B116" s="21" t="n"/>
      <c r="E116" s="6" t="n"/>
      <c r="G116" s="32" t="n"/>
      <c r="J116" s="21" t="n"/>
      <c r="L116" s="6" t="n"/>
    </row>
    <row r="117">
      <c r="B117" s="21" t="n"/>
      <c r="E117" s="6" t="n"/>
      <c r="G117" s="32" t="n"/>
      <c r="J117" s="21" t="n"/>
      <c r="L117" s="6" t="n"/>
    </row>
    <row r="118">
      <c r="B118" s="21" t="n"/>
      <c r="E118" s="6" t="n"/>
      <c r="G118" s="32" t="n"/>
      <c r="J118" s="21" t="n"/>
      <c r="L118" s="6" t="n"/>
    </row>
    <row r="119">
      <c r="B119" s="21" t="n"/>
      <c r="E119" s="6" t="n"/>
      <c r="G119" s="32" t="n"/>
      <c r="J119" s="21" t="n"/>
      <c r="L119" s="6" t="n"/>
    </row>
    <row r="120">
      <c r="B120" s="21" t="n"/>
      <c r="E120" s="6" t="n"/>
      <c r="G120" s="32" t="n"/>
      <c r="J120" s="21" t="n"/>
      <c r="L120" s="6" t="n"/>
    </row>
    <row r="121">
      <c r="B121" s="21" t="n"/>
      <c r="E121" s="6" t="n"/>
      <c r="G121" s="32" t="n"/>
      <c r="J121" s="21" t="n"/>
      <c r="L121" s="6" t="n"/>
    </row>
    <row r="122">
      <c r="B122" s="21" t="n"/>
      <c r="E122" s="6" t="n"/>
      <c r="G122" s="32" t="n"/>
      <c r="J122" s="21" t="n"/>
      <c r="L122" s="6" t="n"/>
    </row>
    <row r="123">
      <c r="B123" s="21" t="n"/>
      <c r="E123" s="6" t="n"/>
      <c r="G123" s="32" t="n"/>
      <c r="J123" s="21" t="n"/>
      <c r="L123" s="6" t="n"/>
    </row>
    <row r="124">
      <c r="B124" s="21" t="n"/>
      <c r="E124" s="6" t="n"/>
      <c r="G124" s="32" t="n"/>
      <c r="J124" s="21" t="n"/>
      <c r="L124" s="6" t="n"/>
    </row>
    <row r="125">
      <c r="B125" s="21" t="n"/>
      <c r="E125" s="6" t="n"/>
      <c r="G125" s="32" t="n"/>
      <c r="J125" s="21" t="n"/>
      <c r="L125" s="6" t="n"/>
    </row>
    <row r="126">
      <c r="B126" s="21" t="n"/>
      <c r="E126" s="6" t="n"/>
      <c r="G126" s="32" t="n"/>
      <c r="J126" s="21" t="n"/>
      <c r="L126" s="6" t="n"/>
    </row>
    <row r="127">
      <c r="B127" s="21" t="n"/>
      <c r="E127" s="6" t="n"/>
      <c r="G127" s="32" t="n"/>
      <c r="J127" s="21" t="n"/>
      <c r="L127" s="6" t="n"/>
    </row>
    <row r="128">
      <c r="B128" s="21" t="n"/>
      <c r="E128" s="6" t="n"/>
      <c r="G128" s="32" t="n"/>
      <c r="J128" s="21" t="n"/>
      <c r="L128" s="6" t="n"/>
    </row>
    <row r="129">
      <c r="B129" s="21" t="n"/>
      <c r="E129" s="6" t="n"/>
      <c r="G129" s="32" t="n"/>
      <c r="J129" s="21" t="n"/>
      <c r="L129" s="6" t="n"/>
    </row>
    <row r="130">
      <c r="B130" s="21" t="n"/>
      <c r="E130" s="6" t="n"/>
      <c r="G130" s="32" t="n"/>
      <c r="J130" s="21" t="n"/>
      <c r="L130" s="6" t="n"/>
    </row>
    <row r="131">
      <c r="B131" s="21" t="n"/>
      <c r="E131" s="6" t="n"/>
      <c r="G131" s="32" t="n"/>
      <c r="J131" s="21" t="n"/>
      <c r="L131" s="6" t="n"/>
    </row>
    <row r="132">
      <c r="B132" s="21" t="n"/>
      <c r="E132" s="6" t="n"/>
      <c r="G132" s="32" t="n"/>
      <c r="J132" s="21" t="n"/>
      <c r="L132" s="6" t="n"/>
    </row>
    <row r="133">
      <c r="B133" s="21" t="n"/>
      <c r="E133" s="6" t="n"/>
      <c r="G133" s="32" t="n"/>
      <c r="J133" s="21" t="n"/>
      <c r="L133" s="6" t="n"/>
    </row>
    <row r="134">
      <c r="B134" s="21" t="n"/>
      <c r="E134" s="6" t="n"/>
      <c r="G134" s="32" t="n"/>
      <c r="J134" s="21" t="n"/>
      <c r="L134" s="6" t="n"/>
    </row>
    <row r="135">
      <c r="B135" s="21" t="n"/>
      <c r="E135" s="6" t="n"/>
      <c r="G135" s="32" t="n"/>
      <c r="J135" s="21" t="n"/>
      <c r="L135" s="6" t="n"/>
    </row>
    <row r="136">
      <c r="B136" s="21" t="n"/>
      <c r="E136" s="6" t="n"/>
      <c r="G136" s="32" t="n"/>
      <c r="J136" s="21" t="n"/>
      <c r="L136" s="6" t="n"/>
    </row>
    <row r="137">
      <c r="B137" s="21" t="n"/>
      <c r="E137" s="6" t="n"/>
      <c r="G137" s="32" t="n"/>
      <c r="J137" s="21" t="n"/>
      <c r="L137" s="6" t="n"/>
    </row>
    <row r="138">
      <c r="B138" s="21" t="n"/>
      <c r="E138" s="6" t="n"/>
      <c r="G138" s="32" t="n"/>
      <c r="J138" s="21" t="n"/>
      <c r="L138" s="6" t="n"/>
    </row>
    <row r="139">
      <c r="B139" s="21" t="n"/>
      <c r="E139" s="6" t="n"/>
      <c r="G139" s="32" t="n"/>
      <c r="J139" s="21" t="n"/>
      <c r="L139" s="6" t="n"/>
    </row>
    <row r="140">
      <c r="B140" s="21" t="n"/>
      <c r="E140" s="6" t="n"/>
      <c r="G140" s="32" t="n"/>
      <c r="J140" s="21" t="n"/>
      <c r="L140" s="6" t="n"/>
    </row>
    <row r="141">
      <c r="B141" s="21" t="n"/>
      <c r="E141" s="6" t="n"/>
      <c r="G141" s="32" t="n"/>
      <c r="J141" s="21" t="n"/>
      <c r="L141" s="6" t="n"/>
    </row>
    <row r="142">
      <c r="B142" s="21" t="n"/>
      <c r="E142" s="6" t="n"/>
      <c r="G142" s="32" t="n"/>
      <c r="J142" s="21" t="n"/>
      <c r="L142" s="6" t="n"/>
    </row>
    <row r="143">
      <c r="B143" s="21" t="n"/>
      <c r="E143" s="6" t="n"/>
      <c r="G143" s="32" t="n"/>
      <c r="J143" s="21" t="n"/>
      <c r="L143" s="6" t="n"/>
    </row>
    <row r="144">
      <c r="B144" s="21" t="n"/>
      <c r="E144" s="6" t="n"/>
      <c r="G144" s="32" t="n"/>
      <c r="J144" s="21" t="n"/>
      <c r="L144" s="6" t="n"/>
    </row>
    <row r="145">
      <c r="B145" s="21" t="n"/>
      <c r="E145" s="6" t="n"/>
      <c r="G145" s="32" t="n"/>
      <c r="J145" s="21" t="n"/>
      <c r="L145" s="6" t="n"/>
    </row>
    <row r="146">
      <c r="B146" s="21" t="n"/>
      <c r="E146" s="6" t="n"/>
      <c r="G146" s="32" t="n"/>
      <c r="J146" s="21" t="n"/>
      <c r="L146" s="6" t="n"/>
    </row>
    <row r="147">
      <c r="B147" s="21" t="n"/>
      <c r="E147" s="6" t="n"/>
      <c r="G147" s="32" t="n"/>
      <c r="J147" s="21" t="n"/>
      <c r="L147" s="6" t="n"/>
    </row>
    <row r="148">
      <c r="B148" s="21" t="n"/>
      <c r="E148" s="6" t="n"/>
      <c r="G148" s="32" t="n"/>
      <c r="J148" s="21" t="n"/>
      <c r="L148" s="6" t="n"/>
    </row>
    <row r="149">
      <c r="B149" s="21" t="n"/>
      <c r="E149" s="6" t="n"/>
      <c r="G149" s="32" t="n"/>
      <c r="J149" s="21" t="n"/>
      <c r="L149" s="6" t="n"/>
    </row>
    <row r="150">
      <c r="B150" s="21" t="n"/>
      <c r="E150" s="6" t="n"/>
      <c r="G150" s="32" t="n"/>
      <c r="J150" s="21" t="n"/>
      <c r="L150" s="6" t="n"/>
    </row>
    <row r="151">
      <c r="B151" s="21" t="n"/>
      <c r="E151" s="6" t="n"/>
      <c r="G151" s="32" t="n"/>
      <c r="J151" s="21" t="n"/>
      <c r="L151" s="6" t="n"/>
    </row>
    <row r="152">
      <c r="B152" s="21" t="n"/>
      <c r="E152" s="6" t="n"/>
      <c r="G152" s="32" t="n"/>
      <c r="J152" s="21" t="n"/>
      <c r="L152" s="6" t="n"/>
    </row>
    <row r="153">
      <c r="B153" s="21" t="n"/>
      <c r="E153" s="6" t="n"/>
      <c r="G153" s="32" t="n"/>
      <c r="J153" s="21" t="n"/>
      <c r="L153" s="6" t="n"/>
    </row>
  </sheetData>
  <autoFilter ref="A3:L153"/>
  <conditionalFormatting sqref="I4:I153">
    <cfRule type="cellIs" priority="1" operator="equal" dxfId="1">
      <formula>"Pending"</formula>
    </cfRule>
  </conditionalFormatting>
  <dataValidations count="3">
    <dataValidation sqref="C4:C153" showDropDown="0" showInputMessage="0" showErrorMessage="0" allowBlank="1" error="Pick a value from the list." type="list" errorStyle="warning">
      <formula1>='Packages'!$B$4:$B$33</formula1>
    </dataValidation>
    <dataValidation sqref="F4:F153" showDropDown="0" showInputMessage="0" showErrorMessage="0" allowBlank="1" error="Pick a value from the list." type="list" errorStyle="warning">
      <formula1>=Lists!$Q$2:$Q$6</formula1>
    </dataValidation>
    <dataValidation sqref="I4:I153" showDropDown="0" showInputMessage="0" showErrorMessage="0" allowBlank="1" error="Pick a value from the list." type="list" errorStyle="warning">
      <formula1>=Lists!$P$2:$P$4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3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12" customWidth="1" min="4" max="4"/>
    <col width="16" customWidth="1" min="5" max="5"/>
    <col width="13" customWidth="1" min="6" max="6"/>
    <col width="9" customWidth="1" min="7" max="7"/>
    <col width="10" customWidth="1" min="8" max="8"/>
    <col width="16" customWidth="1" min="9" max="9"/>
    <col width="12" customWidth="1" min="10" max="10"/>
    <col width="8" customWidth="1" min="11" max="11"/>
    <col width="12" customWidth="1" min="12" max="12"/>
    <col width="12" customWidth="1" min="13" max="13"/>
    <col width="15" customWidth="1" min="14" max="14"/>
    <col width="28" customWidth="1" min="15" max="15"/>
  </cols>
  <sheetData>
    <row r="1" ht="24" customHeight="1">
      <c r="A1" s="1" t="inlineStr">
        <is>
          <t>Invoices &amp; payments</t>
        </is>
      </c>
    </row>
    <row r="2">
      <c r="A2" s="2" t="inlineStr">
        <is>
          <t>Every invoice and claim. Only rows marked Paid count towards spent to date. Don't release final payment until you have that trade's certificates.</t>
        </is>
      </c>
    </row>
    <row r="3" ht="32" customHeight="1">
      <c r="A3" s="19" t="inlineStr">
        <is>
          <t>Invoice date</t>
        </is>
      </c>
      <c r="B3" s="19" t="inlineStr">
        <is>
          <t>Package</t>
        </is>
      </c>
      <c r="C3" s="19" t="inlineStr">
        <is>
          <t>Trade</t>
        </is>
      </c>
      <c r="D3" s="19" t="inlineStr">
        <is>
          <t>Invoice no.</t>
        </is>
      </c>
      <c r="E3" s="19" t="inlineStr">
        <is>
          <t>Stage / claim</t>
        </is>
      </c>
      <c r="F3" s="19" t="inlineStr">
        <is>
          <t>Amount inc GST ($)</t>
        </is>
      </c>
      <c r="G3" s="19" t="inlineStr">
        <is>
          <t>GST charged?</t>
        </is>
      </c>
      <c r="H3" s="20" t="inlineStr">
        <is>
          <t>Trade GST registered</t>
        </is>
      </c>
      <c r="I3" s="20" t="inlineStr">
        <is>
          <t>GST check</t>
        </is>
      </c>
      <c r="J3" s="19" t="inlineStr">
        <is>
          <t>Due</t>
        </is>
      </c>
      <c r="K3" s="19" t="inlineStr">
        <is>
          <t>Paid?</t>
        </is>
      </c>
      <c r="L3" s="19" t="inlineStr">
        <is>
          <t>Paid date</t>
        </is>
      </c>
      <c r="M3" s="19" t="inlineStr">
        <is>
          <t>Retention held ($)</t>
        </is>
      </c>
      <c r="N3" s="19" t="inlineStr">
        <is>
          <t>Invoice Doc ID</t>
        </is>
      </c>
      <c r="O3" s="19" t="inlineStr">
        <is>
          <t>Notes</t>
        </is>
      </c>
    </row>
    <row r="4">
      <c r="A4" s="28" t="n"/>
      <c r="B4" s="22" t="inlineStr">
        <is>
          <t>08 Roofing</t>
        </is>
      </c>
      <c r="C4" s="22" t="inlineStr">
        <is>
          <t>Ridgeline Metal Roofs</t>
        </is>
      </c>
      <c r="D4" s="30" t="inlineStr">
        <is>
          <t>1042</t>
        </is>
      </c>
      <c r="E4" s="22" t="inlineStr">
        <is>
          <t>Deposit</t>
        </is>
      </c>
      <c r="F4" s="27" t="n">
        <v>1845</v>
      </c>
      <c r="G4" s="22" t="inlineStr">
        <is>
          <t>Yes</t>
        </is>
      </c>
      <c r="H4" s="7">
        <f>IF(C4="","",IFERROR(INDEX('Trades'!$G$4:$G$103,MATCH(C4,'Trades'!$B$4:$B$103,0)),""))</f>
        <v/>
      </c>
      <c r="I4" s="7">
        <f>IF(AND(G4="Yes",H4="No"),"GST charged, not registered","")</f>
        <v/>
      </c>
      <c r="J4" s="28" t="n"/>
      <c r="K4" s="22" t="inlineStr">
        <is>
          <t>Yes</t>
        </is>
      </c>
      <c r="L4" s="28" t="n"/>
      <c r="M4" s="27" t="n"/>
      <c r="N4" s="22" t="n"/>
      <c r="O4" s="25" t="inlineStr">
        <is>
          <t>EXAMPLE: delete this row</t>
        </is>
      </c>
    </row>
    <row r="5">
      <c r="A5" s="21" t="n"/>
      <c r="D5" s="31" t="n"/>
      <c r="F5" s="29" t="n"/>
      <c r="H5" s="7">
        <f>IF(C5="","",IFERROR(INDEX('Trades'!$G$4:$G$103,MATCH(C5,'Trades'!$B$4:$B$103,0)),""))</f>
        <v/>
      </c>
      <c r="I5" s="7">
        <f>IF(AND(G5="Yes",H5="No"),"GST charged, not registered","")</f>
        <v/>
      </c>
      <c r="J5" s="21" t="n"/>
      <c r="L5" s="21" t="n"/>
      <c r="M5" s="29" t="n"/>
      <c r="O5" s="6" t="n"/>
    </row>
    <row r="6">
      <c r="A6" s="21" t="n"/>
      <c r="D6" s="31" t="n"/>
      <c r="F6" s="29" t="n"/>
      <c r="H6" s="7">
        <f>IF(C6="","",IFERROR(INDEX('Trades'!$G$4:$G$103,MATCH(C6,'Trades'!$B$4:$B$103,0)),""))</f>
        <v/>
      </c>
      <c r="I6" s="7">
        <f>IF(AND(G6="Yes",H6="No"),"GST charged, not registered","")</f>
        <v/>
      </c>
      <c r="J6" s="21" t="n"/>
      <c r="L6" s="21" t="n"/>
      <c r="M6" s="29" t="n"/>
      <c r="O6" s="6" t="n"/>
    </row>
    <row r="7">
      <c r="A7" s="21" t="n"/>
      <c r="D7" s="31" t="n"/>
      <c r="F7" s="29" t="n"/>
      <c r="H7" s="7">
        <f>IF(C7="","",IFERROR(INDEX('Trades'!$G$4:$G$103,MATCH(C7,'Trades'!$B$4:$B$103,0)),""))</f>
        <v/>
      </c>
      <c r="I7" s="7">
        <f>IF(AND(G7="Yes",H7="No"),"GST charged, not registered","")</f>
        <v/>
      </c>
      <c r="J7" s="21" t="n"/>
      <c r="L7" s="21" t="n"/>
      <c r="M7" s="29" t="n"/>
      <c r="O7" s="6" t="n"/>
    </row>
    <row r="8">
      <c r="A8" s="21" t="n"/>
      <c r="D8" s="31" t="n"/>
      <c r="F8" s="29" t="n"/>
      <c r="H8" s="7">
        <f>IF(C8="","",IFERROR(INDEX('Trades'!$G$4:$G$103,MATCH(C8,'Trades'!$B$4:$B$103,0)),""))</f>
        <v/>
      </c>
      <c r="I8" s="7">
        <f>IF(AND(G8="Yes",H8="No"),"GST charged, not registered","")</f>
        <v/>
      </c>
      <c r="J8" s="21" t="n"/>
      <c r="L8" s="21" t="n"/>
      <c r="M8" s="29" t="n"/>
      <c r="O8" s="6" t="n"/>
    </row>
    <row r="9">
      <c r="A9" s="21" t="n"/>
      <c r="D9" s="31" t="n"/>
      <c r="F9" s="29" t="n"/>
      <c r="H9" s="7">
        <f>IF(C9="","",IFERROR(INDEX('Trades'!$G$4:$G$103,MATCH(C9,'Trades'!$B$4:$B$103,0)),""))</f>
        <v/>
      </c>
      <c r="I9" s="7">
        <f>IF(AND(G9="Yes",H9="No"),"GST charged, not registered","")</f>
        <v/>
      </c>
      <c r="J9" s="21" t="n"/>
      <c r="L9" s="21" t="n"/>
      <c r="M9" s="29" t="n"/>
      <c r="O9" s="6" t="n"/>
    </row>
    <row r="10">
      <c r="A10" s="21" t="n"/>
      <c r="D10" s="31" t="n"/>
      <c r="F10" s="29" t="n"/>
      <c r="H10" s="7">
        <f>IF(C10="","",IFERROR(INDEX('Trades'!$G$4:$G$103,MATCH(C10,'Trades'!$B$4:$B$103,0)),""))</f>
        <v/>
      </c>
      <c r="I10" s="7">
        <f>IF(AND(G10="Yes",H10="No"),"GST charged, not registered","")</f>
        <v/>
      </c>
      <c r="J10" s="21" t="n"/>
      <c r="L10" s="21" t="n"/>
      <c r="M10" s="29" t="n"/>
      <c r="O10" s="6" t="n"/>
    </row>
    <row r="11">
      <c r="A11" s="21" t="n"/>
      <c r="D11" s="31" t="n"/>
      <c r="F11" s="29" t="n"/>
      <c r="H11" s="7">
        <f>IF(C11="","",IFERROR(INDEX('Trades'!$G$4:$G$103,MATCH(C11,'Trades'!$B$4:$B$103,0)),""))</f>
        <v/>
      </c>
      <c r="I11" s="7">
        <f>IF(AND(G11="Yes",H11="No"),"GST charged, not registered","")</f>
        <v/>
      </c>
      <c r="J11" s="21" t="n"/>
      <c r="L11" s="21" t="n"/>
      <c r="M11" s="29" t="n"/>
      <c r="O11" s="6" t="n"/>
    </row>
    <row r="12">
      <c r="A12" s="21" t="n"/>
      <c r="D12" s="31" t="n"/>
      <c r="F12" s="29" t="n"/>
      <c r="H12" s="7">
        <f>IF(C12="","",IFERROR(INDEX('Trades'!$G$4:$G$103,MATCH(C12,'Trades'!$B$4:$B$103,0)),""))</f>
        <v/>
      </c>
      <c r="I12" s="7">
        <f>IF(AND(G12="Yes",H12="No"),"GST charged, not registered","")</f>
        <v/>
      </c>
      <c r="J12" s="21" t="n"/>
      <c r="L12" s="21" t="n"/>
      <c r="M12" s="29" t="n"/>
      <c r="O12" s="6" t="n"/>
    </row>
    <row r="13">
      <c r="A13" s="21" t="n"/>
      <c r="D13" s="31" t="n"/>
      <c r="F13" s="29" t="n"/>
      <c r="H13" s="7">
        <f>IF(C13="","",IFERROR(INDEX('Trades'!$G$4:$G$103,MATCH(C13,'Trades'!$B$4:$B$103,0)),""))</f>
        <v/>
      </c>
      <c r="I13" s="7">
        <f>IF(AND(G13="Yes",H13="No"),"GST charged, not registered","")</f>
        <v/>
      </c>
      <c r="J13" s="21" t="n"/>
      <c r="L13" s="21" t="n"/>
      <c r="M13" s="29" t="n"/>
      <c r="O13" s="6" t="n"/>
    </row>
    <row r="14">
      <c r="A14" s="21" t="n"/>
      <c r="D14" s="31" t="n"/>
      <c r="F14" s="29" t="n"/>
      <c r="H14" s="7">
        <f>IF(C14="","",IFERROR(INDEX('Trades'!$G$4:$G$103,MATCH(C14,'Trades'!$B$4:$B$103,0)),""))</f>
        <v/>
      </c>
      <c r="I14" s="7">
        <f>IF(AND(G14="Yes",H14="No"),"GST charged, not registered","")</f>
        <v/>
      </c>
      <c r="J14" s="21" t="n"/>
      <c r="L14" s="21" t="n"/>
      <c r="M14" s="29" t="n"/>
      <c r="O14" s="6" t="n"/>
    </row>
    <row r="15">
      <c r="A15" s="21" t="n"/>
      <c r="D15" s="31" t="n"/>
      <c r="F15" s="29" t="n"/>
      <c r="H15" s="7">
        <f>IF(C15="","",IFERROR(INDEX('Trades'!$G$4:$G$103,MATCH(C15,'Trades'!$B$4:$B$103,0)),""))</f>
        <v/>
      </c>
      <c r="I15" s="7">
        <f>IF(AND(G15="Yes",H15="No"),"GST charged, not registered","")</f>
        <v/>
      </c>
      <c r="J15" s="21" t="n"/>
      <c r="L15" s="21" t="n"/>
      <c r="M15" s="29" t="n"/>
      <c r="O15" s="6" t="n"/>
    </row>
    <row r="16">
      <c r="A16" s="21" t="n"/>
      <c r="D16" s="31" t="n"/>
      <c r="F16" s="29" t="n"/>
      <c r="H16" s="7">
        <f>IF(C16="","",IFERROR(INDEX('Trades'!$G$4:$G$103,MATCH(C16,'Trades'!$B$4:$B$103,0)),""))</f>
        <v/>
      </c>
      <c r="I16" s="7">
        <f>IF(AND(G16="Yes",H16="No"),"GST charged, not registered","")</f>
        <v/>
      </c>
      <c r="J16" s="21" t="n"/>
      <c r="L16" s="21" t="n"/>
      <c r="M16" s="29" t="n"/>
      <c r="O16" s="6" t="n"/>
    </row>
    <row r="17">
      <c r="A17" s="21" t="n"/>
      <c r="D17" s="31" t="n"/>
      <c r="F17" s="29" t="n"/>
      <c r="H17" s="7">
        <f>IF(C17="","",IFERROR(INDEX('Trades'!$G$4:$G$103,MATCH(C17,'Trades'!$B$4:$B$103,0)),""))</f>
        <v/>
      </c>
      <c r="I17" s="7">
        <f>IF(AND(G17="Yes",H17="No"),"GST charged, not registered","")</f>
        <v/>
      </c>
      <c r="J17" s="21" t="n"/>
      <c r="L17" s="21" t="n"/>
      <c r="M17" s="29" t="n"/>
      <c r="O17" s="6" t="n"/>
    </row>
    <row r="18">
      <c r="A18" s="21" t="n"/>
      <c r="D18" s="31" t="n"/>
      <c r="F18" s="29" t="n"/>
      <c r="H18" s="7">
        <f>IF(C18="","",IFERROR(INDEX('Trades'!$G$4:$G$103,MATCH(C18,'Trades'!$B$4:$B$103,0)),""))</f>
        <v/>
      </c>
      <c r="I18" s="7">
        <f>IF(AND(G18="Yes",H18="No"),"GST charged, not registered","")</f>
        <v/>
      </c>
      <c r="J18" s="21" t="n"/>
      <c r="L18" s="21" t="n"/>
      <c r="M18" s="29" t="n"/>
      <c r="O18" s="6" t="n"/>
    </row>
    <row r="19">
      <c r="A19" s="21" t="n"/>
      <c r="D19" s="31" t="n"/>
      <c r="F19" s="29" t="n"/>
      <c r="H19" s="7">
        <f>IF(C19="","",IFERROR(INDEX('Trades'!$G$4:$G$103,MATCH(C19,'Trades'!$B$4:$B$103,0)),""))</f>
        <v/>
      </c>
      <c r="I19" s="7">
        <f>IF(AND(G19="Yes",H19="No"),"GST charged, not registered","")</f>
        <v/>
      </c>
      <c r="J19" s="21" t="n"/>
      <c r="L19" s="21" t="n"/>
      <c r="M19" s="29" t="n"/>
      <c r="O19" s="6" t="n"/>
    </row>
    <row r="20">
      <c r="A20" s="21" t="n"/>
      <c r="D20" s="31" t="n"/>
      <c r="F20" s="29" t="n"/>
      <c r="H20" s="7">
        <f>IF(C20="","",IFERROR(INDEX('Trades'!$G$4:$G$103,MATCH(C20,'Trades'!$B$4:$B$103,0)),""))</f>
        <v/>
      </c>
      <c r="I20" s="7">
        <f>IF(AND(G20="Yes",H20="No"),"GST charged, not registered","")</f>
        <v/>
      </c>
      <c r="J20" s="21" t="n"/>
      <c r="L20" s="21" t="n"/>
      <c r="M20" s="29" t="n"/>
      <c r="O20" s="6" t="n"/>
    </row>
    <row r="21">
      <c r="A21" s="21" t="n"/>
      <c r="D21" s="31" t="n"/>
      <c r="F21" s="29" t="n"/>
      <c r="H21" s="7">
        <f>IF(C21="","",IFERROR(INDEX('Trades'!$G$4:$G$103,MATCH(C21,'Trades'!$B$4:$B$103,0)),""))</f>
        <v/>
      </c>
      <c r="I21" s="7">
        <f>IF(AND(G21="Yes",H21="No"),"GST charged, not registered","")</f>
        <v/>
      </c>
      <c r="J21" s="21" t="n"/>
      <c r="L21" s="21" t="n"/>
      <c r="M21" s="29" t="n"/>
      <c r="O21" s="6" t="n"/>
    </row>
    <row r="22">
      <c r="A22" s="21" t="n"/>
      <c r="D22" s="31" t="n"/>
      <c r="F22" s="29" t="n"/>
      <c r="H22" s="7">
        <f>IF(C22="","",IFERROR(INDEX('Trades'!$G$4:$G$103,MATCH(C22,'Trades'!$B$4:$B$103,0)),""))</f>
        <v/>
      </c>
      <c r="I22" s="7">
        <f>IF(AND(G22="Yes",H22="No"),"GST charged, not registered","")</f>
        <v/>
      </c>
      <c r="J22" s="21" t="n"/>
      <c r="L22" s="21" t="n"/>
      <c r="M22" s="29" t="n"/>
      <c r="O22" s="6" t="n"/>
    </row>
    <row r="23">
      <c r="A23" s="21" t="n"/>
      <c r="D23" s="31" t="n"/>
      <c r="F23" s="29" t="n"/>
      <c r="H23" s="7">
        <f>IF(C23="","",IFERROR(INDEX('Trades'!$G$4:$G$103,MATCH(C23,'Trades'!$B$4:$B$103,0)),""))</f>
        <v/>
      </c>
      <c r="I23" s="7">
        <f>IF(AND(G23="Yes",H23="No"),"GST charged, not registered","")</f>
        <v/>
      </c>
      <c r="J23" s="21" t="n"/>
      <c r="L23" s="21" t="n"/>
      <c r="M23" s="29" t="n"/>
      <c r="O23" s="6" t="n"/>
    </row>
    <row r="24">
      <c r="A24" s="21" t="n"/>
      <c r="D24" s="31" t="n"/>
      <c r="F24" s="29" t="n"/>
      <c r="H24" s="7">
        <f>IF(C24="","",IFERROR(INDEX('Trades'!$G$4:$G$103,MATCH(C24,'Trades'!$B$4:$B$103,0)),""))</f>
        <v/>
      </c>
      <c r="I24" s="7">
        <f>IF(AND(G24="Yes",H24="No"),"GST charged, not registered","")</f>
        <v/>
      </c>
      <c r="J24" s="21" t="n"/>
      <c r="L24" s="21" t="n"/>
      <c r="M24" s="29" t="n"/>
      <c r="O24" s="6" t="n"/>
    </row>
    <row r="25">
      <c r="A25" s="21" t="n"/>
      <c r="D25" s="31" t="n"/>
      <c r="F25" s="29" t="n"/>
      <c r="H25" s="7">
        <f>IF(C25="","",IFERROR(INDEX('Trades'!$G$4:$G$103,MATCH(C25,'Trades'!$B$4:$B$103,0)),""))</f>
        <v/>
      </c>
      <c r="I25" s="7">
        <f>IF(AND(G25="Yes",H25="No"),"GST charged, not registered","")</f>
        <v/>
      </c>
      <c r="J25" s="21" t="n"/>
      <c r="L25" s="21" t="n"/>
      <c r="M25" s="29" t="n"/>
      <c r="O25" s="6" t="n"/>
    </row>
    <row r="26">
      <c r="A26" s="21" t="n"/>
      <c r="D26" s="31" t="n"/>
      <c r="F26" s="29" t="n"/>
      <c r="H26" s="7">
        <f>IF(C26="","",IFERROR(INDEX('Trades'!$G$4:$G$103,MATCH(C26,'Trades'!$B$4:$B$103,0)),""))</f>
        <v/>
      </c>
      <c r="I26" s="7">
        <f>IF(AND(G26="Yes",H26="No"),"GST charged, not registered","")</f>
        <v/>
      </c>
      <c r="J26" s="21" t="n"/>
      <c r="L26" s="21" t="n"/>
      <c r="M26" s="29" t="n"/>
      <c r="O26" s="6" t="n"/>
    </row>
    <row r="27">
      <c r="A27" s="21" t="n"/>
      <c r="D27" s="31" t="n"/>
      <c r="F27" s="29" t="n"/>
      <c r="H27" s="7">
        <f>IF(C27="","",IFERROR(INDEX('Trades'!$G$4:$G$103,MATCH(C27,'Trades'!$B$4:$B$103,0)),""))</f>
        <v/>
      </c>
      <c r="I27" s="7">
        <f>IF(AND(G27="Yes",H27="No"),"GST charged, not registered","")</f>
        <v/>
      </c>
      <c r="J27" s="21" t="n"/>
      <c r="L27" s="21" t="n"/>
      <c r="M27" s="29" t="n"/>
      <c r="O27" s="6" t="n"/>
    </row>
    <row r="28">
      <c r="A28" s="21" t="n"/>
      <c r="D28" s="31" t="n"/>
      <c r="F28" s="29" t="n"/>
      <c r="H28" s="7">
        <f>IF(C28="","",IFERROR(INDEX('Trades'!$G$4:$G$103,MATCH(C28,'Trades'!$B$4:$B$103,0)),""))</f>
        <v/>
      </c>
      <c r="I28" s="7">
        <f>IF(AND(G28="Yes",H28="No"),"GST charged, not registered","")</f>
        <v/>
      </c>
      <c r="J28" s="21" t="n"/>
      <c r="L28" s="21" t="n"/>
      <c r="M28" s="29" t="n"/>
      <c r="O28" s="6" t="n"/>
    </row>
    <row r="29">
      <c r="A29" s="21" t="n"/>
      <c r="D29" s="31" t="n"/>
      <c r="F29" s="29" t="n"/>
      <c r="H29" s="7">
        <f>IF(C29="","",IFERROR(INDEX('Trades'!$G$4:$G$103,MATCH(C29,'Trades'!$B$4:$B$103,0)),""))</f>
        <v/>
      </c>
      <c r="I29" s="7">
        <f>IF(AND(G29="Yes",H29="No"),"GST charged, not registered","")</f>
        <v/>
      </c>
      <c r="J29" s="21" t="n"/>
      <c r="L29" s="21" t="n"/>
      <c r="M29" s="29" t="n"/>
      <c r="O29" s="6" t="n"/>
    </row>
    <row r="30">
      <c r="A30" s="21" t="n"/>
      <c r="D30" s="31" t="n"/>
      <c r="F30" s="29" t="n"/>
      <c r="H30" s="7">
        <f>IF(C30="","",IFERROR(INDEX('Trades'!$G$4:$G$103,MATCH(C30,'Trades'!$B$4:$B$103,0)),""))</f>
        <v/>
      </c>
      <c r="I30" s="7">
        <f>IF(AND(G30="Yes",H30="No"),"GST charged, not registered","")</f>
        <v/>
      </c>
      <c r="J30" s="21" t="n"/>
      <c r="L30" s="21" t="n"/>
      <c r="M30" s="29" t="n"/>
      <c r="O30" s="6" t="n"/>
    </row>
    <row r="31">
      <c r="A31" s="21" t="n"/>
      <c r="D31" s="31" t="n"/>
      <c r="F31" s="29" t="n"/>
      <c r="H31" s="7">
        <f>IF(C31="","",IFERROR(INDEX('Trades'!$G$4:$G$103,MATCH(C31,'Trades'!$B$4:$B$103,0)),""))</f>
        <v/>
      </c>
      <c r="I31" s="7">
        <f>IF(AND(G31="Yes",H31="No"),"GST charged, not registered","")</f>
        <v/>
      </c>
      <c r="J31" s="21" t="n"/>
      <c r="L31" s="21" t="n"/>
      <c r="M31" s="29" t="n"/>
      <c r="O31" s="6" t="n"/>
    </row>
    <row r="32">
      <c r="A32" s="21" t="n"/>
      <c r="D32" s="31" t="n"/>
      <c r="F32" s="29" t="n"/>
      <c r="H32" s="7">
        <f>IF(C32="","",IFERROR(INDEX('Trades'!$G$4:$G$103,MATCH(C32,'Trades'!$B$4:$B$103,0)),""))</f>
        <v/>
      </c>
      <c r="I32" s="7">
        <f>IF(AND(G32="Yes",H32="No"),"GST charged, not registered","")</f>
        <v/>
      </c>
      <c r="J32" s="21" t="n"/>
      <c r="L32" s="21" t="n"/>
      <c r="M32" s="29" t="n"/>
      <c r="O32" s="6" t="n"/>
    </row>
    <row r="33">
      <c r="A33" s="21" t="n"/>
      <c r="D33" s="31" t="n"/>
      <c r="F33" s="29" t="n"/>
      <c r="H33" s="7">
        <f>IF(C33="","",IFERROR(INDEX('Trades'!$G$4:$G$103,MATCH(C33,'Trades'!$B$4:$B$103,0)),""))</f>
        <v/>
      </c>
      <c r="I33" s="7">
        <f>IF(AND(G33="Yes",H33="No"),"GST charged, not registered","")</f>
        <v/>
      </c>
      <c r="J33" s="21" t="n"/>
      <c r="L33" s="21" t="n"/>
      <c r="M33" s="29" t="n"/>
      <c r="O33" s="6" t="n"/>
    </row>
    <row r="34">
      <c r="A34" s="21" t="n"/>
      <c r="D34" s="31" t="n"/>
      <c r="F34" s="29" t="n"/>
      <c r="H34" s="7">
        <f>IF(C34="","",IFERROR(INDEX('Trades'!$G$4:$G$103,MATCH(C34,'Trades'!$B$4:$B$103,0)),""))</f>
        <v/>
      </c>
      <c r="I34" s="7">
        <f>IF(AND(G34="Yes",H34="No"),"GST charged, not registered","")</f>
        <v/>
      </c>
      <c r="J34" s="21" t="n"/>
      <c r="L34" s="21" t="n"/>
      <c r="M34" s="29" t="n"/>
      <c r="O34" s="6" t="n"/>
    </row>
    <row r="35">
      <c r="A35" s="21" t="n"/>
      <c r="D35" s="31" t="n"/>
      <c r="F35" s="29" t="n"/>
      <c r="H35" s="7">
        <f>IF(C35="","",IFERROR(INDEX('Trades'!$G$4:$G$103,MATCH(C35,'Trades'!$B$4:$B$103,0)),""))</f>
        <v/>
      </c>
      <c r="I35" s="7">
        <f>IF(AND(G35="Yes",H35="No"),"GST charged, not registered","")</f>
        <v/>
      </c>
      <c r="J35" s="21" t="n"/>
      <c r="L35" s="21" t="n"/>
      <c r="M35" s="29" t="n"/>
      <c r="O35" s="6" t="n"/>
    </row>
    <row r="36">
      <c r="A36" s="21" t="n"/>
      <c r="D36" s="31" t="n"/>
      <c r="F36" s="29" t="n"/>
      <c r="H36" s="7">
        <f>IF(C36="","",IFERROR(INDEX('Trades'!$G$4:$G$103,MATCH(C36,'Trades'!$B$4:$B$103,0)),""))</f>
        <v/>
      </c>
      <c r="I36" s="7">
        <f>IF(AND(G36="Yes",H36="No"),"GST charged, not registered","")</f>
        <v/>
      </c>
      <c r="J36" s="21" t="n"/>
      <c r="L36" s="21" t="n"/>
      <c r="M36" s="29" t="n"/>
      <c r="O36" s="6" t="n"/>
    </row>
    <row r="37">
      <c r="A37" s="21" t="n"/>
      <c r="D37" s="31" t="n"/>
      <c r="F37" s="29" t="n"/>
      <c r="H37" s="7">
        <f>IF(C37="","",IFERROR(INDEX('Trades'!$G$4:$G$103,MATCH(C37,'Trades'!$B$4:$B$103,0)),""))</f>
        <v/>
      </c>
      <c r="I37" s="7">
        <f>IF(AND(G37="Yes",H37="No"),"GST charged, not registered","")</f>
        <v/>
      </c>
      <c r="J37" s="21" t="n"/>
      <c r="L37" s="21" t="n"/>
      <c r="M37" s="29" t="n"/>
      <c r="O37" s="6" t="n"/>
    </row>
    <row r="38">
      <c r="A38" s="21" t="n"/>
      <c r="D38" s="31" t="n"/>
      <c r="F38" s="29" t="n"/>
      <c r="H38" s="7">
        <f>IF(C38="","",IFERROR(INDEX('Trades'!$G$4:$G$103,MATCH(C38,'Trades'!$B$4:$B$103,0)),""))</f>
        <v/>
      </c>
      <c r="I38" s="7">
        <f>IF(AND(G38="Yes",H38="No"),"GST charged, not registered","")</f>
        <v/>
      </c>
      <c r="J38" s="21" t="n"/>
      <c r="L38" s="21" t="n"/>
      <c r="M38" s="29" t="n"/>
      <c r="O38" s="6" t="n"/>
    </row>
    <row r="39">
      <c r="A39" s="21" t="n"/>
      <c r="D39" s="31" t="n"/>
      <c r="F39" s="29" t="n"/>
      <c r="H39" s="7">
        <f>IF(C39="","",IFERROR(INDEX('Trades'!$G$4:$G$103,MATCH(C39,'Trades'!$B$4:$B$103,0)),""))</f>
        <v/>
      </c>
      <c r="I39" s="7">
        <f>IF(AND(G39="Yes",H39="No"),"GST charged, not registered","")</f>
        <v/>
      </c>
      <c r="J39" s="21" t="n"/>
      <c r="L39" s="21" t="n"/>
      <c r="M39" s="29" t="n"/>
      <c r="O39" s="6" t="n"/>
    </row>
    <row r="40">
      <c r="A40" s="21" t="n"/>
      <c r="D40" s="31" t="n"/>
      <c r="F40" s="29" t="n"/>
      <c r="H40" s="7">
        <f>IF(C40="","",IFERROR(INDEX('Trades'!$G$4:$G$103,MATCH(C40,'Trades'!$B$4:$B$103,0)),""))</f>
        <v/>
      </c>
      <c r="I40" s="7">
        <f>IF(AND(G40="Yes",H40="No"),"GST charged, not registered","")</f>
        <v/>
      </c>
      <c r="J40" s="21" t="n"/>
      <c r="L40" s="21" t="n"/>
      <c r="M40" s="29" t="n"/>
      <c r="O40" s="6" t="n"/>
    </row>
    <row r="41">
      <c r="A41" s="21" t="n"/>
      <c r="D41" s="31" t="n"/>
      <c r="F41" s="29" t="n"/>
      <c r="H41" s="7">
        <f>IF(C41="","",IFERROR(INDEX('Trades'!$G$4:$G$103,MATCH(C41,'Trades'!$B$4:$B$103,0)),""))</f>
        <v/>
      </c>
      <c r="I41" s="7">
        <f>IF(AND(G41="Yes",H41="No"),"GST charged, not registered","")</f>
        <v/>
      </c>
      <c r="J41" s="21" t="n"/>
      <c r="L41" s="21" t="n"/>
      <c r="M41" s="29" t="n"/>
      <c r="O41" s="6" t="n"/>
    </row>
    <row r="42">
      <c r="A42" s="21" t="n"/>
      <c r="D42" s="31" t="n"/>
      <c r="F42" s="29" t="n"/>
      <c r="H42" s="7">
        <f>IF(C42="","",IFERROR(INDEX('Trades'!$G$4:$G$103,MATCH(C42,'Trades'!$B$4:$B$103,0)),""))</f>
        <v/>
      </c>
      <c r="I42" s="7">
        <f>IF(AND(G42="Yes",H42="No"),"GST charged, not registered","")</f>
        <v/>
      </c>
      <c r="J42" s="21" t="n"/>
      <c r="L42" s="21" t="n"/>
      <c r="M42" s="29" t="n"/>
      <c r="O42" s="6" t="n"/>
    </row>
    <row r="43">
      <c r="A43" s="21" t="n"/>
      <c r="D43" s="31" t="n"/>
      <c r="F43" s="29" t="n"/>
      <c r="H43" s="7">
        <f>IF(C43="","",IFERROR(INDEX('Trades'!$G$4:$G$103,MATCH(C43,'Trades'!$B$4:$B$103,0)),""))</f>
        <v/>
      </c>
      <c r="I43" s="7">
        <f>IF(AND(G43="Yes",H43="No"),"GST charged, not registered","")</f>
        <v/>
      </c>
      <c r="J43" s="21" t="n"/>
      <c r="L43" s="21" t="n"/>
      <c r="M43" s="29" t="n"/>
      <c r="O43" s="6" t="n"/>
    </row>
    <row r="44">
      <c r="A44" s="21" t="n"/>
      <c r="D44" s="31" t="n"/>
      <c r="F44" s="29" t="n"/>
      <c r="H44" s="7">
        <f>IF(C44="","",IFERROR(INDEX('Trades'!$G$4:$G$103,MATCH(C44,'Trades'!$B$4:$B$103,0)),""))</f>
        <v/>
      </c>
      <c r="I44" s="7">
        <f>IF(AND(G44="Yes",H44="No"),"GST charged, not registered","")</f>
        <v/>
      </c>
      <c r="J44" s="21" t="n"/>
      <c r="L44" s="21" t="n"/>
      <c r="M44" s="29" t="n"/>
      <c r="O44" s="6" t="n"/>
    </row>
    <row r="45">
      <c r="A45" s="21" t="n"/>
      <c r="D45" s="31" t="n"/>
      <c r="F45" s="29" t="n"/>
      <c r="H45" s="7">
        <f>IF(C45="","",IFERROR(INDEX('Trades'!$G$4:$G$103,MATCH(C45,'Trades'!$B$4:$B$103,0)),""))</f>
        <v/>
      </c>
      <c r="I45" s="7">
        <f>IF(AND(G45="Yes",H45="No"),"GST charged, not registered","")</f>
        <v/>
      </c>
      <c r="J45" s="21" t="n"/>
      <c r="L45" s="21" t="n"/>
      <c r="M45" s="29" t="n"/>
      <c r="O45" s="6" t="n"/>
    </row>
    <row r="46">
      <c r="A46" s="21" t="n"/>
      <c r="D46" s="31" t="n"/>
      <c r="F46" s="29" t="n"/>
      <c r="H46" s="7">
        <f>IF(C46="","",IFERROR(INDEX('Trades'!$G$4:$G$103,MATCH(C46,'Trades'!$B$4:$B$103,0)),""))</f>
        <v/>
      </c>
      <c r="I46" s="7">
        <f>IF(AND(G46="Yes",H46="No"),"GST charged, not registered","")</f>
        <v/>
      </c>
      <c r="J46" s="21" t="n"/>
      <c r="L46" s="21" t="n"/>
      <c r="M46" s="29" t="n"/>
      <c r="O46" s="6" t="n"/>
    </row>
    <row r="47">
      <c r="A47" s="21" t="n"/>
      <c r="D47" s="31" t="n"/>
      <c r="F47" s="29" t="n"/>
      <c r="H47" s="7">
        <f>IF(C47="","",IFERROR(INDEX('Trades'!$G$4:$G$103,MATCH(C47,'Trades'!$B$4:$B$103,0)),""))</f>
        <v/>
      </c>
      <c r="I47" s="7">
        <f>IF(AND(G47="Yes",H47="No"),"GST charged, not registered","")</f>
        <v/>
      </c>
      <c r="J47" s="21" t="n"/>
      <c r="L47" s="21" t="n"/>
      <c r="M47" s="29" t="n"/>
      <c r="O47" s="6" t="n"/>
    </row>
    <row r="48">
      <c r="A48" s="21" t="n"/>
      <c r="D48" s="31" t="n"/>
      <c r="F48" s="29" t="n"/>
      <c r="H48" s="7">
        <f>IF(C48="","",IFERROR(INDEX('Trades'!$G$4:$G$103,MATCH(C48,'Trades'!$B$4:$B$103,0)),""))</f>
        <v/>
      </c>
      <c r="I48" s="7">
        <f>IF(AND(G48="Yes",H48="No"),"GST charged, not registered","")</f>
        <v/>
      </c>
      <c r="J48" s="21" t="n"/>
      <c r="L48" s="21" t="n"/>
      <c r="M48" s="29" t="n"/>
      <c r="O48" s="6" t="n"/>
    </row>
    <row r="49">
      <c r="A49" s="21" t="n"/>
      <c r="D49" s="31" t="n"/>
      <c r="F49" s="29" t="n"/>
      <c r="H49" s="7">
        <f>IF(C49="","",IFERROR(INDEX('Trades'!$G$4:$G$103,MATCH(C49,'Trades'!$B$4:$B$103,0)),""))</f>
        <v/>
      </c>
      <c r="I49" s="7">
        <f>IF(AND(G49="Yes",H49="No"),"GST charged, not registered","")</f>
        <v/>
      </c>
      <c r="J49" s="21" t="n"/>
      <c r="L49" s="21" t="n"/>
      <c r="M49" s="29" t="n"/>
      <c r="O49" s="6" t="n"/>
    </row>
    <row r="50">
      <c r="A50" s="21" t="n"/>
      <c r="D50" s="31" t="n"/>
      <c r="F50" s="29" t="n"/>
      <c r="H50" s="7">
        <f>IF(C50="","",IFERROR(INDEX('Trades'!$G$4:$G$103,MATCH(C50,'Trades'!$B$4:$B$103,0)),""))</f>
        <v/>
      </c>
      <c r="I50" s="7">
        <f>IF(AND(G50="Yes",H50="No"),"GST charged, not registered","")</f>
        <v/>
      </c>
      <c r="J50" s="21" t="n"/>
      <c r="L50" s="21" t="n"/>
      <c r="M50" s="29" t="n"/>
      <c r="O50" s="6" t="n"/>
    </row>
    <row r="51">
      <c r="A51" s="21" t="n"/>
      <c r="D51" s="31" t="n"/>
      <c r="F51" s="29" t="n"/>
      <c r="H51" s="7">
        <f>IF(C51="","",IFERROR(INDEX('Trades'!$G$4:$G$103,MATCH(C51,'Trades'!$B$4:$B$103,0)),""))</f>
        <v/>
      </c>
      <c r="I51" s="7">
        <f>IF(AND(G51="Yes",H51="No"),"GST charged, not registered","")</f>
        <v/>
      </c>
      <c r="J51" s="21" t="n"/>
      <c r="L51" s="21" t="n"/>
      <c r="M51" s="29" t="n"/>
      <c r="O51" s="6" t="n"/>
    </row>
    <row r="52">
      <c r="A52" s="21" t="n"/>
      <c r="D52" s="31" t="n"/>
      <c r="F52" s="29" t="n"/>
      <c r="H52" s="7">
        <f>IF(C52="","",IFERROR(INDEX('Trades'!$G$4:$G$103,MATCH(C52,'Trades'!$B$4:$B$103,0)),""))</f>
        <v/>
      </c>
      <c r="I52" s="7">
        <f>IF(AND(G52="Yes",H52="No"),"GST charged, not registered","")</f>
        <v/>
      </c>
      <c r="J52" s="21" t="n"/>
      <c r="L52" s="21" t="n"/>
      <c r="M52" s="29" t="n"/>
      <c r="O52" s="6" t="n"/>
    </row>
    <row r="53">
      <c r="A53" s="21" t="n"/>
      <c r="D53" s="31" t="n"/>
      <c r="F53" s="29" t="n"/>
      <c r="H53" s="7">
        <f>IF(C53="","",IFERROR(INDEX('Trades'!$G$4:$G$103,MATCH(C53,'Trades'!$B$4:$B$103,0)),""))</f>
        <v/>
      </c>
      <c r="I53" s="7">
        <f>IF(AND(G53="Yes",H53="No"),"GST charged, not registered","")</f>
        <v/>
      </c>
      <c r="J53" s="21" t="n"/>
      <c r="L53" s="21" t="n"/>
      <c r="M53" s="29" t="n"/>
      <c r="O53" s="6" t="n"/>
    </row>
    <row r="54">
      <c r="A54" s="21" t="n"/>
      <c r="D54" s="31" t="n"/>
      <c r="F54" s="29" t="n"/>
      <c r="H54" s="7">
        <f>IF(C54="","",IFERROR(INDEX('Trades'!$G$4:$G$103,MATCH(C54,'Trades'!$B$4:$B$103,0)),""))</f>
        <v/>
      </c>
      <c r="I54" s="7">
        <f>IF(AND(G54="Yes",H54="No"),"GST charged, not registered","")</f>
        <v/>
      </c>
      <c r="J54" s="21" t="n"/>
      <c r="L54" s="21" t="n"/>
      <c r="M54" s="29" t="n"/>
      <c r="O54" s="6" t="n"/>
    </row>
    <row r="55">
      <c r="A55" s="21" t="n"/>
      <c r="D55" s="31" t="n"/>
      <c r="F55" s="29" t="n"/>
      <c r="H55" s="7">
        <f>IF(C55="","",IFERROR(INDEX('Trades'!$G$4:$G$103,MATCH(C55,'Trades'!$B$4:$B$103,0)),""))</f>
        <v/>
      </c>
      <c r="I55" s="7">
        <f>IF(AND(G55="Yes",H55="No"),"GST charged, not registered","")</f>
        <v/>
      </c>
      <c r="J55" s="21" t="n"/>
      <c r="L55" s="21" t="n"/>
      <c r="M55" s="29" t="n"/>
      <c r="O55" s="6" t="n"/>
    </row>
    <row r="56">
      <c r="A56" s="21" t="n"/>
      <c r="D56" s="31" t="n"/>
      <c r="F56" s="29" t="n"/>
      <c r="H56" s="7">
        <f>IF(C56="","",IFERROR(INDEX('Trades'!$G$4:$G$103,MATCH(C56,'Trades'!$B$4:$B$103,0)),""))</f>
        <v/>
      </c>
      <c r="I56" s="7">
        <f>IF(AND(G56="Yes",H56="No"),"GST charged, not registered","")</f>
        <v/>
      </c>
      <c r="J56" s="21" t="n"/>
      <c r="L56" s="21" t="n"/>
      <c r="M56" s="29" t="n"/>
      <c r="O56" s="6" t="n"/>
    </row>
    <row r="57">
      <c r="A57" s="21" t="n"/>
      <c r="D57" s="31" t="n"/>
      <c r="F57" s="29" t="n"/>
      <c r="H57" s="7">
        <f>IF(C57="","",IFERROR(INDEX('Trades'!$G$4:$G$103,MATCH(C57,'Trades'!$B$4:$B$103,0)),""))</f>
        <v/>
      </c>
      <c r="I57" s="7">
        <f>IF(AND(G57="Yes",H57="No"),"GST charged, not registered","")</f>
        <v/>
      </c>
      <c r="J57" s="21" t="n"/>
      <c r="L57" s="21" t="n"/>
      <c r="M57" s="29" t="n"/>
      <c r="O57" s="6" t="n"/>
    </row>
    <row r="58">
      <c r="A58" s="21" t="n"/>
      <c r="D58" s="31" t="n"/>
      <c r="F58" s="29" t="n"/>
      <c r="H58" s="7">
        <f>IF(C58="","",IFERROR(INDEX('Trades'!$G$4:$G$103,MATCH(C58,'Trades'!$B$4:$B$103,0)),""))</f>
        <v/>
      </c>
      <c r="I58" s="7">
        <f>IF(AND(G58="Yes",H58="No"),"GST charged, not registered","")</f>
        <v/>
      </c>
      <c r="J58" s="21" t="n"/>
      <c r="L58" s="21" t="n"/>
      <c r="M58" s="29" t="n"/>
      <c r="O58" s="6" t="n"/>
    </row>
    <row r="59">
      <c r="A59" s="21" t="n"/>
      <c r="D59" s="31" t="n"/>
      <c r="F59" s="29" t="n"/>
      <c r="H59" s="7">
        <f>IF(C59="","",IFERROR(INDEX('Trades'!$G$4:$G$103,MATCH(C59,'Trades'!$B$4:$B$103,0)),""))</f>
        <v/>
      </c>
      <c r="I59" s="7">
        <f>IF(AND(G59="Yes",H59="No"),"GST charged, not registered","")</f>
        <v/>
      </c>
      <c r="J59" s="21" t="n"/>
      <c r="L59" s="21" t="n"/>
      <c r="M59" s="29" t="n"/>
      <c r="O59" s="6" t="n"/>
    </row>
    <row r="60">
      <c r="A60" s="21" t="n"/>
      <c r="D60" s="31" t="n"/>
      <c r="F60" s="29" t="n"/>
      <c r="H60" s="7">
        <f>IF(C60="","",IFERROR(INDEX('Trades'!$G$4:$G$103,MATCH(C60,'Trades'!$B$4:$B$103,0)),""))</f>
        <v/>
      </c>
      <c r="I60" s="7">
        <f>IF(AND(G60="Yes",H60="No"),"GST charged, not registered","")</f>
        <v/>
      </c>
      <c r="J60" s="21" t="n"/>
      <c r="L60" s="21" t="n"/>
      <c r="M60" s="29" t="n"/>
      <c r="O60" s="6" t="n"/>
    </row>
    <row r="61">
      <c r="A61" s="21" t="n"/>
      <c r="D61" s="31" t="n"/>
      <c r="F61" s="29" t="n"/>
      <c r="H61" s="7">
        <f>IF(C61="","",IFERROR(INDEX('Trades'!$G$4:$G$103,MATCH(C61,'Trades'!$B$4:$B$103,0)),""))</f>
        <v/>
      </c>
      <c r="I61" s="7">
        <f>IF(AND(G61="Yes",H61="No"),"GST charged, not registered","")</f>
        <v/>
      </c>
      <c r="J61" s="21" t="n"/>
      <c r="L61" s="21" t="n"/>
      <c r="M61" s="29" t="n"/>
      <c r="O61" s="6" t="n"/>
    </row>
    <row r="62">
      <c r="A62" s="21" t="n"/>
      <c r="D62" s="31" t="n"/>
      <c r="F62" s="29" t="n"/>
      <c r="H62" s="7">
        <f>IF(C62="","",IFERROR(INDEX('Trades'!$G$4:$G$103,MATCH(C62,'Trades'!$B$4:$B$103,0)),""))</f>
        <v/>
      </c>
      <c r="I62" s="7">
        <f>IF(AND(G62="Yes",H62="No"),"GST charged, not registered","")</f>
        <v/>
      </c>
      <c r="J62" s="21" t="n"/>
      <c r="L62" s="21" t="n"/>
      <c r="M62" s="29" t="n"/>
      <c r="O62" s="6" t="n"/>
    </row>
    <row r="63">
      <c r="A63" s="21" t="n"/>
      <c r="D63" s="31" t="n"/>
      <c r="F63" s="29" t="n"/>
      <c r="H63" s="7">
        <f>IF(C63="","",IFERROR(INDEX('Trades'!$G$4:$G$103,MATCH(C63,'Trades'!$B$4:$B$103,0)),""))</f>
        <v/>
      </c>
      <c r="I63" s="7">
        <f>IF(AND(G63="Yes",H63="No"),"GST charged, not registered","")</f>
        <v/>
      </c>
      <c r="J63" s="21" t="n"/>
      <c r="L63" s="21" t="n"/>
      <c r="M63" s="29" t="n"/>
      <c r="O63" s="6" t="n"/>
    </row>
    <row r="64">
      <c r="A64" s="21" t="n"/>
      <c r="D64" s="31" t="n"/>
      <c r="F64" s="29" t="n"/>
      <c r="H64" s="7">
        <f>IF(C64="","",IFERROR(INDEX('Trades'!$G$4:$G$103,MATCH(C64,'Trades'!$B$4:$B$103,0)),""))</f>
        <v/>
      </c>
      <c r="I64" s="7">
        <f>IF(AND(G64="Yes",H64="No"),"GST charged, not registered","")</f>
        <v/>
      </c>
      <c r="J64" s="21" t="n"/>
      <c r="L64" s="21" t="n"/>
      <c r="M64" s="29" t="n"/>
      <c r="O64" s="6" t="n"/>
    </row>
    <row r="65">
      <c r="A65" s="21" t="n"/>
      <c r="D65" s="31" t="n"/>
      <c r="F65" s="29" t="n"/>
      <c r="H65" s="7">
        <f>IF(C65="","",IFERROR(INDEX('Trades'!$G$4:$G$103,MATCH(C65,'Trades'!$B$4:$B$103,0)),""))</f>
        <v/>
      </c>
      <c r="I65" s="7">
        <f>IF(AND(G65="Yes",H65="No"),"GST charged, not registered","")</f>
        <v/>
      </c>
      <c r="J65" s="21" t="n"/>
      <c r="L65" s="21" t="n"/>
      <c r="M65" s="29" t="n"/>
      <c r="O65" s="6" t="n"/>
    </row>
    <row r="66">
      <c r="A66" s="21" t="n"/>
      <c r="D66" s="31" t="n"/>
      <c r="F66" s="29" t="n"/>
      <c r="H66" s="7">
        <f>IF(C66="","",IFERROR(INDEX('Trades'!$G$4:$G$103,MATCH(C66,'Trades'!$B$4:$B$103,0)),""))</f>
        <v/>
      </c>
      <c r="I66" s="7">
        <f>IF(AND(G66="Yes",H66="No"),"GST charged, not registered","")</f>
        <v/>
      </c>
      <c r="J66" s="21" t="n"/>
      <c r="L66" s="21" t="n"/>
      <c r="M66" s="29" t="n"/>
      <c r="O66" s="6" t="n"/>
    </row>
    <row r="67">
      <c r="A67" s="21" t="n"/>
      <c r="D67" s="31" t="n"/>
      <c r="F67" s="29" t="n"/>
      <c r="H67" s="7">
        <f>IF(C67="","",IFERROR(INDEX('Trades'!$G$4:$G$103,MATCH(C67,'Trades'!$B$4:$B$103,0)),""))</f>
        <v/>
      </c>
      <c r="I67" s="7">
        <f>IF(AND(G67="Yes",H67="No"),"GST charged, not registered","")</f>
        <v/>
      </c>
      <c r="J67" s="21" t="n"/>
      <c r="L67" s="21" t="n"/>
      <c r="M67" s="29" t="n"/>
      <c r="O67" s="6" t="n"/>
    </row>
    <row r="68">
      <c r="A68" s="21" t="n"/>
      <c r="D68" s="31" t="n"/>
      <c r="F68" s="29" t="n"/>
      <c r="H68" s="7">
        <f>IF(C68="","",IFERROR(INDEX('Trades'!$G$4:$G$103,MATCH(C68,'Trades'!$B$4:$B$103,0)),""))</f>
        <v/>
      </c>
      <c r="I68" s="7">
        <f>IF(AND(G68="Yes",H68="No"),"GST charged, not registered","")</f>
        <v/>
      </c>
      <c r="J68" s="21" t="n"/>
      <c r="L68" s="21" t="n"/>
      <c r="M68" s="29" t="n"/>
      <c r="O68" s="6" t="n"/>
    </row>
    <row r="69">
      <c r="A69" s="21" t="n"/>
      <c r="D69" s="31" t="n"/>
      <c r="F69" s="29" t="n"/>
      <c r="H69" s="7">
        <f>IF(C69="","",IFERROR(INDEX('Trades'!$G$4:$G$103,MATCH(C69,'Trades'!$B$4:$B$103,0)),""))</f>
        <v/>
      </c>
      <c r="I69" s="7">
        <f>IF(AND(G69="Yes",H69="No"),"GST charged, not registered","")</f>
        <v/>
      </c>
      <c r="J69" s="21" t="n"/>
      <c r="L69" s="21" t="n"/>
      <c r="M69" s="29" t="n"/>
      <c r="O69" s="6" t="n"/>
    </row>
    <row r="70">
      <c r="A70" s="21" t="n"/>
      <c r="D70" s="31" t="n"/>
      <c r="F70" s="29" t="n"/>
      <c r="H70" s="7">
        <f>IF(C70="","",IFERROR(INDEX('Trades'!$G$4:$G$103,MATCH(C70,'Trades'!$B$4:$B$103,0)),""))</f>
        <v/>
      </c>
      <c r="I70" s="7">
        <f>IF(AND(G70="Yes",H70="No"),"GST charged, not registered","")</f>
        <v/>
      </c>
      <c r="J70" s="21" t="n"/>
      <c r="L70" s="21" t="n"/>
      <c r="M70" s="29" t="n"/>
      <c r="O70" s="6" t="n"/>
    </row>
    <row r="71">
      <c r="A71" s="21" t="n"/>
      <c r="D71" s="31" t="n"/>
      <c r="F71" s="29" t="n"/>
      <c r="H71" s="7">
        <f>IF(C71="","",IFERROR(INDEX('Trades'!$G$4:$G$103,MATCH(C71,'Trades'!$B$4:$B$103,0)),""))</f>
        <v/>
      </c>
      <c r="I71" s="7">
        <f>IF(AND(G71="Yes",H71="No"),"GST charged, not registered","")</f>
        <v/>
      </c>
      <c r="J71" s="21" t="n"/>
      <c r="L71" s="21" t="n"/>
      <c r="M71" s="29" t="n"/>
      <c r="O71" s="6" t="n"/>
    </row>
    <row r="72">
      <c r="A72" s="21" t="n"/>
      <c r="D72" s="31" t="n"/>
      <c r="F72" s="29" t="n"/>
      <c r="H72" s="7">
        <f>IF(C72="","",IFERROR(INDEX('Trades'!$G$4:$G$103,MATCH(C72,'Trades'!$B$4:$B$103,0)),""))</f>
        <v/>
      </c>
      <c r="I72" s="7">
        <f>IF(AND(G72="Yes",H72="No"),"GST charged, not registered","")</f>
        <v/>
      </c>
      <c r="J72" s="21" t="n"/>
      <c r="L72" s="21" t="n"/>
      <c r="M72" s="29" t="n"/>
      <c r="O72" s="6" t="n"/>
    </row>
    <row r="73">
      <c r="A73" s="21" t="n"/>
      <c r="D73" s="31" t="n"/>
      <c r="F73" s="29" t="n"/>
      <c r="H73" s="7">
        <f>IF(C73="","",IFERROR(INDEX('Trades'!$G$4:$G$103,MATCH(C73,'Trades'!$B$4:$B$103,0)),""))</f>
        <v/>
      </c>
      <c r="I73" s="7">
        <f>IF(AND(G73="Yes",H73="No"),"GST charged, not registered","")</f>
        <v/>
      </c>
      <c r="J73" s="21" t="n"/>
      <c r="L73" s="21" t="n"/>
      <c r="M73" s="29" t="n"/>
      <c r="O73" s="6" t="n"/>
    </row>
    <row r="74">
      <c r="A74" s="21" t="n"/>
      <c r="D74" s="31" t="n"/>
      <c r="F74" s="29" t="n"/>
      <c r="H74" s="7">
        <f>IF(C74="","",IFERROR(INDEX('Trades'!$G$4:$G$103,MATCH(C74,'Trades'!$B$4:$B$103,0)),""))</f>
        <v/>
      </c>
      <c r="I74" s="7">
        <f>IF(AND(G74="Yes",H74="No"),"GST charged, not registered","")</f>
        <v/>
      </c>
      <c r="J74" s="21" t="n"/>
      <c r="L74" s="21" t="n"/>
      <c r="M74" s="29" t="n"/>
      <c r="O74" s="6" t="n"/>
    </row>
    <row r="75">
      <c r="A75" s="21" t="n"/>
      <c r="D75" s="31" t="n"/>
      <c r="F75" s="29" t="n"/>
      <c r="H75" s="7">
        <f>IF(C75="","",IFERROR(INDEX('Trades'!$G$4:$G$103,MATCH(C75,'Trades'!$B$4:$B$103,0)),""))</f>
        <v/>
      </c>
      <c r="I75" s="7">
        <f>IF(AND(G75="Yes",H75="No"),"GST charged, not registered","")</f>
        <v/>
      </c>
      <c r="J75" s="21" t="n"/>
      <c r="L75" s="21" t="n"/>
      <c r="M75" s="29" t="n"/>
      <c r="O75" s="6" t="n"/>
    </row>
    <row r="76">
      <c r="A76" s="21" t="n"/>
      <c r="D76" s="31" t="n"/>
      <c r="F76" s="29" t="n"/>
      <c r="H76" s="7">
        <f>IF(C76="","",IFERROR(INDEX('Trades'!$G$4:$G$103,MATCH(C76,'Trades'!$B$4:$B$103,0)),""))</f>
        <v/>
      </c>
      <c r="I76" s="7">
        <f>IF(AND(G76="Yes",H76="No"),"GST charged, not registered","")</f>
        <v/>
      </c>
      <c r="J76" s="21" t="n"/>
      <c r="L76" s="21" t="n"/>
      <c r="M76" s="29" t="n"/>
      <c r="O76" s="6" t="n"/>
    </row>
    <row r="77">
      <c r="A77" s="21" t="n"/>
      <c r="D77" s="31" t="n"/>
      <c r="F77" s="29" t="n"/>
      <c r="H77" s="7">
        <f>IF(C77="","",IFERROR(INDEX('Trades'!$G$4:$G$103,MATCH(C77,'Trades'!$B$4:$B$103,0)),""))</f>
        <v/>
      </c>
      <c r="I77" s="7">
        <f>IF(AND(G77="Yes",H77="No"),"GST charged, not registered","")</f>
        <v/>
      </c>
      <c r="J77" s="21" t="n"/>
      <c r="L77" s="21" t="n"/>
      <c r="M77" s="29" t="n"/>
      <c r="O77" s="6" t="n"/>
    </row>
    <row r="78">
      <c r="A78" s="21" t="n"/>
      <c r="D78" s="31" t="n"/>
      <c r="F78" s="29" t="n"/>
      <c r="H78" s="7">
        <f>IF(C78="","",IFERROR(INDEX('Trades'!$G$4:$G$103,MATCH(C78,'Trades'!$B$4:$B$103,0)),""))</f>
        <v/>
      </c>
      <c r="I78" s="7">
        <f>IF(AND(G78="Yes",H78="No"),"GST charged, not registered","")</f>
        <v/>
      </c>
      <c r="J78" s="21" t="n"/>
      <c r="L78" s="21" t="n"/>
      <c r="M78" s="29" t="n"/>
      <c r="O78" s="6" t="n"/>
    </row>
    <row r="79">
      <c r="A79" s="21" t="n"/>
      <c r="D79" s="31" t="n"/>
      <c r="F79" s="29" t="n"/>
      <c r="H79" s="7">
        <f>IF(C79="","",IFERROR(INDEX('Trades'!$G$4:$G$103,MATCH(C79,'Trades'!$B$4:$B$103,0)),""))</f>
        <v/>
      </c>
      <c r="I79" s="7">
        <f>IF(AND(G79="Yes",H79="No"),"GST charged, not registered","")</f>
        <v/>
      </c>
      <c r="J79" s="21" t="n"/>
      <c r="L79" s="21" t="n"/>
      <c r="M79" s="29" t="n"/>
      <c r="O79" s="6" t="n"/>
    </row>
    <row r="80">
      <c r="A80" s="21" t="n"/>
      <c r="D80" s="31" t="n"/>
      <c r="F80" s="29" t="n"/>
      <c r="H80" s="7">
        <f>IF(C80="","",IFERROR(INDEX('Trades'!$G$4:$G$103,MATCH(C80,'Trades'!$B$4:$B$103,0)),""))</f>
        <v/>
      </c>
      <c r="I80" s="7">
        <f>IF(AND(G80="Yes",H80="No"),"GST charged, not registered","")</f>
        <v/>
      </c>
      <c r="J80" s="21" t="n"/>
      <c r="L80" s="21" t="n"/>
      <c r="M80" s="29" t="n"/>
      <c r="O80" s="6" t="n"/>
    </row>
    <row r="81">
      <c r="A81" s="21" t="n"/>
      <c r="D81" s="31" t="n"/>
      <c r="F81" s="29" t="n"/>
      <c r="H81" s="7">
        <f>IF(C81="","",IFERROR(INDEX('Trades'!$G$4:$G$103,MATCH(C81,'Trades'!$B$4:$B$103,0)),""))</f>
        <v/>
      </c>
      <c r="I81" s="7">
        <f>IF(AND(G81="Yes",H81="No"),"GST charged, not registered","")</f>
        <v/>
      </c>
      <c r="J81" s="21" t="n"/>
      <c r="L81" s="21" t="n"/>
      <c r="M81" s="29" t="n"/>
      <c r="O81" s="6" t="n"/>
    </row>
    <row r="82">
      <c r="A82" s="21" t="n"/>
      <c r="D82" s="31" t="n"/>
      <c r="F82" s="29" t="n"/>
      <c r="H82" s="7">
        <f>IF(C82="","",IFERROR(INDEX('Trades'!$G$4:$G$103,MATCH(C82,'Trades'!$B$4:$B$103,0)),""))</f>
        <v/>
      </c>
      <c r="I82" s="7">
        <f>IF(AND(G82="Yes",H82="No"),"GST charged, not registered","")</f>
        <v/>
      </c>
      <c r="J82" s="21" t="n"/>
      <c r="L82" s="21" t="n"/>
      <c r="M82" s="29" t="n"/>
      <c r="O82" s="6" t="n"/>
    </row>
    <row r="83">
      <c r="A83" s="21" t="n"/>
      <c r="D83" s="31" t="n"/>
      <c r="F83" s="29" t="n"/>
      <c r="H83" s="7">
        <f>IF(C83="","",IFERROR(INDEX('Trades'!$G$4:$G$103,MATCH(C83,'Trades'!$B$4:$B$103,0)),""))</f>
        <v/>
      </c>
      <c r="I83" s="7">
        <f>IF(AND(G83="Yes",H83="No"),"GST charged, not registered","")</f>
        <v/>
      </c>
      <c r="J83" s="21" t="n"/>
      <c r="L83" s="21" t="n"/>
      <c r="M83" s="29" t="n"/>
      <c r="O83" s="6" t="n"/>
    </row>
    <row r="84">
      <c r="A84" s="21" t="n"/>
      <c r="D84" s="31" t="n"/>
      <c r="F84" s="29" t="n"/>
      <c r="H84" s="7">
        <f>IF(C84="","",IFERROR(INDEX('Trades'!$G$4:$G$103,MATCH(C84,'Trades'!$B$4:$B$103,0)),""))</f>
        <v/>
      </c>
      <c r="I84" s="7">
        <f>IF(AND(G84="Yes",H84="No"),"GST charged, not registered","")</f>
        <v/>
      </c>
      <c r="J84" s="21" t="n"/>
      <c r="L84" s="21" t="n"/>
      <c r="M84" s="29" t="n"/>
      <c r="O84" s="6" t="n"/>
    </row>
    <row r="85">
      <c r="A85" s="21" t="n"/>
      <c r="D85" s="31" t="n"/>
      <c r="F85" s="29" t="n"/>
      <c r="H85" s="7">
        <f>IF(C85="","",IFERROR(INDEX('Trades'!$G$4:$G$103,MATCH(C85,'Trades'!$B$4:$B$103,0)),""))</f>
        <v/>
      </c>
      <c r="I85" s="7">
        <f>IF(AND(G85="Yes",H85="No"),"GST charged, not registered","")</f>
        <v/>
      </c>
      <c r="J85" s="21" t="n"/>
      <c r="L85" s="21" t="n"/>
      <c r="M85" s="29" t="n"/>
      <c r="O85" s="6" t="n"/>
    </row>
    <row r="86">
      <c r="A86" s="21" t="n"/>
      <c r="D86" s="31" t="n"/>
      <c r="F86" s="29" t="n"/>
      <c r="H86" s="7">
        <f>IF(C86="","",IFERROR(INDEX('Trades'!$G$4:$G$103,MATCH(C86,'Trades'!$B$4:$B$103,0)),""))</f>
        <v/>
      </c>
      <c r="I86" s="7">
        <f>IF(AND(G86="Yes",H86="No"),"GST charged, not registered","")</f>
        <v/>
      </c>
      <c r="J86" s="21" t="n"/>
      <c r="L86" s="21" t="n"/>
      <c r="M86" s="29" t="n"/>
      <c r="O86" s="6" t="n"/>
    </row>
    <row r="87">
      <c r="A87" s="21" t="n"/>
      <c r="D87" s="31" t="n"/>
      <c r="F87" s="29" t="n"/>
      <c r="H87" s="7">
        <f>IF(C87="","",IFERROR(INDEX('Trades'!$G$4:$G$103,MATCH(C87,'Trades'!$B$4:$B$103,0)),""))</f>
        <v/>
      </c>
      <c r="I87" s="7">
        <f>IF(AND(G87="Yes",H87="No"),"GST charged, not registered","")</f>
        <v/>
      </c>
      <c r="J87" s="21" t="n"/>
      <c r="L87" s="21" t="n"/>
      <c r="M87" s="29" t="n"/>
      <c r="O87" s="6" t="n"/>
    </row>
    <row r="88">
      <c r="A88" s="21" t="n"/>
      <c r="D88" s="31" t="n"/>
      <c r="F88" s="29" t="n"/>
      <c r="H88" s="7">
        <f>IF(C88="","",IFERROR(INDEX('Trades'!$G$4:$G$103,MATCH(C88,'Trades'!$B$4:$B$103,0)),""))</f>
        <v/>
      </c>
      <c r="I88" s="7">
        <f>IF(AND(G88="Yes",H88="No"),"GST charged, not registered","")</f>
        <v/>
      </c>
      <c r="J88" s="21" t="n"/>
      <c r="L88" s="21" t="n"/>
      <c r="M88" s="29" t="n"/>
      <c r="O88" s="6" t="n"/>
    </row>
    <row r="89">
      <c r="A89" s="21" t="n"/>
      <c r="D89" s="31" t="n"/>
      <c r="F89" s="29" t="n"/>
      <c r="H89" s="7">
        <f>IF(C89="","",IFERROR(INDEX('Trades'!$G$4:$G$103,MATCH(C89,'Trades'!$B$4:$B$103,0)),""))</f>
        <v/>
      </c>
      <c r="I89" s="7">
        <f>IF(AND(G89="Yes",H89="No"),"GST charged, not registered","")</f>
        <v/>
      </c>
      <c r="J89" s="21" t="n"/>
      <c r="L89" s="21" t="n"/>
      <c r="M89" s="29" t="n"/>
      <c r="O89" s="6" t="n"/>
    </row>
    <row r="90">
      <c r="A90" s="21" t="n"/>
      <c r="D90" s="31" t="n"/>
      <c r="F90" s="29" t="n"/>
      <c r="H90" s="7">
        <f>IF(C90="","",IFERROR(INDEX('Trades'!$G$4:$G$103,MATCH(C90,'Trades'!$B$4:$B$103,0)),""))</f>
        <v/>
      </c>
      <c r="I90" s="7">
        <f>IF(AND(G90="Yes",H90="No"),"GST charged, not registered","")</f>
        <v/>
      </c>
      <c r="J90" s="21" t="n"/>
      <c r="L90" s="21" t="n"/>
      <c r="M90" s="29" t="n"/>
      <c r="O90" s="6" t="n"/>
    </row>
    <row r="91">
      <c r="A91" s="21" t="n"/>
      <c r="D91" s="31" t="n"/>
      <c r="F91" s="29" t="n"/>
      <c r="H91" s="7">
        <f>IF(C91="","",IFERROR(INDEX('Trades'!$G$4:$G$103,MATCH(C91,'Trades'!$B$4:$B$103,0)),""))</f>
        <v/>
      </c>
      <c r="I91" s="7">
        <f>IF(AND(G91="Yes",H91="No"),"GST charged, not registered","")</f>
        <v/>
      </c>
      <c r="J91" s="21" t="n"/>
      <c r="L91" s="21" t="n"/>
      <c r="M91" s="29" t="n"/>
      <c r="O91" s="6" t="n"/>
    </row>
    <row r="92">
      <c r="A92" s="21" t="n"/>
      <c r="D92" s="31" t="n"/>
      <c r="F92" s="29" t="n"/>
      <c r="H92" s="7">
        <f>IF(C92="","",IFERROR(INDEX('Trades'!$G$4:$G$103,MATCH(C92,'Trades'!$B$4:$B$103,0)),""))</f>
        <v/>
      </c>
      <c r="I92" s="7">
        <f>IF(AND(G92="Yes",H92="No"),"GST charged, not registered","")</f>
        <v/>
      </c>
      <c r="J92" s="21" t="n"/>
      <c r="L92" s="21" t="n"/>
      <c r="M92" s="29" t="n"/>
      <c r="O92" s="6" t="n"/>
    </row>
    <row r="93">
      <c r="A93" s="21" t="n"/>
      <c r="D93" s="31" t="n"/>
      <c r="F93" s="29" t="n"/>
      <c r="H93" s="7">
        <f>IF(C93="","",IFERROR(INDEX('Trades'!$G$4:$G$103,MATCH(C93,'Trades'!$B$4:$B$103,0)),""))</f>
        <v/>
      </c>
      <c r="I93" s="7">
        <f>IF(AND(G93="Yes",H93="No"),"GST charged, not registered","")</f>
        <v/>
      </c>
      <c r="J93" s="21" t="n"/>
      <c r="L93" s="21" t="n"/>
      <c r="M93" s="29" t="n"/>
      <c r="O93" s="6" t="n"/>
    </row>
    <row r="94">
      <c r="A94" s="21" t="n"/>
      <c r="D94" s="31" t="n"/>
      <c r="F94" s="29" t="n"/>
      <c r="H94" s="7">
        <f>IF(C94="","",IFERROR(INDEX('Trades'!$G$4:$G$103,MATCH(C94,'Trades'!$B$4:$B$103,0)),""))</f>
        <v/>
      </c>
      <c r="I94" s="7">
        <f>IF(AND(G94="Yes",H94="No"),"GST charged, not registered","")</f>
        <v/>
      </c>
      <c r="J94" s="21" t="n"/>
      <c r="L94" s="21" t="n"/>
      <c r="M94" s="29" t="n"/>
      <c r="O94" s="6" t="n"/>
    </row>
    <row r="95">
      <c r="A95" s="21" t="n"/>
      <c r="D95" s="31" t="n"/>
      <c r="F95" s="29" t="n"/>
      <c r="H95" s="7">
        <f>IF(C95="","",IFERROR(INDEX('Trades'!$G$4:$G$103,MATCH(C95,'Trades'!$B$4:$B$103,0)),""))</f>
        <v/>
      </c>
      <c r="I95" s="7">
        <f>IF(AND(G95="Yes",H95="No"),"GST charged, not registered","")</f>
        <v/>
      </c>
      <c r="J95" s="21" t="n"/>
      <c r="L95" s="21" t="n"/>
      <c r="M95" s="29" t="n"/>
      <c r="O95" s="6" t="n"/>
    </row>
    <row r="96">
      <c r="A96" s="21" t="n"/>
      <c r="D96" s="31" t="n"/>
      <c r="F96" s="29" t="n"/>
      <c r="H96" s="7">
        <f>IF(C96="","",IFERROR(INDEX('Trades'!$G$4:$G$103,MATCH(C96,'Trades'!$B$4:$B$103,0)),""))</f>
        <v/>
      </c>
      <c r="I96" s="7">
        <f>IF(AND(G96="Yes",H96="No"),"GST charged, not registered","")</f>
        <v/>
      </c>
      <c r="J96" s="21" t="n"/>
      <c r="L96" s="21" t="n"/>
      <c r="M96" s="29" t="n"/>
      <c r="O96" s="6" t="n"/>
    </row>
    <row r="97">
      <c r="A97" s="21" t="n"/>
      <c r="D97" s="31" t="n"/>
      <c r="F97" s="29" t="n"/>
      <c r="H97" s="7">
        <f>IF(C97="","",IFERROR(INDEX('Trades'!$G$4:$G$103,MATCH(C97,'Trades'!$B$4:$B$103,0)),""))</f>
        <v/>
      </c>
      <c r="I97" s="7">
        <f>IF(AND(G97="Yes",H97="No"),"GST charged, not registered","")</f>
        <v/>
      </c>
      <c r="J97" s="21" t="n"/>
      <c r="L97" s="21" t="n"/>
      <c r="M97" s="29" t="n"/>
      <c r="O97" s="6" t="n"/>
    </row>
    <row r="98">
      <c r="A98" s="21" t="n"/>
      <c r="D98" s="31" t="n"/>
      <c r="F98" s="29" t="n"/>
      <c r="H98" s="7">
        <f>IF(C98="","",IFERROR(INDEX('Trades'!$G$4:$G$103,MATCH(C98,'Trades'!$B$4:$B$103,0)),""))</f>
        <v/>
      </c>
      <c r="I98" s="7">
        <f>IF(AND(G98="Yes",H98="No"),"GST charged, not registered","")</f>
        <v/>
      </c>
      <c r="J98" s="21" t="n"/>
      <c r="L98" s="21" t="n"/>
      <c r="M98" s="29" t="n"/>
      <c r="O98" s="6" t="n"/>
    </row>
    <row r="99">
      <c r="A99" s="21" t="n"/>
      <c r="D99" s="31" t="n"/>
      <c r="F99" s="29" t="n"/>
      <c r="H99" s="7">
        <f>IF(C99="","",IFERROR(INDEX('Trades'!$G$4:$G$103,MATCH(C99,'Trades'!$B$4:$B$103,0)),""))</f>
        <v/>
      </c>
      <c r="I99" s="7">
        <f>IF(AND(G99="Yes",H99="No"),"GST charged, not registered","")</f>
        <v/>
      </c>
      <c r="J99" s="21" t="n"/>
      <c r="L99" s="21" t="n"/>
      <c r="M99" s="29" t="n"/>
      <c r="O99" s="6" t="n"/>
    </row>
    <row r="100">
      <c r="A100" s="21" t="n"/>
      <c r="D100" s="31" t="n"/>
      <c r="F100" s="29" t="n"/>
      <c r="H100" s="7">
        <f>IF(C100="","",IFERROR(INDEX('Trades'!$G$4:$G$103,MATCH(C100,'Trades'!$B$4:$B$103,0)),""))</f>
        <v/>
      </c>
      <c r="I100" s="7">
        <f>IF(AND(G100="Yes",H100="No"),"GST charged, not registered","")</f>
        <v/>
      </c>
      <c r="J100" s="21" t="n"/>
      <c r="L100" s="21" t="n"/>
      <c r="M100" s="29" t="n"/>
      <c r="O100" s="6" t="n"/>
    </row>
    <row r="101">
      <c r="A101" s="21" t="n"/>
      <c r="D101" s="31" t="n"/>
      <c r="F101" s="29" t="n"/>
      <c r="H101" s="7">
        <f>IF(C101="","",IFERROR(INDEX('Trades'!$G$4:$G$103,MATCH(C101,'Trades'!$B$4:$B$103,0)),""))</f>
        <v/>
      </c>
      <c r="I101" s="7">
        <f>IF(AND(G101="Yes",H101="No"),"GST charged, not registered","")</f>
        <v/>
      </c>
      <c r="J101" s="21" t="n"/>
      <c r="L101" s="21" t="n"/>
      <c r="M101" s="29" t="n"/>
      <c r="O101" s="6" t="n"/>
    </row>
    <row r="102">
      <c r="A102" s="21" t="n"/>
      <c r="D102" s="31" t="n"/>
      <c r="F102" s="29" t="n"/>
      <c r="H102" s="7">
        <f>IF(C102="","",IFERROR(INDEX('Trades'!$G$4:$G$103,MATCH(C102,'Trades'!$B$4:$B$103,0)),""))</f>
        <v/>
      </c>
      <c r="I102" s="7">
        <f>IF(AND(G102="Yes",H102="No"),"GST charged, not registered","")</f>
        <v/>
      </c>
      <c r="J102" s="21" t="n"/>
      <c r="L102" s="21" t="n"/>
      <c r="M102" s="29" t="n"/>
      <c r="O102" s="6" t="n"/>
    </row>
    <row r="103">
      <c r="A103" s="21" t="n"/>
      <c r="D103" s="31" t="n"/>
      <c r="F103" s="29" t="n"/>
      <c r="H103" s="7">
        <f>IF(C103="","",IFERROR(INDEX('Trades'!$G$4:$G$103,MATCH(C103,'Trades'!$B$4:$B$103,0)),""))</f>
        <v/>
      </c>
      <c r="I103" s="7">
        <f>IF(AND(G103="Yes",H103="No"),"GST charged, not registered","")</f>
        <v/>
      </c>
      <c r="J103" s="21" t="n"/>
      <c r="L103" s="21" t="n"/>
      <c r="M103" s="29" t="n"/>
      <c r="O103" s="6" t="n"/>
    </row>
    <row r="104">
      <c r="A104" s="21" t="n"/>
      <c r="D104" s="31" t="n"/>
      <c r="F104" s="29" t="n"/>
      <c r="H104" s="7">
        <f>IF(C104="","",IFERROR(INDEX('Trades'!$G$4:$G$103,MATCH(C104,'Trades'!$B$4:$B$103,0)),""))</f>
        <v/>
      </c>
      <c r="I104" s="7">
        <f>IF(AND(G104="Yes",H104="No"),"GST charged, not registered","")</f>
        <v/>
      </c>
      <c r="J104" s="21" t="n"/>
      <c r="L104" s="21" t="n"/>
      <c r="M104" s="29" t="n"/>
      <c r="O104" s="6" t="n"/>
    </row>
    <row r="105">
      <c r="A105" s="21" t="n"/>
      <c r="D105" s="31" t="n"/>
      <c r="F105" s="29" t="n"/>
      <c r="H105" s="7">
        <f>IF(C105="","",IFERROR(INDEX('Trades'!$G$4:$G$103,MATCH(C105,'Trades'!$B$4:$B$103,0)),""))</f>
        <v/>
      </c>
      <c r="I105" s="7">
        <f>IF(AND(G105="Yes",H105="No"),"GST charged, not registered","")</f>
        <v/>
      </c>
      <c r="J105" s="21" t="n"/>
      <c r="L105" s="21" t="n"/>
      <c r="M105" s="29" t="n"/>
      <c r="O105" s="6" t="n"/>
    </row>
    <row r="106">
      <c r="A106" s="21" t="n"/>
      <c r="D106" s="31" t="n"/>
      <c r="F106" s="29" t="n"/>
      <c r="H106" s="7">
        <f>IF(C106="","",IFERROR(INDEX('Trades'!$G$4:$G$103,MATCH(C106,'Trades'!$B$4:$B$103,0)),""))</f>
        <v/>
      </c>
      <c r="I106" s="7">
        <f>IF(AND(G106="Yes",H106="No"),"GST charged, not registered","")</f>
        <v/>
      </c>
      <c r="J106" s="21" t="n"/>
      <c r="L106" s="21" t="n"/>
      <c r="M106" s="29" t="n"/>
      <c r="O106" s="6" t="n"/>
    </row>
    <row r="107">
      <c r="A107" s="21" t="n"/>
      <c r="D107" s="31" t="n"/>
      <c r="F107" s="29" t="n"/>
      <c r="H107" s="7">
        <f>IF(C107="","",IFERROR(INDEX('Trades'!$G$4:$G$103,MATCH(C107,'Trades'!$B$4:$B$103,0)),""))</f>
        <v/>
      </c>
      <c r="I107" s="7">
        <f>IF(AND(G107="Yes",H107="No"),"GST charged, not registered","")</f>
        <v/>
      </c>
      <c r="J107" s="21" t="n"/>
      <c r="L107" s="21" t="n"/>
      <c r="M107" s="29" t="n"/>
      <c r="O107" s="6" t="n"/>
    </row>
    <row r="108">
      <c r="A108" s="21" t="n"/>
      <c r="D108" s="31" t="n"/>
      <c r="F108" s="29" t="n"/>
      <c r="H108" s="7">
        <f>IF(C108="","",IFERROR(INDEX('Trades'!$G$4:$G$103,MATCH(C108,'Trades'!$B$4:$B$103,0)),""))</f>
        <v/>
      </c>
      <c r="I108" s="7">
        <f>IF(AND(G108="Yes",H108="No"),"GST charged, not registered","")</f>
        <v/>
      </c>
      <c r="J108" s="21" t="n"/>
      <c r="L108" s="21" t="n"/>
      <c r="M108" s="29" t="n"/>
      <c r="O108" s="6" t="n"/>
    </row>
    <row r="109">
      <c r="A109" s="21" t="n"/>
      <c r="D109" s="31" t="n"/>
      <c r="F109" s="29" t="n"/>
      <c r="H109" s="7">
        <f>IF(C109="","",IFERROR(INDEX('Trades'!$G$4:$G$103,MATCH(C109,'Trades'!$B$4:$B$103,0)),""))</f>
        <v/>
      </c>
      <c r="I109" s="7">
        <f>IF(AND(G109="Yes",H109="No"),"GST charged, not registered","")</f>
        <v/>
      </c>
      <c r="J109" s="21" t="n"/>
      <c r="L109" s="21" t="n"/>
      <c r="M109" s="29" t="n"/>
      <c r="O109" s="6" t="n"/>
    </row>
    <row r="110">
      <c r="A110" s="21" t="n"/>
      <c r="D110" s="31" t="n"/>
      <c r="F110" s="29" t="n"/>
      <c r="H110" s="7">
        <f>IF(C110="","",IFERROR(INDEX('Trades'!$G$4:$G$103,MATCH(C110,'Trades'!$B$4:$B$103,0)),""))</f>
        <v/>
      </c>
      <c r="I110" s="7">
        <f>IF(AND(G110="Yes",H110="No"),"GST charged, not registered","")</f>
        <v/>
      </c>
      <c r="J110" s="21" t="n"/>
      <c r="L110" s="21" t="n"/>
      <c r="M110" s="29" t="n"/>
      <c r="O110" s="6" t="n"/>
    </row>
    <row r="111">
      <c r="A111" s="21" t="n"/>
      <c r="D111" s="31" t="n"/>
      <c r="F111" s="29" t="n"/>
      <c r="H111" s="7">
        <f>IF(C111="","",IFERROR(INDEX('Trades'!$G$4:$G$103,MATCH(C111,'Trades'!$B$4:$B$103,0)),""))</f>
        <v/>
      </c>
      <c r="I111" s="7">
        <f>IF(AND(G111="Yes",H111="No"),"GST charged, not registered","")</f>
        <v/>
      </c>
      <c r="J111" s="21" t="n"/>
      <c r="L111" s="21" t="n"/>
      <c r="M111" s="29" t="n"/>
      <c r="O111" s="6" t="n"/>
    </row>
    <row r="112">
      <c r="A112" s="21" t="n"/>
      <c r="D112" s="31" t="n"/>
      <c r="F112" s="29" t="n"/>
      <c r="H112" s="7">
        <f>IF(C112="","",IFERROR(INDEX('Trades'!$G$4:$G$103,MATCH(C112,'Trades'!$B$4:$B$103,0)),""))</f>
        <v/>
      </c>
      <c r="I112" s="7">
        <f>IF(AND(G112="Yes",H112="No"),"GST charged, not registered","")</f>
        <v/>
      </c>
      <c r="J112" s="21" t="n"/>
      <c r="L112" s="21" t="n"/>
      <c r="M112" s="29" t="n"/>
      <c r="O112" s="6" t="n"/>
    </row>
    <row r="113">
      <c r="A113" s="21" t="n"/>
      <c r="D113" s="31" t="n"/>
      <c r="F113" s="29" t="n"/>
      <c r="H113" s="7">
        <f>IF(C113="","",IFERROR(INDEX('Trades'!$G$4:$G$103,MATCH(C113,'Trades'!$B$4:$B$103,0)),""))</f>
        <v/>
      </c>
      <c r="I113" s="7">
        <f>IF(AND(G113="Yes",H113="No"),"GST charged, not registered","")</f>
        <v/>
      </c>
      <c r="J113" s="21" t="n"/>
      <c r="L113" s="21" t="n"/>
      <c r="M113" s="29" t="n"/>
      <c r="O113" s="6" t="n"/>
    </row>
    <row r="114">
      <c r="A114" s="21" t="n"/>
      <c r="D114" s="31" t="n"/>
      <c r="F114" s="29" t="n"/>
      <c r="H114" s="7">
        <f>IF(C114="","",IFERROR(INDEX('Trades'!$G$4:$G$103,MATCH(C114,'Trades'!$B$4:$B$103,0)),""))</f>
        <v/>
      </c>
      <c r="I114" s="7">
        <f>IF(AND(G114="Yes",H114="No"),"GST charged, not registered","")</f>
        <v/>
      </c>
      <c r="J114" s="21" t="n"/>
      <c r="L114" s="21" t="n"/>
      <c r="M114" s="29" t="n"/>
      <c r="O114" s="6" t="n"/>
    </row>
    <row r="115">
      <c r="A115" s="21" t="n"/>
      <c r="D115" s="31" t="n"/>
      <c r="F115" s="29" t="n"/>
      <c r="H115" s="7">
        <f>IF(C115="","",IFERROR(INDEX('Trades'!$G$4:$G$103,MATCH(C115,'Trades'!$B$4:$B$103,0)),""))</f>
        <v/>
      </c>
      <c r="I115" s="7">
        <f>IF(AND(G115="Yes",H115="No"),"GST charged, not registered","")</f>
        <v/>
      </c>
      <c r="J115" s="21" t="n"/>
      <c r="L115" s="21" t="n"/>
      <c r="M115" s="29" t="n"/>
      <c r="O115" s="6" t="n"/>
    </row>
    <row r="116">
      <c r="A116" s="21" t="n"/>
      <c r="D116" s="31" t="n"/>
      <c r="F116" s="29" t="n"/>
      <c r="H116" s="7">
        <f>IF(C116="","",IFERROR(INDEX('Trades'!$G$4:$G$103,MATCH(C116,'Trades'!$B$4:$B$103,0)),""))</f>
        <v/>
      </c>
      <c r="I116" s="7">
        <f>IF(AND(G116="Yes",H116="No"),"GST charged, not registered","")</f>
        <v/>
      </c>
      <c r="J116" s="21" t="n"/>
      <c r="L116" s="21" t="n"/>
      <c r="M116" s="29" t="n"/>
      <c r="O116" s="6" t="n"/>
    </row>
    <row r="117">
      <c r="A117" s="21" t="n"/>
      <c r="D117" s="31" t="n"/>
      <c r="F117" s="29" t="n"/>
      <c r="H117" s="7">
        <f>IF(C117="","",IFERROR(INDEX('Trades'!$G$4:$G$103,MATCH(C117,'Trades'!$B$4:$B$103,0)),""))</f>
        <v/>
      </c>
      <c r="I117" s="7">
        <f>IF(AND(G117="Yes",H117="No"),"GST charged, not registered","")</f>
        <v/>
      </c>
      <c r="J117" s="21" t="n"/>
      <c r="L117" s="21" t="n"/>
      <c r="M117" s="29" t="n"/>
      <c r="O117" s="6" t="n"/>
    </row>
    <row r="118">
      <c r="A118" s="21" t="n"/>
      <c r="D118" s="31" t="n"/>
      <c r="F118" s="29" t="n"/>
      <c r="H118" s="7">
        <f>IF(C118="","",IFERROR(INDEX('Trades'!$G$4:$G$103,MATCH(C118,'Trades'!$B$4:$B$103,0)),""))</f>
        <v/>
      </c>
      <c r="I118" s="7">
        <f>IF(AND(G118="Yes",H118="No"),"GST charged, not registered","")</f>
        <v/>
      </c>
      <c r="J118" s="21" t="n"/>
      <c r="L118" s="21" t="n"/>
      <c r="M118" s="29" t="n"/>
      <c r="O118" s="6" t="n"/>
    </row>
    <row r="119">
      <c r="A119" s="21" t="n"/>
      <c r="D119" s="31" t="n"/>
      <c r="F119" s="29" t="n"/>
      <c r="H119" s="7">
        <f>IF(C119="","",IFERROR(INDEX('Trades'!$G$4:$G$103,MATCH(C119,'Trades'!$B$4:$B$103,0)),""))</f>
        <v/>
      </c>
      <c r="I119" s="7">
        <f>IF(AND(G119="Yes",H119="No"),"GST charged, not registered","")</f>
        <v/>
      </c>
      <c r="J119" s="21" t="n"/>
      <c r="L119" s="21" t="n"/>
      <c r="M119" s="29" t="n"/>
      <c r="O119" s="6" t="n"/>
    </row>
    <row r="120">
      <c r="A120" s="21" t="n"/>
      <c r="D120" s="31" t="n"/>
      <c r="F120" s="29" t="n"/>
      <c r="H120" s="7">
        <f>IF(C120="","",IFERROR(INDEX('Trades'!$G$4:$G$103,MATCH(C120,'Trades'!$B$4:$B$103,0)),""))</f>
        <v/>
      </c>
      <c r="I120" s="7">
        <f>IF(AND(G120="Yes",H120="No"),"GST charged, not registered","")</f>
        <v/>
      </c>
      <c r="J120" s="21" t="n"/>
      <c r="L120" s="21" t="n"/>
      <c r="M120" s="29" t="n"/>
      <c r="O120" s="6" t="n"/>
    </row>
    <row r="121">
      <c r="A121" s="21" t="n"/>
      <c r="D121" s="31" t="n"/>
      <c r="F121" s="29" t="n"/>
      <c r="H121" s="7">
        <f>IF(C121="","",IFERROR(INDEX('Trades'!$G$4:$G$103,MATCH(C121,'Trades'!$B$4:$B$103,0)),""))</f>
        <v/>
      </c>
      <c r="I121" s="7">
        <f>IF(AND(G121="Yes",H121="No"),"GST charged, not registered","")</f>
        <v/>
      </c>
      <c r="J121" s="21" t="n"/>
      <c r="L121" s="21" t="n"/>
      <c r="M121" s="29" t="n"/>
      <c r="O121" s="6" t="n"/>
    </row>
    <row r="122">
      <c r="A122" s="21" t="n"/>
      <c r="D122" s="31" t="n"/>
      <c r="F122" s="29" t="n"/>
      <c r="H122" s="7">
        <f>IF(C122="","",IFERROR(INDEX('Trades'!$G$4:$G$103,MATCH(C122,'Trades'!$B$4:$B$103,0)),""))</f>
        <v/>
      </c>
      <c r="I122" s="7">
        <f>IF(AND(G122="Yes",H122="No"),"GST charged, not registered","")</f>
        <v/>
      </c>
      <c r="J122" s="21" t="n"/>
      <c r="L122" s="21" t="n"/>
      <c r="M122" s="29" t="n"/>
      <c r="O122" s="6" t="n"/>
    </row>
    <row r="123">
      <c r="A123" s="21" t="n"/>
      <c r="D123" s="31" t="n"/>
      <c r="F123" s="29" t="n"/>
      <c r="H123" s="7">
        <f>IF(C123="","",IFERROR(INDEX('Trades'!$G$4:$G$103,MATCH(C123,'Trades'!$B$4:$B$103,0)),""))</f>
        <v/>
      </c>
      <c r="I123" s="7">
        <f>IF(AND(G123="Yes",H123="No"),"GST charged, not registered","")</f>
        <v/>
      </c>
      <c r="J123" s="21" t="n"/>
      <c r="L123" s="21" t="n"/>
      <c r="M123" s="29" t="n"/>
      <c r="O123" s="6" t="n"/>
    </row>
    <row r="124">
      <c r="A124" s="21" t="n"/>
      <c r="D124" s="31" t="n"/>
      <c r="F124" s="29" t="n"/>
      <c r="H124" s="7">
        <f>IF(C124="","",IFERROR(INDEX('Trades'!$G$4:$G$103,MATCH(C124,'Trades'!$B$4:$B$103,0)),""))</f>
        <v/>
      </c>
      <c r="I124" s="7">
        <f>IF(AND(G124="Yes",H124="No"),"GST charged, not registered","")</f>
        <v/>
      </c>
      <c r="J124" s="21" t="n"/>
      <c r="L124" s="21" t="n"/>
      <c r="M124" s="29" t="n"/>
      <c r="O124" s="6" t="n"/>
    </row>
    <row r="125">
      <c r="A125" s="21" t="n"/>
      <c r="D125" s="31" t="n"/>
      <c r="F125" s="29" t="n"/>
      <c r="H125" s="7">
        <f>IF(C125="","",IFERROR(INDEX('Trades'!$G$4:$G$103,MATCH(C125,'Trades'!$B$4:$B$103,0)),""))</f>
        <v/>
      </c>
      <c r="I125" s="7">
        <f>IF(AND(G125="Yes",H125="No"),"GST charged, not registered","")</f>
        <v/>
      </c>
      <c r="J125" s="21" t="n"/>
      <c r="L125" s="21" t="n"/>
      <c r="M125" s="29" t="n"/>
      <c r="O125" s="6" t="n"/>
    </row>
    <row r="126">
      <c r="A126" s="21" t="n"/>
      <c r="D126" s="31" t="n"/>
      <c r="F126" s="29" t="n"/>
      <c r="H126" s="7">
        <f>IF(C126="","",IFERROR(INDEX('Trades'!$G$4:$G$103,MATCH(C126,'Trades'!$B$4:$B$103,0)),""))</f>
        <v/>
      </c>
      <c r="I126" s="7">
        <f>IF(AND(G126="Yes",H126="No"),"GST charged, not registered","")</f>
        <v/>
      </c>
      <c r="J126" s="21" t="n"/>
      <c r="L126" s="21" t="n"/>
      <c r="M126" s="29" t="n"/>
      <c r="O126" s="6" t="n"/>
    </row>
    <row r="127">
      <c r="A127" s="21" t="n"/>
      <c r="D127" s="31" t="n"/>
      <c r="F127" s="29" t="n"/>
      <c r="H127" s="7">
        <f>IF(C127="","",IFERROR(INDEX('Trades'!$G$4:$G$103,MATCH(C127,'Trades'!$B$4:$B$103,0)),""))</f>
        <v/>
      </c>
      <c r="I127" s="7">
        <f>IF(AND(G127="Yes",H127="No"),"GST charged, not registered","")</f>
        <v/>
      </c>
      <c r="J127" s="21" t="n"/>
      <c r="L127" s="21" t="n"/>
      <c r="M127" s="29" t="n"/>
      <c r="O127" s="6" t="n"/>
    </row>
    <row r="128">
      <c r="A128" s="21" t="n"/>
      <c r="D128" s="31" t="n"/>
      <c r="F128" s="29" t="n"/>
      <c r="H128" s="7">
        <f>IF(C128="","",IFERROR(INDEX('Trades'!$G$4:$G$103,MATCH(C128,'Trades'!$B$4:$B$103,0)),""))</f>
        <v/>
      </c>
      <c r="I128" s="7">
        <f>IF(AND(G128="Yes",H128="No"),"GST charged, not registered","")</f>
        <v/>
      </c>
      <c r="J128" s="21" t="n"/>
      <c r="L128" s="21" t="n"/>
      <c r="M128" s="29" t="n"/>
      <c r="O128" s="6" t="n"/>
    </row>
    <row r="129">
      <c r="A129" s="21" t="n"/>
      <c r="D129" s="31" t="n"/>
      <c r="F129" s="29" t="n"/>
      <c r="H129" s="7">
        <f>IF(C129="","",IFERROR(INDEX('Trades'!$G$4:$G$103,MATCH(C129,'Trades'!$B$4:$B$103,0)),""))</f>
        <v/>
      </c>
      <c r="I129" s="7">
        <f>IF(AND(G129="Yes",H129="No"),"GST charged, not registered","")</f>
        <v/>
      </c>
      <c r="J129" s="21" t="n"/>
      <c r="L129" s="21" t="n"/>
      <c r="M129" s="29" t="n"/>
      <c r="O129" s="6" t="n"/>
    </row>
    <row r="130">
      <c r="A130" s="21" t="n"/>
      <c r="D130" s="31" t="n"/>
      <c r="F130" s="29" t="n"/>
      <c r="H130" s="7">
        <f>IF(C130="","",IFERROR(INDEX('Trades'!$G$4:$G$103,MATCH(C130,'Trades'!$B$4:$B$103,0)),""))</f>
        <v/>
      </c>
      <c r="I130" s="7">
        <f>IF(AND(G130="Yes",H130="No"),"GST charged, not registered","")</f>
        <v/>
      </c>
      <c r="J130" s="21" t="n"/>
      <c r="L130" s="21" t="n"/>
      <c r="M130" s="29" t="n"/>
      <c r="O130" s="6" t="n"/>
    </row>
    <row r="131">
      <c r="A131" s="21" t="n"/>
      <c r="D131" s="31" t="n"/>
      <c r="F131" s="29" t="n"/>
      <c r="H131" s="7">
        <f>IF(C131="","",IFERROR(INDEX('Trades'!$G$4:$G$103,MATCH(C131,'Trades'!$B$4:$B$103,0)),""))</f>
        <v/>
      </c>
      <c r="I131" s="7">
        <f>IF(AND(G131="Yes",H131="No"),"GST charged, not registered","")</f>
        <v/>
      </c>
      <c r="J131" s="21" t="n"/>
      <c r="L131" s="21" t="n"/>
      <c r="M131" s="29" t="n"/>
      <c r="O131" s="6" t="n"/>
    </row>
    <row r="132">
      <c r="A132" s="21" t="n"/>
      <c r="D132" s="31" t="n"/>
      <c r="F132" s="29" t="n"/>
      <c r="H132" s="7">
        <f>IF(C132="","",IFERROR(INDEX('Trades'!$G$4:$G$103,MATCH(C132,'Trades'!$B$4:$B$103,0)),""))</f>
        <v/>
      </c>
      <c r="I132" s="7">
        <f>IF(AND(G132="Yes",H132="No"),"GST charged, not registered","")</f>
        <v/>
      </c>
      <c r="J132" s="21" t="n"/>
      <c r="L132" s="21" t="n"/>
      <c r="M132" s="29" t="n"/>
      <c r="O132" s="6" t="n"/>
    </row>
    <row r="133">
      <c r="A133" s="21" t="n"/>
      <c r="D133" s="31" t="n"/>
      <c r="F133" s="29" t="n"/>
      <c r="H133" s="7">
        <f>IF(C133="","",IFERROR(INDEX('Trades'!$G$4:$G$103,MATCH(C133,'Trades'!$B$4:$B$103,0)),""))</f>
        <v/>
      </c>
      <c r="I133" s="7">
        <f>IF(AND(G133="Yes",H133="No"),"GST charged, not registered","")</f>
        <v/>
      </c>
      <c r="J133" s="21" t="n"/>
      <c r="L133" s="21" t="n"/>
      <c r="M133" s="29" t="n"/>
      <c r="O133" s="6" t="n"/>
    </row>
    <row r="134">
      <c r="A134" s="21" t="n"/>
      <c r="D134" s="31" t="n"/>
      <c r="F134" s="29" t="n"/>
      <c r="H134" s="7">
        <f>IF(C134="","",IFERROR(INDEX('Trades'!$G$4:$G$103,MATCH(C134,'Trades'!$B$4:$B$103,0)),""))</f>
        <v/>
      </c>
      <c r="I134" s="7">
        <f>IF(AND(G134="Yes",H134="No"),"GST charged, not registered","")</f>
        <v/>
      </c>
      <c r="J134" s="21" t="n"/>
      <c r="L134" s="21" t="n"/>
      <c r="M134" s="29" t="n"/>
      <c r="O134" s="6" t="n"/>
    </row>
    <row r="135">
      <c r="A135" s="21" t="n"/>
      <c r="D135" s="31" t="n"/>
      <c r="F135" s="29" t="n"/>
      <c r="H135" s="7">
        <f>IF(C135="","",IFERROR(INDEX('Trades'!$G$4:$G$103,MATCH(C135,'Trades'!$B$4:$B$103,0)),""))</f>
        <v/>
      </c>
      <c r="I135" s="7">
        <f>IF(AND(G135="Yes",H135="No"),"GST charged, not registered","")</f>
        <v/>
      </c>
      <c r="J135" s="21" t="n"/>
      <c r="L135" s="21" t="n"/>
      <c r="M135" s="29" t="n"/>
      <c r="O135" s="6" t="n"/>
    </row>
    <row r="136">
      <c r="A136" s="21" t="n"/>
      <c r="D136" s="31" t="n"/>
      <c r="F136" s="29" t="n"/>
      <c r="H136" s="7">
        <f>IF(C136="","",IFERROR(INDEX('Trades'!$G$4:$G$103,MATCH(C136,'Trades'!$B$4:$B$103,0)),""))</f>
        <v/>
      </c>
      <c r="I136" s="7">
        <f>IF(AND(G136="Yes",H136="No"),"GST charged, not registered","")</f>
        <v/>
      </c>
      <c r="J136" s="21" t="n"/>
      <c r="L136" s="21" t="n"/>
      <c r="M136" s="29" t="n"/>
      <c r="O136" s="6" t="n"/>
    </row>
    <row r="137">
      <c r="A137" s="21" t="n"/>
      <c r="D137" s="31" t="n"/>
      <c r="F137" s="29" t="n"/>
      <c r="H137" s="7">
        <f>IF(C137="","",IFERROR(INDEX('Trades'!$G$4:$G$103,MATCH(C137,'Trades'!$B$4:$B$103,0)),""))</f>
        <v/>
      </c>
      <c r="I137" s="7">
        <f>IF(AND(G137="Yes",H137="No"),"GST charged, not registered","")</f>
        <v/>
      </c>
      <c r="J137" s="21" t="n"/>
      <c r="L137" s="21" t="n"/>
      <c r="M137" s="29" t="n"/>
      <c r="O137" s="6" t="n"/>
    </row>
    <row r="138">
      <c r="A138" s="21" t="n"/>
      <c r="D138" s="31" t="n"/>
      <c r="F138" s="29" t="n"/>
      <c r="H138" s="7">
        <f>IF(C138="","",IFERROR(INDEX('Trades'!$G$4:$G$103,MATCH(C138,'Trades'!$B$4:$B$103,0)),""))</f>
        <v/>
      </c>
      <c r="I138" s="7">
        <f>IF(AND(G138="Yes",H138="No"),"GST charged, not registered","")</f>
        <v/>
      </c>
      <c r="J138" s="21" t="n"/>
      <c r="L138" s="21" t="n"/>
      <c r="M138" s="29" t="n"/>
      <c r="O138" s="6" t="n"/>
    </row>
    <row r="139">
      <c r="A139" s="21" t="n"/>
      <c r="D139" s="31" t="n"/>
      <c r="F139" s="29" t="n"/>
      <c r="H139" s="7">
        <f>IF(C139="","",IFERROR(INDEX('Trades'!$G$4:$G$103,MATCH(C139,'Trades'!$B$4:$B$103,0)),""))</f>
        <v/>
      </c>
      <c r="I139" s="7">
        <f>IF(AND(G139="Yes",H139="No"),"GST charged, not registered","")</f>
        <v/>
      </c>
      <c r="J139" s="21" t="n"/>
      <c r="L139" s="21" t="n"/>
      <c r="M139" s="29" t="n"/>
      <c r="O139" s="6" t="n"/>
    </row>
    <row r="140">
      <c r="A140" s="21" t="n"/>
      <c r="D140" s="31" t="n"/>
      <c r="F140" s="29" t="n"/>
      <c r="H140" s="7">
        <f>IF(C140="","",IFERROR(INDEX('Trades'!$G$4:$G$103,MATCH(C140,'Trades'!$B$4:$B$103,0)),""))</f>
        <v/>
      </c>
      <c r="I140" s="7">
        <f>IF(AND(G140="Yes",H140="No"),"GST charged, not registered","")</f>
        <v/>
      </c>
      <c r="J140" s="21" t="n"/>
      <c r="L140" s="21" t="n"/>
      <c r="M140" s="29" t="n"/>
      <c r="O140" s="6" t="n"/>
    </row>
    <row r="141">
      <c r="A141" s="21" t="n"/>
      <c r="D141" s="31" t="n"/>
      <c r="F141" s="29" t="n"/>
      <c r="H141" s="7">
        <f>IF(C141="","",IFERROR(INDEX('Trades'!$G$4:$G$103,MATCH(C141,'Trades'!$B$4:$B$103,0)),""))</f>
        <v/>
      </c>
      <c r="I141" s="7">
        <f>IF(AND(G141="Yes",H141="No"),"GST charged, not registered","")</f>
        <v/>
      </c>
      <c r="J141" s="21" t="n"/>
      <c r="L141" s="21" t="n"/>
      <c r="M141" s="29" t="n"/>
      <c r="O141" s="6" t="n"/>
    </row>
    <row r="142">
      <c r="A142" s="21" t="n"/>
      <c r="D142" s="31" t="n"/>
      <c r="F142" s="29" t="n"/>
      <c r="H142" s="7">
        <f>IF(C142="","",IFERROR(INDEX('Trades'!$G$4:$G$103,MATCH(C142,'Trades'!$B$4:$B$103,0)),""))</f>
        <v/>
      </c>
      <c r="I142" s="7">
        <f>IF(AND(G142="Yes",H142="No"),"GST charged, not registered","")</f>
        <v/>
      </c>
      <c r="J142" s="21" t="n"/>
      <c r="L142" s="21" t="n"/>
      <c r="M142" s="29" t="n"/>
      <c r="O142" s="6" t="n"/>
    </row>
    <row r="143">
      <c r="A143" s="21" t="n"/>
      <c r="D143" s="31" t="n"/>
      <c r="F143" s="29" t="n"/>
      <c r="H143" s="7">
        <f>IF(C143="","",IFERROR(INDEX('Trades'!$G$4:$G$103,MATCH(C143,'Trades'!$B$4:$B$103,0)),""))</f>
        <v/>
      </c>
      <c r="I143" s="7">
        <f>IF(AND(G143="Yes",H143="No"),"GST charged, not registered","")</f>
        <v/>
      </c>
      <c r="J143" s="21" t="n"/>
      <c r="L143" s="21" t="n"/>
      <c r="M143" s="29" t="n"/>
      <c r="O143" s="6" t="n"/>
    </row>
    <row r="144">
      <c r="A144" s="21" t="n"/>
      <c r="D144" s="31" t="n"/>
      <c r="F144" s="29" t="n"/>
      <c r="H144" s="7">
        <f>IF(C144="","",IFERROR(INDEX('Trades'!$G$4:$G$103,MATCH(C144,'Trades'!$B$4:$B$103,0)),""))</f>
        <v/>
      </c>
      <c r="I144" s="7">
        <f>IF(AND(G144="Yes",H144="No"),"GST charged, not registered","")</f>
        <v/>
      </c>
      <c r="J144" s="21" t="n"/>
      <c r="L144" s="21" t="n"/>
      <c r="M144" s="29" t="n"/>
      <c r="O144" s="6" t="n"/>
    </row>
    <row r="145">
      <c r="A145" s="21" t="n"/>
      <c r="D145" s="31" t="n"/>
      <c r="F145" s="29" t="n"/>
      <c r="H145" s="7">
        <f>IF(C145="","",IFERROR(INDEX('Trades'!$G$4:$G$103,MATCH(C145,'Trades'!$B$4:$B$103,0)),""))</f>
        <v/>
      </c>
      <c r="I145" s="7">
        <f>IF(AND(G145="Yes",H145="No"),"GST charged, not registered","")</f>
        <v/>
      </c>
      <c r="J145" s="21" t="n"/>
      <c r="L145" s="21" t="n"/>
      <c r="M145" s="29" t="n"/>
      <c r="O145" s="6" t="n"/>
    </row>
    <row r="146">
      <c r="A146" s="21" t="n"/>
      <c r="D146" s="31" t="n"/>
      <c r="F146" s="29" t="n"/>
      <c r="H146" s="7">
        <f>IF(C146="","",IFERROR(INDEX('Trades'!$G$4:$G$103,MATCH(C146,'Trades'!$B$4:$B$103,0)),""))</f>
        <v/>
      </c>
      <c r="I146" s="7">
        <f>IF(AND(G146="Yes",H146="No"),"GST charged, not registered","")</f>
        <v/>
      </c>
      <c r="J146" s="21" t="n"/>
      <c r="L146" s="21" t="n"/>
      <c r="M146" s="29" t="n"/>
      <c r="O146" s="6" t="n"/>
    </row>
    <row r="147">
      <c r="A147" s="21" t="n"/>
      <c r="D147" s="31" t="n"/>
      <c r="F147" s="29" t="n"/>
      <c r="H147" s="7">
        <f>IF(C147="","",IFERROR(INDEX('Trades'!$G$4:$G$103,MATCH(C147,'Trades'!$B$4:$B$103,0)),""))</f>
        <v/>
      </c>
      <c r="I147" s="7">
        <f>IF(AND(G147="Yes",H147="No"),"GST charged, not registered","")</f>
        <v/>
      </c>
      <c r="J147" s="21" t="n"/>
      <c r="L147" s="21" t="n"/>
      <c r="M147" s="29" t="n"/>
      <c r="O147" s="6" t="n"/>
    </row>
    <row r="148">
      <c r="A148" s="21" t="n"/>
      <c r="D148" s="31" t="n"/>
      <c r="F148" s="29" t="n"/>
      <c r="H148" s="7">
        <f>IF(C148="","",IFERROR(INDEX('Trades'!$G$4:$G$103,MATCH(C148,'Trades'!$B$4:$B$103,0)),""))</f>
        <v/>
      </c>
      <c r="I148" s="7">
        <f>IF(AND(G148="Yes",H148="No"),"GST charged, not registered","")</f>
        <v/>
      </c>
      <c r="J148" s="21" t="n"/>
      <c r="L148" s="21" t="n"/>
      <c r="M148" s="29" t="n"/>
      <c r="O148" s="6" t="n"/>
    </row>
    <row r="149">
      <c r="A149" s="21" t="n"/>
      <c r="D149" s="31" t="n"/>
      <c r="F149" s="29" t="n"/>
      <c r="H149" s="7">
        <f>IF(C149="","",IFERROR(INDEX('Trades'!$G$4:$G$103,MATCH(C149,'Trades'!$B$4:$B$103,0)),""))</f>
        <v/>
      </c>
      <c r="I149" s="7">
        <f>IF(AND(G149="Yes",H149="No"),"GST charged, not registered","")</f>
        <v/>
      </c>
      <c r="J149" s="21" t="n"/>
      <c r="L149" s="21" t="n"/>
      <c r="M149" s="29" t="n"/>
      <c r="O149" s="6" t="n"/>
    </row>
    <row r="150">
      <c r="A150" s="21" t="n"/>
      <c r="D150" s="31" t="n"/>
      <c r="F150" s="29" t="n"/>
      <c r="H150" s="7">
        <f>IF(C150="","",IFERROR(INDEX('Trades'!$G$4:$G$103,MATCH(C150,'Trades'!$B$4:$B$103,0)),""))</f>
        <v/>
      </c>
      <c r="I150" s="7">
        <f>IF(AND(G150="Yes",H150="No"),"GST charged, not registered","")</f>
        <v/>
      </c>
      <c r="J150" s="21" t="n"/>
      <c r="L150" s="21" t="n"/>
      <c r="M150" s="29" t="n"/>
      <c r="O150" s="6" t="n"/>
    </row>
    <row r="151">
      <c r="A151" s="21" t="n"/>
      <c r="D151" s="31" t="n"/>
      <c r="F151" s="29" t="n"/>
      <c r="H151" s="7">
        <f>IF(C151="","",IFERROR(INDEX('Trades'!$G$4:$G$103,MATCH(C151,'Trades'!$B$4:$B$103,0)),""))</f>
        <v/>
      </c>
      <c r="I151" s="7">
        <f>IF(AND(G151="Yes",H151="No"),"GST charged, not registered","")</f>
        <v/>
      </c>
      <c r="J151" s="21" t="n"/>
      <c r="L151" s="21" t="n"/>
      <c r="M151" s="29" t="n"/>
      <c r="O151" s="6" t="n"/>
    </row>
    <row r="152">
      <c r="A152" s="21" t="n"/>
      <c r="D152" s="31" t="n"/>
      <c r="F152" s="29" t="n"/>
      <c r="H152" s="7">
        <f>IF(C152="","",IFERROR(INDEX('Trades'!$G$4:$G$103,MATCH(C152,'Trades'!$B$4:$B$103,0)),""))</f>
        <v/>
      </c>
      <c r="I152" s="7">
        <f>IF(AND(G152="Yes",H152="No"),"GST charged, not registered","")</f>
        <v/>
      </c>
      <c r="J152" s="21" t="n"/>
      <c r="L152" s="21" t="n"/>
      <c r="M152" s="29" t="n"/>
      <c r="O152" s="6" t="n"/>
    </row>
    <row r="153">
      <c r="A153" s="21" t="n"/>
      <c r="D153" s="31" t="n"/>
      <c r="F153" s="29" t="n"/>
      <c r="H153" s="7">
        <f>IF(C153="","",IFERROR(INDEX('Trades'!$G$4:$G$103,MATCH(C153,'Trades'!$B$4:$B$103,0)),""))</f>
        <v/>
      </c>
      <c r="I153" s="7">
        <f>IF(AND(G153="Yes",H153="No"),"GST charged, not registered","")</f>
        <v/>
      </c>
      <c r="J153" s="21" t="n"/>
      <c r="L153" s="21" t="n"/>
      <c r="M153" s="29" t="n"/>
      <c r="O153" s="6" t="n"/>
    </row>
    <row r="154">
      <c r="A154" s="21" t="n"/>
      <c r="D154" s="31" t="n"/>
      <c r="F154" s="29" t="n"/>
      <c r="H154" s="7">
        <f>IF(C154="","",IFERROR(INDEX('Trades'!$G$4:$G$103,MATCH(C154,'Trades'!$B$4:$B$103,0)),""))</f>
        <v/>
      </c>
      <c r="I154" s="7">
        <f>IF(AND(G154="Yes",H154="No"),"GST charged, not registered","")</f>
        <v/>
      </c>
      <c r="J154" s="21" t="n"/>
      <c r="L154" s="21" t="n"/>
      <c r="M154" s="29" t="n"/>
      <c r="O154" s="6" t="n"/>
    </row>
    <row r="155">
      <c r="A155" s="21" t="n"/>
      <c r="D155" s="31" t="n"/>
      <c r="F155" s="29" t="n"/>
      <c r="H155" s="7">
        <f>IF(C155="","",IFERROR(INDEX('Trades'!$G$4:$G$103,MATCH(C155,'Trades'!$B$4:$B$103,0)),""))</f>
        <v/>
      </c>
      <c r="I155" s="7">
        <f>IF(AND(G155="Yes",H155="No"),"GST charged, not registered","")</f>
        <v/>
      </c>
      <c r="J155" s="21" t="n"/>
      <c r="L155" s="21" t="n"/>
      <c r="M155" s="29" t="n"/>
      <c r="O155" s="6" t="n"/>
    </row>
    <row r="156">
      <c r="A156" s="21" t="n"/>
      <c r="D156" s="31" t="n"/>
      <c r="F156" s="29" t="n"/>
      <c r="H156" s="7">
        <f>IF(C156="","",IFERROR(INDEX('Trades'!$G$4:$G$103,MATCH(C156,'Trades'!$B$4:$B$103,0)),""))</f>
        <v/>
      </c>
      <c r="I156" s="7">
        <f>IF(AND(G156="Yes",H156="No"),"GST charged, not registered","")</f>
        <v/>
      </c>
      <c r="J156" s="21" t="n"/>
      <c r="L156" s="21" t="n"/>
      <c r="M156" s="29" t="n"/>
      <c r="O156" s="6" t="n"/>
    </row>
    <row r="157">
      <c r="A157" s="21" t="n"/>
      <c r="D157" s="31" t="n"/>
      <c r="F157" s="29" t="n"/>
      <c r="H157" s="7">
        <f>IF(C157="","",IFERROR(INDEX('Trades'!$G$4:$G$103,MATCH(C157,'Trades'!$B$4:$B$103,0)),""))</f>
        <v/>
      </c>
      <c r="I157" s="7">
        <f>IF(AND(G157="Yes",H157="No"),"GST charged, not registered","")</f>
        <v/>
      </c>
      <c r="J157" s="21" t="n"/>
      <c r="L157" s="21" t="n"/>
      <c r="M157" s="29" t="n"/>
      <c r="O157" s="6" t="n"/>
    </row>
    <row r="158">
      <c r="A158" s="21" t="n"/>
      <c r="D158" s="31" t="n"/>
      <c r="F158" s="29" t="n"/>
      <c r="H158" s="7">
        <f>IF(C158="","",IFERROR(INDEX('Trades'!$G$4:$G$103,MATCH(C158,'Trades'!$B$4:$B$103,0)),""))</f>
        <v/>
      </c>
      <c r="I158" s="7">
        <f>IF(AND(G158="Yes",H158="No"),"GST charged, not registered","")</f>
        <v/>
      </c>
      <c r="J158" s="21" t="n"/>
      <c r="L158" s="21" t="n"/>
      <c r="M158" s="29" t="n"/>
      <c r="O158" s="6" t="n"/>
    </row>
    <row r="159">
      <c r="A159" s="21" t="n"/>
      <c r="D159" s="31" t="n"/>
      <c r="F159" s="29" t="n"/>
      <c r="H159" s="7">
        <f>IF(C159="","",IFERROR(INDEX('Trades'!$G$4:$G$103,MATCH(C159,'Trades'!$B$4:$B$103,0)),""))</f>
        <v/>
      </c>
      <c r="I159" s="7">
        <f>IF(AND(G159="Yes",H159="No"),"GST charged, not registered","")</f>
        <v/>
      </c>
      <c r="J159" s="21" t="n"/>
      <c r="L159" s="21" t="n"/>
      <c r="M159" s="29" t="n"/>
      <c r="O159" s="6" t="n"/>
    </row>
    <row r="160">
      <c r="A160" s="21" t="n"/>
      <c r="D160" s="31" t="n"/>
      <c r="F160" s="29" t="n"/>
      <c r="H160" s="7">
        <f>IF(C160="","",IFERROR(INDEX('Trades'!$G$4:$G$103,MATCH(C160,'Trades'!$B$4:$B$103,0)),""))</f>
        <v/>
      </c>
      <c r="I160" s="7">
        <f>IF(AND(G160="Yes",H160="No"),"GST charged, not registered","")</f>
        <v/>
      </c>
      <c r="J160" s="21" t="n"/>
      <c r="L160" s="21" t="n"/>
      <c r="M160" s="29" t="n"/>
      <c r="O160" s="6" t="n"/>
    </row>
    <row r="161">
      <c r="A161" s="21" t="n"/>
      <c r="D161" s="31" t="n"/>
      <c r="F161" s="29" t="n"/>
      <c r="H161" s="7">
        <f>IF(C161="","",IFERROR(INDEX('Trades'!$G$4:$G$103,MATCH(C161,'Trades'!$B$4:$B$103,0)),""))</f>
        <v/>
      </c>
      <c r="I161" s="7">
        <f>IF(AND(G161="Yes",H161="No"),"GST charged, not registered","")</f>
        <v/>
      </c>
      <c r="J161" s="21" t="n"/>
      <c r="L161" s="21" t="n"/>
      <c r="M161" s="29" t="n"/>
      <c r="O161" s="6" t="n"/>
    </row>
    <row r="162">
      <c r="A162" s="21" t="n"/>
      <c r="D162" s="31" t="n"/>
      <c r="F162" s="29" t="n"/>
      <c r="H162" s="7">
        <f>IF(C162="","",IFERROR(INDEX('Trades'!$G$4:$G$103,MATCH(C162,'Trades'!$B$4:$B$103,0)),""))</f>
        <v/>
      </c>
      <c r="I162" s="7">
        <f>IF(AND(G162="Yes",H162="No"),"GST charged, not registered","")</f>
        <v/>
      </c>
      <c r="J162" s="21" t="n"/>
      <c r="L162" s="21" t="n"/>
      <c r="M162" s="29" t="n"/>
      <c r="O162" s="6" t="n"/>
    </row>
    <row r="163">
      <c r="A163" s="21" t="n"/>
      <c r="D163" s="31" t="n"/>
      <c r="F163" s="29" t="n"/>
      <c r="H163" s="7">
        <f>IF(C163="","",IFERROR(INDEX('Trades'!$G$4:$G$103,MATCH(C163,'Trades'!$B$4:$B$103,0)),""))</f>
        <v/>
      </c>
      <c r="I163" s="7">
        <f>IF(AND(G163="Yes",H163="No"),"GST charged, not registered","")</f>
        <v/>
      </c>
      <c r="J163" s="21" t="n"/>
      <c r="L163" s="21" t="n"/>
      <c r="M163" s="29" t="n"/>
      <c r="O163" s="6" t="n"/>
    </row>
    <row r="164">
      <c r="A164" s="21" t="n"/>
      <c r="D164" s="31" t="n"/>
      <c r="F164" s="29" t="n"/>
      <c r="H164" s="7">
        <f>IF(C164="","",IFERROR(INDEX('Trades'!$G$4:$G$103,MATCH(C164,'Trades'!$B$4:$B$103,0)),""))</f>
        <v/>
      </c>
      <c r="I164" s="7">
        <f>IF(AND(G164="Yes",H164="No"),"GST charged, not registered","")</f>
        <v/>
      </c>
      <c r="J164" s="21" t="n"/>
      <c r="L164" s="21" t="n"/>
      <c r="M164" s="29" t="n"/>
      <c r="O164" s="6" t="n"/>
    </row>
    <row r="165">
      <c r="A165" s="21" t="n"/>
      <c r="D165" s="31" t="n"/>
      <c r="F165" s="29" t="n"/>
      <c r="H165" s="7">
        <f>IF(C165="","",IFERROR(INDEX('Trades'!$G$4:$G$103,MATCH(C165,'Trades'!$B$4:$B$103,0)),""))</f>
        <v/>
      </c>
      <c r="I165" s="7">
        <f>IF(AND(G165="Yes",H165="No"),"GST charged, not registered","")</f>
        <v/>
      </c>
      <c r="J165" s="21" t="n"/>
      <c r="L165" s="21" t="n"/>
      <c r="M165" s="29" t="n"/>
      <c r="O165" s="6" t="n"/>
    </row>
    <row r="166">
      <c r="A166" s="21" t="n"/>
      <c r="D166" s="31" t="n"/>
      <c r="F166" s="29" t="n"/>
      <c r="H166" s="7">
        <f>IF(C166="","",IFERROR(INDEX('Trades'!$G$4:$G$103,MATCH(C166,'Trades'!$B$4:$B$103,0)),""))</f>
        <v/>
      </c>
      <c r="I166" s="7">
        <f>IF(AND(G166="Yes",H166="No"),"GST charged, not registered","")</f>
        <v/>
      </c>
      <c r="J166" s="21" t="n"/>
      <c r="L166" s="21" t="n"/>
      <c r="M166" s="29" t="n"/>
      <c r="O166" s="6" t="n"/>
    </row>
    <row r="167">
      <c r="A167" s="21" t="n"/>
      <c r="D167" s="31" t="n"/>
      <c r="F167" s="29" t="n"/>
      <c r="H167" s="7">
        <f>IF(C167="","",IFERROR(INDEX('Trades'!$G$4:$G$103,MATCH(C167,'Trades'!$B$4:$B$103,0)),""))</f>
        <v/>
      </c>
      <c r="I167" s="7">
        <f>IF(AND(G167="Yes",H167="No"),"GST charged, not registered","")</f>
        <v/>
      </c>
      <c r="J167" s="21" t="n"/>
      <c r="L167" s="21" t="n"/>
      <c r="M167" s="29" t="n"/>
      <c r="O167" s="6" t="n"/>
    </row>
    <row r="168">
      <c r="A168" s="21" t="n"/>
      <c r="D168" s="31" t="n"/>
      <c r="F168" s="29" t="n"/>
      <c r="H168" s="7">
        <f>IF(C168="","",IFERROR(INDEX('Trades'!$G$4:$G$103,MATCH(C168,'Trades'!$B$4:$B$103,0)),""))</f>
        <v/>
      </c>
      <c r="I168" s="7">
        <f>IF(AND(G168="Yes",H168="No"),"GST charged, not registered","")</f>
        <v/>
      </c>
      <c r="J168" s="21" t="n"/>
      <c r="L168" s="21" t="n"/>
      <c r="M168" s="29" t="n"/>
      <c r="O168" s="6" t="n"/>
    </row>
    <row r="169">
      <c r="A169" s="21" t="n"/>
      <c r="D169" s="31" t="n"/>
      <c r="F169" s="29" t="n"/>
      <c r="H169" s="7">
        <f>IF(C169="","",IFERROR(INDEX('Trades'!$G$4:$G$103,MATCH(C169,'Trades'!$B$4:$B$103,0)),""))</f>
        <v/>
      </c>
      <c r="I169" s="7">
        <f>IF(AND(G169="Yes",H169="No"),"GST charged, not registered","")</f>
        <v/>
      </c>
      <c r="J169" s="21" t="n"/>
      <c r="L169" s="21" t="n"/>
      <c r="M169" s="29" t="n"/>
      <c r="O169" s="6" t="n"/>
    </row>
    <row r="170">
      <c r="A170" s="21" t="n"/>
      <c r="D170" s="31" t="n"/>
      <c r="F170" s="29" t="n"/>
      <c r="H170" s="7">
        <f>IF(C170="","",IFERROR(INDEX('Trades'!$G$4:$G$103,MATCH(C170,'Trades'!$B$4:$B$103,0)),""))</f>
        <v/>
      </c>
      <c r="I170" s="7">
        <f>IF(AND(G170="Yes",H170="No"),"GST charged, not registered","")</f>
        <v/>
      </c>
      <c r="J170" s="21" t="n"/>
      <c r="L170" s="21" t="n"/>
      <c r="M170" s="29" t="n"/>
      <c r="O170" s="6" t="n"/>
    </row>
    <row r="171">
      <c r="A171" s="21" t="n"/>
      <c r="D171" s="31" t="n"/>
      <c r="F171" s="29" t="n"/>
      <c r="H171" s="7">
        <f>IF(C171="","",IFERROR(INDEX('Trades'!$G$4:$G$103,MATCH(C171,'Trades'!$B$4:$B$103,0)),""))</f>
        <v/>
      </c>
      <c r="I171" s="7">
        <f>IF(AND(G171="Yes",H171="No"),"GST charged, not registered","")</f>
        <v/>
      </c>
      <c r="J171" s="21" t="n"/>
      <c r="L171" s="21" t="n"/>
      <c r="M171" s="29" t="n"/>
      <c r="O171" s="6" t="n"/>
    </row>
    <row r="172">
      <c r="A172" s="21" t="n"/>
      <c r="D172" s="31" t="n"/>
      <c r="F172" s="29" t="n"/>
      <c r="H172" s="7">
        <f>IF(C172="","",IFERROR(INDEX('Trades'!$G$4:$G$103,MATCH(C172,'Trades'!$B$4:$B$103,0)),""))</f>
        <v/>
      </c>
      <c r="I172" s="7">
        <f>IF(AND(G172="Yes",H172="No"),"GST charged, not registered","")</f>
        <v/>
      </c>
      <c r="J172" s="21" t="n"/>
      <c r="L172" s="21" t="n"/>
      <c r="M172" s="29" t="n"/>
      <c r="O172" s="6" t="n"/>
    </row>
    <row r="173">
      <c r="A173" s="21" t="n"/>
      <c r="D173" s="31" t="n"/>
      <c r="F173" s="29" t="n"/>
      <c r="H173" s="7">
        <f>IF(C173="","",IFERROR(INDEX('Trades'!$G$4:$G$103,MATCH(C173,'Trades'!$B$4:$B$103,0)),""))</f>
        <v/>
      </c>
      <c r="I173" s="7">
        <f>IF(AND(G173="Yes",H173="No"),"GST charged, not registered","")</f>
        <v/>
      </c>
      <c r="J173" s="21" t="n"/>
      <c r="L173" s="21" t="n"/>
      <c r="M173" s="29" t="n"/>
      <c r="O173" s="6" t="n"/>
    </row>
    <row r="174">
      <c r="A174" s="21" t="n"/>
      <c r="D174" s="31" t="n"/>
      <c r="F174" s="29" t="n"/>
      <c r="H174" s="7">
        <f>IF(C174="","",IFERROR(INDEX('Trades'!$G$4:$G$103,MATCH(C174,'Trades'!$B$4:$B$103,0)),""))</f>
        <v/>
      </c>
      <c r="I174" s="7">
        <f>IF(AND(G174="Yes",H174="No"),"GST charged, not registered","")</f>
        <v/>
      </c>
      <c r="J174" s="21" t="n"/>
      <c r="L174" s="21" t="n"/>
      <c r="M174" s="29" t="n"/>
      <c r="O174" s="6" t="n"/>
    </row>
    <row r="175">
      <c r="A175" s="21" t="n"/>
      <c r="D175" s="31" t="n"/>
      <c r="F175" s="29" t="n"/>
      <c r="H175" s="7">
        <f>IF(C175="","",IFERROR(INDEX('Trades'!$G$4:$G$103,MATCH(C175,'Trades'!$B$4:$B$103,0)),""))</f>
        <v/>
      </c>
      <c r="I175" s="7">
        <f>IF(AND(G175="Yes",H175="No"),"GST charged, not registered","")</f>
        <v/>
      </c>
      <c r="J175" s="21" t="n"/>
      <c r="L175" s="21" t="n"/>
      <c r="M175" s="29" t="n"/>
      <c r="O175" s="6" t="n"/>
    </row>
    <row r="176">
      <c r="A176" s="21" t="n"/>
      <c r="D176" s="31" t="n"/>
      <c r="F176" s="29" t="n"/>
      <c r="H176" s="7">
        <f>IF(C176="","",IFERROR(INDEX('Trades'!$G$4:$G$103,MATCH(C176,'Trades'!$B$4:$B$103,0)),""))</f>
        <v/>
      </c>
      <c r="I176" s="7">
        <f>IF(AND(G176="Yes",H176="No"),"GST charged, not registered","")</f>
        <v/>
      </c>
      <c r="J176" s="21" t="n"/>
      <c r="L176" s="21" t="n"/>
      <c r="M176" s="29" t="n"/>
      <c r="O176" s="6" t="n"/>
    </row>
    <row r="177">
      <c r="A177" s="21" t="n"/>
      <c r="D177" s="31" t="n"/>
      <c r="F177" s="29" t="n"/>
      <c r="H177" s="7">
        <f>IF(C177="","",IFERROR(INDEX('Trades'!$G$4:$G$103,MATCH(C177,'Trades'!$B$4:$B$103,0)),""))</f>
        <v/>
      </c>
      <c r="I177" s="7">
        <f>IF(AND(G177="Yes",H177="No"),"GST charged, not registered","")</f>
        <v/>
      </c>
      <c r="J177" s="21" t="n"/>
      <c r="L177" s="21" t="n"/>
      <c r="M177" s="29" t="n"/>
      <c r="O177" s="6" t="n"/>
    </row>
    <row r="178">
      <c r="A178" s="21" t="n"/>
      <c r="D178" s="31" t="n"/>
      <c r="F178" s="29" t="n"/>
      <c r="H178" s="7">
        <f>IF(C178="","",IFERROR(INDEX('Trades'!$G$4:$G$103,MATCH(C178,'Trades'!$B$4:$B$103,0)),""))</f>
        <v/>
      </c>
      <c r="I178" s="7">
        <f>IF(AND(G178="Yes",H178="No"),"GST charged, not registered","")</f>
        <v/>
      </c>
      <c r="J178" s="21" t="n"/>
      <c r="L178" s="21" t="n"/>
      <c r="M178" s="29" t="n"/>
      <c r="O178" s="6" t="n"/>
    </row>
    <row r="179">
      <c r="A179" s="21" t="n"/>
      <c r="D179" s="31" t="n"/>
      <c r="F179" s="29" t="n"/>
      <c r="H179" s="7">
        <f>IF(C179="","",IFERROR(INDEX('Trades'!$G$4:$G$103,MATCH(C179,'Trades'!$B$4:$B$103,0)),""))</f>
        <v/>
      </c>
      <c r="I179" s="7">
        <f>IF(AND(G179="Yes",H179="No"),"GST charged, not registered","")</f>
        <v/>
      </c>
      <c r="J179" s="21" t="n"/>
      <c r="L179" s="21" t="n"/>
      <c r="M179" s="29" t="n"/>
      <c r="O179" s="6" t="n"/>
    </row>
    <row r="180">
      <c r="A180" s="21" t="n"/>
      <c r="D180" s="31" t="n"/>
      <c r="F180" s="29" t="n"/>
      <c r="H180" s="7">
        <f>IF(C180="","",IFERROR(INDEX('Trades'!$G$4:$G$103,MATCH(C180,'Trades'!$B$4:$B$103,0)),""))</f>
        <v/>
      </c>
      <c r="I180" s="7">
        <f>IF(AND(G180="Yes",H180="No"),"GST charged, not registered","")</f>
        <v/>
      </c>
      <c r="J180" s="21" t="n"/>
      <c r="L180" s="21" t="n"/>
      <c r="M180" s="29" t="n"/>
      <c r="O180" s="6" t="n"/>
    </row>
    <row r="181">
      <c r="A181" s="21" t="n"/>
      <c r="D181" s="31" t="n"/>
      <c r="F181" s="29" t="n"/>
      <c r="H181" s="7">
        <f>IF(C181="","",IFERROR(INDEX('Trades'!$G$4:$G$103,MATCH(C181,'Trades'!$B$4:$B$103,0)),""))</f>
        <v/>
      </c>
      <c r="I181" s="7">
        <f>IF(AND(G181="Yes",H181="No"),"GST charged, not registered","")</f>
        <v/>
      </c>
      <c r="J181" s="21" t="n"/>
      <c r="L181" s="21" t="n"/>
      <c r="M181" s="29" t="n"/>
      <c r="O181" s="6" t="n"/>
    </row>
    <row r="182">
      <c r="A182" s="21" t="n"/>
      <c r="D182" s="31" t="n"/>
      <c r="F182" s="29" t="n"/>
      <c r="H182" s="7">
        <f>IF(C182="","",IFERROR(INDEX('Trades'!$G$4:$G$103,MATCH(C182,'Trades'!$B$4:$B$103,0)),""))</f>
        <v/>
      </c>
      <c r="I182" s="7">
        <f>IF(AND(G182="Yes",H182="No"),"GST charged, not registered","")</f>
        <v/>
      </c>
      <c r="J182" s="21" t="n"/>
      <c r="L182" s="21" t="n"/>
      <c r="M182" s="29" t="n"/>
      <c r="O182" s="6" t="n"/>
    </row>
    <row r="183">
      <c r="A183" s="21" t="n"/>
      <c r="D183" s="31" t="n"/>
      <c r="F183" s="29" t="n"/>
      <c r="H183" s="7">
        <f>IF(C183="","",IFERROR(INDEX('Trades'!$G$4:$G$103,MATCH(C183,'Trades'!$B$4:$B$103,0)),""))</f>
        <v/>
      </c>
      <c r="I183" s="7">
        <f>IF(AND(G183="Yes",H183="No"),"GST charged, not registered","")</f>
        <v/>
      </c>
      <c r="J183" s="21" t="n"/>
      <c r="L183" s="21" t="n"/>
      <c r="M183" s="29" t="n"/>
      <c r="O183" s="6" t="n"/>
    </row>
    <row r="184">
      <c r="A184" s="21" t="n"/>
      <c r="D184" s="31" t="n"/>
      <c r="F184" s="29" t="n"/>
      <c r="H184" s="7">
        <f>IF(C184="","",IFERROR(INDEX('Trades'!$G$4:$G$103,MATCH(C184,'Trades'!$B$4:$B$103,0)),""))</f>
        <v/>
      </c>
      <c r="I184" s="7">
        <f>IF(AND(G184="Yes",H184="No"),"GST charged, not registered","")</f>
        <v/>
      </c>
      <c r="J184" s="21" t="n"/>
      <c r="L184" s="21" t="n"/>
      <c r="M184" s="29" t="n"/>
      <c r="O184" s="6" t="n"/>
    </row>
    <row r="185">
      <c r="A185" s="21" t="n"/>
      <c r="D185" s="31" t="n"/>
      <c r="F185" s="29" t="n"/>
      <c r="H185" s="7">
        <f>IF(C185="","",IFERROR(INDEX('Trades'!$G$4:$G$103,MATCH(C185,'Trades'!$B$4:$B$103,0)),""))</f>
        <v/>
      </c>
      <c r="I185" s="7">
        <f>IF(AND(G185="Yes",H185="No"),"GST charged, not registered","")</f>
        <v/>
      </c>
      <c r="J185" s="21" t="n"/>
      <c r="L185" s="21" t="n"/>
      <c r="M185" s="29" t="n"/>
      <c r="O185" s="6" t="n"/>
    </row>
    <row r="186">
      <c r="A186" s="21" t="n"/>
      <c r="D186" s="31" t="n"/>
      <c r="F186" s="29" t="n"/>
      <c r="H186" s="7">
        <f>IF(C186="","",IFERROR(INDEX('Trades'!$G$4:$G$103,MATCH(C186,'Trades'!$B$4:$B$103,0)),""))</f>
        <v/>
      </c>
      <c r="I186" s="7">
        <f>IF(AND(G186="Yes",H186="No"),"GST charged, not registered","")</f>
        <v/>
      </c>
      <c r="J186" s="21" t="n"/>
      <c r="L186" s="21" t="n"/>
      <c r="M186" s="29" t="n"/>
      <c r="O186" s="6" t="n"/>
    </row>
    <row r="187">
      <c r="A187" s="21" t="n"/>
      <c r="D187" s="31" t="n"/>
      <c r="F187" s="29" t="n"/>
      <c r="H187" s="7">
        <f>IF(C187="","",IFERROR(INDEX('Trades'!$G$4:$G$103,MATCH(C187,'Trades'!$B$4:$B$103,0)),""))</f>
        <v/>
      </c>
      <c r="I187" s="7">
        <f>IF(AND(G187="Yes",H187="No"),"GST charged, not registered","")</f>
        <v/>
      </c>
      <c r="J187" s="21" t="n"/>
      <c r="L187" s="21" t="n"/>
      <c r="M187" s="29" t="n"/>
      <c r="O187" s="6" t="n"/>
    </row>
    <row r="188">
      <c r="A188" s="21" t="n"/>
      <c r="D188" s="31" t="n"/>
      <c r="F188" s="29" t="n"/>
      <c r="H188" s="7">
        <f>IF(C188="","",IFERROR(INDEX('Trades'!$G$4:$G$103,MATCH(C188,'Trades'!$B$4:$B$103,0)),""))</f>
        <v/>
      </c>
      <c r="I188" s="7">
        <f>IF(AND(G188="Yes",H188="No"),"GST charged, not registered","")</f>
        <v/>
      </c>
      <c r="J188" s="21" t="n"/>
      <c r="L188" s="21" t="n"/>
      <c r="M188" s="29" t="n"/>
      <c r="O188" s="6" t="n"/>
    </row>
    <row r="189">
      <c r="A189" s="21" t="n"/>
      <c r="D189" s="31" t="n"/>
      <c r="F189" s="29" t="n"/>
      <c r="H189" s="7">
        <f>IF(C189="","",IFERROR(INDEX('Trades'!$G$4:$G$103,MATCH(C189,'Trades'!$B$4:$B$103,0)),""))</f>
        <v/>
      </c>
      <c r="I189" s="7">
        <f>IF(AND(G189="Yes",H189="No"),"GST charged, not registered","")</f>
        <v/>
      </c>
      <c r="J189" s="21" t="n"/>
      <c r="L189" s="21" t="n"/>
      <c r="M189" s="29" t="n"/>
      <c r="O189" s="6" t="n"/>
    </row>
    <row r="190">
      <c r="A190" s="21" t="n"/>
      <c r="D190" s="31" t="n"/>
      <c r="F190" s="29" t="n"/>
      <c r="H190" s="7">
        <f>IF(C190="","",IFERROR(INDEX('Trades'!$G$4:$G$103,MATCH(C190,'Trades'!$B$4:$B$103,0)),""))</f>
        <v/>
      </c>
      <c r="I190" s="7">
        <f>IF(AND(G190="Yes",H190="No"),"GST charged, not registered","")</f>
        <v/>
      </c>
      <c r="J190" s="21" t="n"/>
      <c r="L190" s="21" t="n"/>
      <c r="M190" s="29" t="n"/>
      <c r="O190" s="6" t="n"/>
    </row>
    <row r="191">
      <c r="A191" s="21" t="n"/>
      <c r="D191" s="31" t="n"/>
      <c r="F191" s="29" t="n"/>
      <c r="H191" s="7">
        <f>IF(C191="","",IFERROR(INDEX('Trades'!$G$4:$G$103,MATCH(C191,'Trades'!$B$4:$B$103,0)),""))</f>
        <v/>
      </c>
      <c r="I191" s="7">
        <f>IF(AND(G191="Yes",H191="No"),"GST charged, not registered","")</f>
        <v/>
      </c>
      <c r="J191" s="21" t="n"/>
      <c r="L191" s="21" t="n"/>
      <c r="M191" s="29" t="n"/>
      <c r="O191" s="6" t="n"/>
    </row>
    <row r="192">
      <c r="A192" s="21" t="n"/>
      <c r="D192" s="31" t="n"/>
      <c r="F192" s="29" t="n"/>
      <c r="H192" s="7">
        <f>IF(C192="","",IFERROR(INDEX('Trades'!$G$4:$G$103,MATCH(C192,'Trades'!$B$4:$B$103,0)),""))</f>
        <v/>
      </c>
      <c r="I192" s="7">
        <f>IF(AND(G192="Yes",H192="No"),"GST charged, not registered","")</f>
        <v/>
      </c>
      <c r="J192" s="21" t="n"/>
      <c r="L192" s="21" t="n"/>
      <c r="M192" s="29" t="n"/>
      <c r="O192" s="6" t="n"/>
    </row>
    <row r="193">
      <c r="A193" s="21" t="n"/>
      <c r="D193" s="31" t="n"/>
      <c r="F193" s="29" t="n"/>
      <c r="H193" s="7">
        <f>IF(C193="","",IFERROR(INDEX('Trades'!$G$4:$G$103,MATCH(C193,'Trades'!$B$4:$B$103,0)),""))</f>
        <v/>
      </c>
      <c r="I193" s="7">
        <f>IF(AND(G193="Yes",H193="No"),"GST charged, not registered","")</f>
        <v/>
      </c>
      <c r="J193" s="21" t="n"/>
      <c r="L193" s="21" t="n"/>
      <c r="M193" s="29" t="n"/>
      <c r="O193" s="6" t="n"/>
    </row>
    <row r="194">
      <c r="A194" s="21" t="n"/>
      <c r="D194" s="31" t="n"/>
      <c r="F194" s="29" t="n"/>
      <c r="H194" s="7">
        <f>IF(C194="","",IFERROR(INDEX('Trades'!$G$4:$G$103,MATCH(C194,'Trades'!$B$4:$B$103,0)),""))</f>
        <v/>
      </c>
      <c r="I194" s="7">
        <f>IF(AND(G194="Yes",H194="No"),"GST charged, not registered","")</f>
        <v/>
      </c>
      <c r="J194" s="21" t="n"/>
      <c r="L194" s="21" t="n"/>
      <c r="M194" s="29" t="n"/>
      <c r="O194" s="6" t="n"/>
    </row>
    <row r="195">
      <c r="A195" s="21" t="n"/>
      <c r="D195" s="31" t="n"/>
      <c r="F195" s="29" t="n"/>
      <c r="H195" s="7">
        <f>IF(C195="","",IFERROR(INDEX('Trades'!$G$4:$G$103,MATCH(C195,'Trades'!$B$4:$B$103,0)),""))</f>
        <v/>
      </c>
      <c r="I195" s="7">
        <f>IF(AND(G195="Yes",H195="No"),"GST charged, not registered","")</f>
        <v/>
      </c>
      <c r="J195" s="21" t="n"/>
      <c r="L195" s="21" t="n"/>
      <c r="M195" s="29" t="n"/>
      <c r="O195" s="6" t="n"/>
    </row>
    <row r="196">
      <c r="A196" s="21" t="n"/>
      <c r="D196" s="31" t="n"/>
      <c r="F196" s="29" t="n"/>
      <c r="H196" s="7">
        <f>IF(C196="","",IFERROR(INDEX('Trades'!$G$4:$G$103,MATCH(C196,'Trades'!$B$4:$B$103,0)),""))</f>
        <v/>
      </c>
      <c r="I196" s="7">
        <f>IF(AND(G196="Yes",H196="No"),"GST charged, not registered","")</f>
        <v/>
      </c>
      <c r="J196" s="21" t="n"/>
      <c r="L196" s="21" t="n"/>
      <c r="M196" s="29" t="n"/>
      <c r="O196" s="6" t="n"/>
    </row>
    <row r="197">
      <c r="A197" s="21" t="n"/>
      <c r="D197" s="31" t="n"/>
      <c r="F197" s="29" t="n"/>
      <c r="H197" s="7">
        <f>IF(C197="","",IFERROR(INDEX('Trades'!$G$4:$G$103,MATCH(C197,'Trades'!$B$4:$B$103,0)),""))</f>
        <v/>
      </c>
      <c r="I197" s="7">
        <f>IF(AND(G197="Yes",H197="No"),"GST charged, not registered","")</f>
        <v/>
      </c>
      <c r="J197" s="21" t="n"/>
      <c r="L197" s="21" t="n"/>
      <c r="M197" s="29" t="n"/>
      <c r="O197" s="6" t="n"/>
    </row>
    <row r="198">
      <c r="A198" s="21" t="n"/>
      <c r="D198" s="31" t="n"/>
      <c r="F198" s="29" t="n"/>
      <c r="H198" s="7">
        <f>IF(C198="","",IFERROR(INDEX('Trades'!$G$4:$G$103,MATCH(C198,'Trades'!$B$4:$B$103,0)),""))</f>
        <v/>
      </c>
      <c r="I198" s="7">
        <f>IF(AND(G198="Yes",H198="No"),"GST charged, not registered","")</f>
        <v/>
      </c>
      <c r="J198" s="21" t="n"/>
      <c r="L198" s="21" t="n"/>
      <c r="M198" s="29" t="n"/>
      <c r="O198" s="6" t="n"/>
    </row>
    <row r="199">
      <c r="A199" s="21" t="n"/>
      <c r="D199" s="31" t="n"/>
      <c r="F199" s="29" t="n"/>
      <c r="H199" s="7">
        <f>IF(C199="","",IFERROR(INDEX('Trades'!$G$4:$G$103,MATCH(C199,'Trades'!$B$4:$B$103,0)),""))</f>
        <v/>
      </c>
      <c r="I199" s="7">
        <f>IF(AND(G199="Yes",H199="No"),"GST charged, not registered","")</f>
        <v/>
      </c>
      <c r="J199" s="21" t="n"/>
      <c r="L199" s="21" t="n"/>
      <c r="M199" s="29" t="n"/>
      <c r="O199" s="6" t="n"/>
    </row>
    <row r="200">
      <c r="A200" s="21" t="n"/>
      <c r="D200" s="31" t="n"/>
      <c r="F200" s="29" t="n"/>
      <c r="H200" s="7">
        <f>IF(C200="","",IFERROR(INDEX('Trades'!$G$4:$G$103,MATCH(C200,'Trades'!$B$4:$B$103,0)),""))</f>
        <v/>
      </c>
      <c r="I200" s="7">
        <f>IF(AND(G200="Yes",H200="No"),"GST charged, not registered","")</f>
        <v/>
      </c>
      <c r="J200" s="21" t="n"/>
      <c r="L200" s="21" t="n"/>
      <c r="M200" s="29" t="n"/>
      <c r="O200" s="6" t="n"/>
    </row>
    <row r="201">
      <c r="A201" s="21" t="n"/>
      <c r="D201" s="31" t="n"/>
      <c r="F201" s="29" t="n"/>
      <c r="H201" s="7">
        <f>IF(C201="","",IFERROR(INDEX('Trades'!$G$4:$G$103,MATCH(C201,'Trades'!$B$4:$B$103,0)),""))</f>
        <v/>
      </c>
      <c r="I201" s="7">
        <f>IF(AND(G201="Yes",H201="No"),"GST charged, not registered","")</f>
        <v/>
      </c>
      <c r="J201" s="21" t="n"/>
      <c r="L201" s="21" t="n"/>
      <c r="M201" s="29" t="n"/>
      <c r="O201" s="6" t="n"/>
    </row>
    <row r="202">
      <c r="A202" s="21" t="n"/>
      <c r="D202" s="31" t="n"/>
      <c r="F202" s="29" t="n"/>
      <c r="H202" s="7">
        <f>IF(C202="","",IFERROR(INDEX('Trades'!$G$4:$G$103,MATCH(C202,'Trades'!$B$4:$B$103,0)),""))</f>
        <v/>
      </c>
      <c r="I202" s="7">
        <f>IF(AND(G202="Yes",H202="No"),"GST charged, not registered","")</f>
        <v/>
      </c>
      <c r="J202" s="21" t="n"/>
      <c r="L202" s="21" t="n"/>
      <c r="M202" s="29" t="n"/>
      <c r="O202" s="6" t="n"/>
    </row>
    <row r="203">
      <c r="A203" s="21" t="n"/>
      <c r="D203" s="31" t="n"/>
      <c r="F203" s="29" t="n"/>
      <c r="H203" s="7">
        <f>IF(C203="","",IFERROR(INDEX('Trades'!$G$4:$G$103,MATCH(C203,'Trades'!$B$4:$B$103,0)),""))</f>
        <v/>
      </c>
      <c r="I203" s="7">
        <f>IF(AND(G203="Yes",H203="No"),"GST charged, not registered","")</f>
        <v/>
      </c>
      <c r="J203" s="21" t="n"/>
      <c r="L203" s="21" t="n"/>
      <c r="M203" s="29" t="n"/>
      <c r="O203" s="6" t="n"/>
    </row>
    <row r="204">
      <c r="A204" s="21" t="n"/>
      <c r="D204" s="31" t="n"/>
      <c r="F204" s="29" t="n"/>
      <c r="H204" s="7">
        <f>IF(C204="","",IFERROR(INDEX('Trades'!$G$4:$G$103,MATCH(C204,'Trades'!$B$4:$B$103,0)),""))</f>
        <v/>
      </c>
      <c r="I204" s="7">
        <f>IF(AND(G204="Yes",H204="No"),"GST charged, not registered","")</f>
        <v/>
      </c>
      <c r="J204" s="21" t="n"/>
      <c r="L204" s="21" t="n"/>
      <c r="M204" s="29" t="n"/>
      <c r="O204" s="6" t="n"/>
    </row>
    <row r="205">
      <c r="A205" s="21" t="n"/>
      <c r="D205" s="31" t="n"/>
      <c r="F205" s="29" t="n"/>
      <c r="H205" s="7">
        <f>IF(C205="","",IFERROR(INDEX('Trades'!$G$4:$G$103,MATCH(C205,'Trades'!$B$4:$B$103,0)),""))</f>
        <v/>
      </c>
      <c r="I205" s="7">
        <f>IF(AND(G205="Yes",H205="No"),"GST charged, not registered","")</f>
        <v/>
      </c>
      <c r="J205" s="21" t="n"/>
      <c r="L205" s="21" t="n"/>
      <c r="M205" s="29" t="n"/>
      <c r="O205" s="6" t="n"/>
    </row>
    <row r="206">
      <c r="A206" s="21" t="n"/>
      <c r="D206" s="31" t="n"/>
      <c r="F206" s="29" t="n"/>
      <c r="H206" s="7">
        <f>IF(C206="","",IFERROR(INDEX('Trades'!$G$4:$G$103,MATCH(C206,'Trades'!$B$4:$B$103,0)),""))</f>
        <v/>
      </c>
      <c r="I206" s="7">
        <f>IF(AND(G206="Yes",H206="No"),"GST charged, not registered","")</f>
        <v/>
      </c>
      <c r="J206" s="21" t="n"/>
      <c r="L206" s="21" t="n"/>
      <c r="M206" s="29" t="n"/>
      <c r="O206" s="6" t="n"/>
    </row>
    <row r="207">
      <c r="A207" s="21" t="n"/>
      <c r="D207" s="31" t="n"/>
      <c r="F207" s="29" t="n"/>
      <c r="H207" s="7">
        <f>IF(C207="","",IFERROR(INDEX('Trades'!$G$4:$G$103,MATCH(C207,'Trades'!$B$4:$B$103,0)),""))</f>
        <v/>
      </c>
      <c r="I207" s="7">
        <f>IF(AND(G207="Yes",H207="No"),"GST charged, not registered","")</f>
        <v/>
      </c>
      <c r="J207" s="21" t="n"/>
      <c r="L207" s="21" t="n"/>
      <c r="M207" s="29" t="n"/>
      <c r="O207" s="6" t="n"/>
    </row>
    <row r="208">
      <c r="A208" s="21" t="n"/>
      <c r="D208" s="31" t="n"/>
      <c r="F208" s="29" t="n"/>
      <c r="H208" s="7">
        <f>IF(C208="","",IFERROR(INDEX('Trades'!$G$4:$G$103,MATCH(C208,'Trades'!$B$4:$B$103,0)),""))</f>
        <v/>
      </c>
      <c r="I208" s="7">
        <f>IF(AND(G208="Yes",H208="No"),"GST charged, not registered","")</f>
        <v/>
      </c>
      <c r="J208" s="21" t="n"/>
      <c r="L208" s="21" t="n"/>
      <c r="M208" s="29" t="n"/>
      <c r="O208" s="6" t="n"/>
    </row>
    <row r="209">
      <c r="A209" s="21" t="n"/>
      <c r="D209" s="31" t="n"/>
      <c r="F209" s="29" t="n"/>
      <c r="H209" s="7">
        <f>IF(C209="","",IFERROR(INDEX('Trades'!$G$4:$G$103,MATCH(C209,'Trades'!$B$4:$B$103,0)),""))</f>
        <v/>
      </c>
      <c r="I209" s="7">
        <f>IF(AND(G209="Yes",H209="No"),"GST charged, not registered","")</f>
        <v/>
      </c>
      <c r="J209" s="21" t="n"/>
      <c r="L209" s="21" t="n"/>
      <c r="M209" s="29" t="n"/>
      <c r="O209" s="6" t="n"/>
    </row>
    <row r="210">
      <c r="A210" s="21" t="n"/>
      <c r="D210" s="31" t="n"/>
      <c r="F210" s="29" t="n"/>
      <c r="H210" s="7">
        <f>IF(C210="","",IFERROR(INDEX('Trades'!$G$4:$G$103,MATCH(C210,'Trades'!$B$4:$B$103,0)),""))</f>
        <v/>
      </c>
      <c r="I210" s="7">
        <f>IF(AND(G210="Yes",H210="No"),"GST charged, not registered","")</f>
        <v/>
      </c>
      <c r="J210" s="21" t="n"/>
      <c r="L210" s="21" t="n"/>
      <c r="M210" s="29" t="n"/>
      <c r="O210" s="6" t="n"/>
    </row>
    <row r="211">
      <c r="A211" s="21" t="n"/>
      <c r="D211" s="31" t="n"/>
      <c r="F211" s="29" t="n"/>
      <c r="H211" s="7">
        <f>IF(C211="","",IFERROR(INDEX('Trades'!$G$4:$G$103,MATCH(C211,'Trades'!$B$4:$B$103,0)),""))</f>
        <v/>
      </c>
      <c r="I211" s="7">
        <f>IF(AND(G211="Yes",H211="No"),"GST charged, not registered","")</f>
        <v/>
      </c>
      <c r="J211" s="21" t="n"/>
      <c r="L211" s="21" t="n"/>
      <c r="M211" s="29" t="n"/>
      <c r="O211" s="6" t="n"/>
    </row>
    <row r="212">
      <c r="A212" s="21" t="n"/>
      <c r="D212" s="31" t="n"/>
      <c r="F212" s="29" t="n"/>
      <c r="H212" s="7">
        <f>IF(C212="","",IFERROR(INDEX('Trades'!$G$4:$G$103,MATCH(C212,'Trades'!$B$4:$B$103,0)),""))</f>
        <v/>
      </c>
      <c r="I212" s="7">
        <f>IF(AND(G212="Yes",H212="No"),"GST charged, not registered","")</f>
        <v/>
      </c>
      <c r="J212" s="21" t="n"/>
      <c r="L212" s="21" t="n"/>
      <c r="M212" s="29" t="n"/>
      <c r="O212" s="6" t="n"/>
    </row>
    <row r="213">
      <c r="A213" s="21" t="n"/>
      <c r="D213" s="31" t="n"/>
      <c r="F213" s="29" t="n"/>
      <c r="H213" s="7">
        <f>IF(C213="","",IFERROR(INDEX('Trades'!$G$4:$G$103,MATCH(C213,'Trades'!$B$4:$B$103,0)),""))</f>
        <v/>
      </c>
      <c r="I213" s="7">
        <f>IF(AND(G213="Yes",H213="No"),"GST charged, not registered","")</f>
        <v/>
      </c>
      <c r="J213" s="21" t="n"/>
      <c r="L213" s="21" t="n"/>
      <c r="M213" s="29" t="n"/>
      <c r="O213" s="6" t="n"/>
    </row>
    <row r="214">
      <c r="A214" s="21" t="n"/>
      <c r="D214" s="31" t="n"/>
      <c r="F214" s="29" t="n"/>
      <c r="H214" s="7">
        <f>IF(C214="","",IFERROR(INDEX('Trades'!$G$4:$G$103,MATCH(C214,'Trades'!$B$4:$B$103,0)),""))</f>
        <v/>
      </c>
      <c r="I214" s="7">
        <f>IF(AND(G214="Yes",H214="No"),"GST charged, not registered","")</f>
        <v/>
      </c>
      <c r="J214" s="21" t="n"/>
      <c r="L214" s="21" t="n"/>
      <c r="M214" s="29" t="n"/>
      <c r="O214" s="6" t="n"/>
    </row>
    <row r="215">
      <c r="A215" s="21" t="n"/>
      <c r="D215" s="31" t="n"/>
      <c r="F215" s="29" t="n"/>
      <c r="H215" s="7">
        <f>IF(C215="","",IFERROR(INDEX('Trades'!$G$4:$G$103,MATCH(C215,'Trades'!$B$4:$B$103,0)),""))</f>
        <v/>
      </c>
      <c r="I215" s="7">
        <f>IF(AND(G215="Yes",H215="No"),"GST charged, not registered","")</f>
        <v/>
      </c>
      <c r="J215" s="21" t="n"/>
      <c r="L215" s="21" t="n"/>
      <c r="M215" s="29" t="n"/>
      <c r="O215" s="6" t="n"/>
    </row>
    <row r="216">
      <c r="A216" s="21" t="n"/>
      <c r="D216" s="31" t="n"/>
      <c r="F216" s="29" t="n"/>
      <c r="H216" s="7">
        <f>IF(C216="","",IFERROR(INDEX('Trades'!$G$4:$G$103,MATCH(C216,'Trades'!$B$4:$B$103,0)),""))</f>
        <v/>
      </c>
      <c r="I216" s="7">
        <f>IF(AND(G216="Yes",H216="No"),"GST charged, not registered","")</f>
        <v/>
      </c>
      <c r="J216" s="21" t="n"/>
      <c r="L216" s="21" t="n"/>
      <c r="M216" s="29" t="n"/>
      <c r="O216" s="6" t="n"/>
    </row>
    <row r="217">
      <c r="A217" s="21" t="n"/>
      <c r="D217" s="31" t="n"/>
      <c r="F217" s="29" t="n"/>
      <c r="H217" s="7">
        <f>IF(C217="","",IFERROR(INDEX('Trades'!$G$4:$G$103,MATCH(C217,'Trades'!$B$4:$B$103,0)),""))</f>
        <v/>
      </c>
      <c r="I217" s="7">
        <f>IF(AND(G217="Yes",H217="No"),"GST charged, not registered","")</f>
        <v/>
      </c>
      <c r="J217" s="21" t="n"/>
      <c r="L217" s="21" t="n"/>
      <c r="M217" s="29" t="n"/>
      <c r="O217" s="6" t="n"/>
    </row>
    <row r="218">
      <c r="A218" s="21" t="n"/>
      <c r="D218" s="31" t="n"/>
      <c r="F218" s="29" t="n"/>
      <c r="H218" s="7">
        <f>IF(C218="","",IFERROR(INDEX('Trades'!$G$4:$G$103,MATCH(C218,'Trades'!$B$4:$B$103,0)),""))</f>
        <v/>
      </c>
      <c r="I218" s="7">
        <f>IF(AND(G218="Yes",H218="No"),"GST charged, not registered","")</f>
        <v/>
      </c>
      <c r="J218" s="21" t="n"/>
      <c r="L218" s="21" t="n"/>
      <c r="M218" s="29" t="n"/>
      <c r="O218" s="6" t="n"/>
    </row>
    <row r="219">
      <c r="A219" s="21" t="n"/>
      <c r="D219" s="31" t="n"/>
      <c r="F219" s="29" t="n"/>
      <c r="H219" s="7">
        <f>IF(C219="","",IFERROR(INDEX('Trades'!$G$4:$G$103,MATCH(C219,'Trades'!$B$4:$B$103,0)),""))</f>
        <v/>
      </c>
      <c r="I219" s="7">
        <f>IF(AND(G219="Yes",H219="No"),"GST charged, not registered","")</f>
        <v/>
      </c>
      <c r="J219" s="21" t="n"/>
      <c r="L219" s="21" t="n"/>
      <c r="M219" s="29" t="n"/>
      <c r="O219" s="6" t="n"/>
    </row>
    <row r="220">
      <c r="A220" s="21" t="n"/>
      <c r="D220" s="31" t="n"/>
      <c r="F220" s="29" t="n"/>
      <c r="H220" s="7">
        <f>IF(C220="","",IFERROR(INDEX('Trades'!$G$4:$G$103,MATCH(C220,'Trades'!$B$4:$B$103,0)),""))</f>
        <v/>
      </c>
      <c r="I220" s="7">
        <f>IF(AND(G220="Yes",H220="No"),"GST charged, not registered","")</f>
        <v/>
      </c>
      <c r="J220" s="21" t="n"/>
      <c r="L220" s="21" t="n"/>
      <c r="M220" s="29" t="n"/>
      <c r="O220" s="6" t="n"/>
    </row>
    <row r="221">
      <c r="A221" s="21" t="n"/>
      <c r="D221" s="31" t="n"/>
      <c r="F221" s="29" t="n"/>
      <c r="H221" s="7">
        <f>IF(C221="","",IFERROR(INDEX('Trades'!$G$4:$G$103,MATCH(C221,'Trades'!$B$4:$B$103,0)),""))</f>
        <v/>
      </c>
      <c r="I221" s="7">
        <f>IF(AND(G221="Yes",H221="No"),"GST charged, not registered","")</f>
        <v/>
      </c>
      <c r="J221" s="21" t="n"/>
      <c r="L221" s="21" t="n"/>
      <c r="M221" s="29" t="n"/>
      <c r="O221" s="6" t="n"/>
    </row>
    <row r="222">
      <c r="A222" s="21" t="n"/>
      <c r="D222" s="31" t="n"/>
      <c r="F222" s="29" t="n"/>
      <c r="H222" s="7">
        <f>IF(C222="","",IFERROR(INDEX('Trades'!$G$4:$G$103,MATCH(C222,'Trades'!$B$4:$B$103,0)),""))</f>
        <v/>
      </c>
      <c r="I222" s="7">
        <f>IF(AND(G222="Yes",H222="No"),"GST charged, not registered","")</f>
        <v/>
      </c>
      <c r="J222" s="21" t="n"/>
      <c r="L222" s="21" t="n"/>
      <c r="M222" s="29" t="n"/>
      <c r="O222" s="6" t="n"/>
    </row>
    <row r="223">
      <c r="A223" s="21" t="n"/>
      <c r="D223" s="31" t="n"/>
      <c r="F223" s="29" t="n"/>
      <c r="H223" s="7">
        <f>IF(C223="","",IFERROR(INDEX('Trades'!$G$4:$G$103,MATCH(C223,'Trades'!$B$4:$B$103,0)),""))</f>
        <v/>
      </c>
      <c r="I223" s="7">
        <f>IF(AND(G223="Yes",H223="No"),"GST charged, not registered","")</f>
        <v/>
      </c>
      <c r="J223" s="21" t="n"/>
      <c r="L223" s="21" t="n"/>
      <c r="M223" s="29" t="n"/>
      <c r="O223" s="6" t="n"/>
    </row>
    <row r="224">
      <c r="A224" s="21" t="n"/>
      <c r="D224" s="31" t="n"/>
      <c r="F224" s="29" t="n"/>
      <c r="H224" s="7">
        <f>IF(C224="","",IFERROR(INDEX('Trades'!$G$4:$G$103,MATCH(C224,'Trades'!$B$4:$B$103,0)),""))</f>
        <v/>
      </c>
      <c r="I224" s="7">
        <f>IF(AND(G224="Yes",H224="No"),"GST charged, not registered","")</f>
        <v/>
      </c>
      <c r="J224" s="21" t="n"/>
      <c r="L224" s="21" t="n"/>
      <c r="M224" s="29" t="n"/>
      <c r="O224" s="6" t="n"/>
    </row>
    <row r="225">
      <c r="A225" s="21" t="n"/>
      <c r="D225" s="31" t="n"/>
      <c r="F225" s="29" t="n"/>
      <c r="H225" s="7">
        <f>IF(C225="","",IFERROR(INDEX('Trades'!$G$4:$G$103,MATCH(C225,'Trades'!$B$4:$B$103,0)),""))</f>
        <v/>
      </c>
      <c r="I225" s="7">
        <f>IF(AND(G225="Yes",H225="No"),"GST charged, not registered","")</f>
        <v/>
      </c>
      <c r="J225" s="21" t="n"/>
      <c r="L225" s="21" t="n"/>
      <c r="M225" s="29" t="n"/>
      <c r="O225" s="6" t="n"/>
    </row>
    <row r="226">
      <c r="A226" s="21" t="n"/>
      <c r="D226" s="31" t="n"/>
      <c r="F226" s="29" t="n"/>
      <c r="H226" s="7">
        <f>IF(C226="","",IFERROR(INDEX('Trades'!$G$4:$G$103,MATCH(C226,'Trades'!$B$4:$B$103,0)),""))</f>
        <v/>
      </c>
      <c r="I226" s="7">
        <f>IF(AND(G226="Yes",H226="No"),"GST charged, not registered","")</f>
        <v/>
      </c>
      <c r="J226" s="21" t="n"/>
      <c r="L226" s="21" t="n"/>
      <c r="M226" s="29" t="n"/>
      <c r="O226" s="6" t="n"/>
    </row>
    <row r="227">
      <c r="A227" s="21" t="n"/>
      <c r="D227" s="31" t="n"/>
      <c r="F227" s="29" t="n"/>
      <c r="H227" s="7">
        <f>IF(C227="","",IFERROR(INDEX('Trades'!$G$4:$G$103,MATCH(C227,'Trades'!$B$4:$B$103,0)),""))</f>
        <v/>
      </c>
      <c r="I227" s="7">
        <f>IF(AND(G227="Yes",H227="No"),"GST charged, not registered","")</f>
        <v/>
      </c>
      <c r="J227" s="21" t="n"/>
      <c r="L227" s="21" t="n"/>
      <c r="M227" s="29" t="n"/>
      <c r="O227" s="6" t="n"/>
    </row>
    <row r="228">
      <c r="A228" s="21" t="n"/>
      <c r="D228" s="31" t="n"/>
      <c r="F228" s="29" t="n"/>
      <c r="H228" s="7">
        <f>IF(C228="","",IFERROR(INDEX('Trades'!$G$4:$G$103,MATCH(C228,'Trades'!$B$4:$B$103,0)),""))</f>
        <v/>
      </c>
      <c r="I228" s="7">
        <f>IF(AND(G228="Yes",H228="No"),"GST charged, not registered","")</f>
        <v/>
      </c>
      <c r="J228" s="21" t="n"/>
      <c r="L228" s="21" t="n"/>
      <c r="M228" s="29" t="n"/>
      <c r="O228" s="6" t="n"/>
    </row>
    <row r="229">
      <c r="A229" s="21" t="n"/>
      <c r="D229" s="31" t="n"/>
      <c r="F229" s="29" t="n"/>
      <c r="H229" s="7">
        <f>IF(C229="","",IFERROR(INDEX('Trades'!$G$4:$G$103,MATCH(C229,'Trades'!$B$4:$B$103,0)),""))</f>
        <v/>
      </c>
      <c r="I229" s="7">
        <f>IF(AND(G229="Yes",H229="No"),"GST charged, not registered","")</f>
        <v/>
      </c>
      <c r="J229" s="21" t="n"/>
      <c r="L229" s="21" t="n"/>
      <c r="M229" s="29" t="n"/>
      <c r="O229" s="6" t="n"/>
    </row>
    <row r="230">
      <c r="A230" s="21" t="n"/>
      <c r="D230" s="31" t="n"/>
      <c r="F230" s="29" t="n"/>
      <c r="H230" s="7">
        <f>IF(C230="","",IFERROR(INDEX('Trades'!$G$4:$G$103,MATCH(C230,'Trades'!$B$4:$B$103,0)),""))</f>
        <v/>
      </c>
      <c r="I230" s="7">
        <f>IF(AND(G230="Yes",H230="No"),"GST charged, not registered","")</f>
        <v/>
      </c>
      <c r="J230" s="21" t="n"/>
      <c r="L230" s="21" t="n"/>
      <c r="M230" s="29" t="n"/>
      <c r="O230" s="6" t="n"/>
    </row>
    <row r="231">
      <c r="A231" s="21" t="n"/>
      <c r="D231" s="31" t="n"/>
      <c r="F231" s="29" t="n"/>
      <c r="H231" s="7">
        <f>IF(C231="","",IFERROR(INDEX('Trades'!$G$4:$G$103,MATCH(C231,'Trades'!$B$4:$B$103,0)),""))</f>
        <v/>
      </c>
      <c r="I231" s="7">
        <f>IF(AND(G231="Yes",H231="No"),"GST charged, not registered","")</f>
        <v/>
      </c>
      <c r="J231" s="21" t="n"/>
      <c r="L231" s="21" t="n"/>
      <c r="M231" s="29" t="n"/>
      <c r="O231" s="6" t="n"/>
    </row>
    <row r="232">
      <c r="A232" s="21" t="n"/>
      <c r="D232" s="31" t="n"/>
      <c r="F232" s="29" t="n"/>
      <c r="H232" s="7">
        <f>IF(C232="","",IFERROR(INDEX('Trades'!$G$4:$G$103,MATCH(C232,'Trades'!$B$4:$B$103,0)),""))</f>
        <v/>
      </c>
      <c r="I232" s="7">
        <f>IF(AND(G232="Yes",H232="No"),"GST charged, not registered","")</f>
        <v/>
      </c>
      <c r="J232" s="21" t="n"/>
      <c r="L232" s="21" t="n"/>
      <c r="M232" s="29" t="n"/>
      <c r="O232" s="6" t="n"/>
    </row>
    <row r="233">
      <c r="A233" s="21" t="n"/>
      <c r="D233" s="31" t="n"/>
      <c r="F233" s="29" t="n"/>
      <c r="H233" s="7">
        <f>IF(C233="","",IFERROR(INDEX('Trades'!$G$4:$G$103,MATCH(C233,'Trades'!$B$4:$B$103,0)),""))</f>
        <v/>
      </c>
      <c r="I233" s="7">
        <f>IF(AND(G233="Yes",H233="No"),"GST charged, not registered","")</f>
        <v/>
      </c>
      <c r="J233" s="21" t="n"/>
      <c r="L233" s="21" t="n"/>
      <c r="M233" s="29" t="n"/>
      <c r="O233" s="6" t="n"/>
    </row>
    <row r="234">
      <c r="A234" s="21" t="n"/>
      <c r="D234" s="31" t="n"/>
      <c r="F234" s="29" t="n"/>
      <c r="H234" s="7">
        <f>IF(C234="","",IFERROR(INDEX('Trades'!$G$4:$G$103,MATCH(C234,'Trades'!$B$4:$B$103,0)),""))</f>
        <v/>
      </c>
      <c r="I234" s="7">
        <f>IF(AND(G234="Yes",H234="No"),"GST charged, not registered","")</f>
        <v/>
      </c>
      <c r="J234" s="21" t="n"/>
      <c r="L234" s="21" t="n"/>
      <c r="M234" s="29" t="n"/>
      <c r="O234" s="6" t="n"/>
    </row>
    <row r="235">
      <c r="A235" s="21" t="n"/>
      <c r="D235" s="31" t="n"/>
      <c r="F235" s="29" t="n"/>
      <c r="H235" s="7">
        <f>IF(C235="","",IFERROR(INDEX('Trades'!$G$4:$G$103,MATCH(C235,'Trades'!$B$4:$B$103,0)),""))</f>
        <v/>
      </c>
      <c r="I235" s="7">
        <f>IF(AND(G235="Yes",H235="No"),"GST charged, not registered","")</f>
        <v/>
      </c>
      <c r="J235" s="21" t="n"/>
      <c r="L235" s="21" t="n"/>
      <c r="M235" s="29" t="n"/>
      <c r="O235" s="6" t="n"/>
    </row>
    <row r="236">
      <c r="A236" s="21" t="n"/>
      <c r="D236" s="31" t="n"/>
      <c r="F236" s="29" t="n"/>
      <c r="H236" s="7">
        <f>IF(C236="","",IFERROR(INDEX('Trades'!$G$4:$G$103,MATCH(C236,'Trades'!$B$4:$B$103,0)),""))</f>
        <v/>
      </c>
      <c r="I236" s="7">
        <f>IF(AND(G236="Yes",H236="No"),"GST charged, not registered","")</f>
        <v/>
      </c>
      <c r="J236" s="21" t="n"/>
      <c r="L236" s="21" t="n"/>
      <c r="M236" s="29" t="n"/>
      <c r="O236" s="6" t="n"/>
    </row>
    <row r="237">
      <c r="A237" s="21" t="n"/>
      <c r="D237" s="31" t="n"/>
      <c r="F237" s="29" t="n"/>
      <c r="H237" s="7">
        <f>IF(C237="","",IFERROR(INDEX('Trades'!$G$4:$G$103,MATCH(C237,'Trades'!$B$4:$B$103,0)),""))</f>
        <v/>
      </c>
      <c r="I237" s="7">
        <f>IF(AND(G237="Yes",H237="No"),"GST charged, not registered","")</f>
        <v/>
      </c>
      <c r="J237" s="21" t="n"/>
      <c r="L237" s="21" t="n"/>
      <c r="M237" s="29" t="n"/>
      <c r="O237" s="6" t="n"/>
    </row>
    <row r="238">
      <c r="A238" s="21" t="n"/>
      <c r="D238" s="31" t="n"/>
      <c r="F238" s="29" t="n"/>
      <c r="H238" s="7">
        <f>IF(C238="","",IFERROR(INDEX('Trades'!$G$4:$G$103,MATCH(C238,'Trades'!$B$4:$B$103,0)),""))</f>
        <v/>
      </c>
      <c r="I238" s="7">
        <f>IF(AND(G238="Yes",H238="No"),"GST charged, not registered","")</f>
        <v/>
      </c>
      <c r="J238" s="21" t="n"/>
      <c r="L238" s="21" t="n"/>
      <c r="M238" s="29" t="n"/>
      <c r="O238" s="6" t="n"/>
    </row>
    <row r="239">
      <c r="A239" s="21" t="n"/>
      <c r="D239" s="31" t="n"/>
      <c r="F239" s="29" t="n"/>
      <c r="H239" s="7">
        <f>IF(C239="","",IFERROR(INDEX('Trades'!$G$4:$G$103,MATCH(C239,'Trades'!$B$4:$B$103,0)),""))</f>
        <v/>
      </c>
      <c r="I239" s="7">
        <f>IF(AND(G239="Yes",H239="No"),"GST charged, not registered","")</f>
        <v/>
      </c>
      <c r="J239" s="21" t="n"/>
      <c r="L239" s="21" t="n"/>
      <c r="M239" s="29" t="n"/>
      <c r="O239" s="6" t="n"/>
    </row>
    <row r="240">
      <c r="A240" s="21" t="n"/>
      <c r="D240" s="31" t="n"/>
      <c r="F240" s="29" t="n"/>
      <c r="H240" s="7">
        <f>IF(C240="","",IFERROR(INDEX('Trades'!$G$4:$G$103,MATCH(C240,'Trades'!$B$4:$B$103,0)),""))</f>
        <v/>
      </c>
      <c r="I240" s="7">
        <f>IF(AND(G240="Yes",H240="No"),"GST charged, not registered","")</f>
        <v/>
      </c>
      <c r="J240" s="21" t="n"/>
      <c r="L240" s="21" t="n"/>
      <c r="M240" s="29" t="n"/>
      <c r="O240" s="6" t="n"/>
    </row>
    <row r="241">
      <c r="A241" s="21" t="n"/>
      <c r="D241" s="31" t="n"/>
      <c r="F241" s="29" t="n"/>
      <c r="H241" s="7">
        <f>IF(C241="","",IFERROR(INDEX('Trades'!$G$4:$G$103,MATCH(C241,'Trades'!$B$4:$B$103,0)),""))</f>
        <v/>
      </c>
      <c r="I241" s="7">
        <f>IF(AND(G241="Yes",H241="No"),"GST charged, not registered","")</f>
        <v/>
      </c>
      <c r="J241" s="21" t="n"/>
      <c r="L241" s="21" t="n"/>
      <c r="M241" s="29" t="n"/>
      <c r="O241" s="6" t="n"/>
    </row>
    <row r="242">
      <c r="A242" s="21" t="n"/>
      <c r="D242" s="31" t="n"/>
      <c r="F242" s="29" t="n"/>
      <c r="H242" s="7">
        <f>IF(C242="","",IFERROR(INDEX('Trades'!$G$4:$G$103,MATCH(C242,'Trades'!$B$4:$B$103,0)),""))</f>
        <v/>
      </c>
      <c r="I242" s="7">
        <f>IF(AND(G242="Yes",H242="No"),"GST charged, not registered","")</f>
        <v/>
      </c>
      <c r="J242" s="21" t="n"/>
      <c r="L242" s="21" t="n"/>
      <c r="M242" s="29" t="n"/>
      <c r="O242" s="6" t="n"/>
    </row>
    <row r="243">
      <c r="A243" s="21" t="n"/>
      <c r="D243" s="31" t="n"/>
      <c r="F243" s="29" t="n"/>
      <c r="H243" s="7">
        <f>IF(C243="","",IFERROR(INDEX('Trades'!$G$4:$G$103,MATCH(C243,'Trades'!$B$4:$B$103,0)),""))</f>
        <v/>
      </c>
      <c r="I243" s="7">
        <f>IF(AND(G243="Yes",H243="No"),"GST charged, not registered","")</f>
        <v/>
      </c>
      <c r="J243" s="21" t="n"/>
      <c r="L243" s="21" t="n"/>
      <c r="M243" s="29" t="n"/>
      <c r="O243" s="6" t="n"/>
    </row>
    <row r="244">
      <c r="A244" s="21" t="n"/>
      <c r="D244" s="31" t="n"/>
      <c r="F244" s="29" t="n"/>
      <c r="H244" s="7">
        <f>IF(C244="","",IFERROR(INDEX('Trades'!$G$4:$G$103,MATCH(C244,'Trades'!$B$4:$B$103,0)),""))</f>
        <v/>
      </c>
      <c r="I244" s="7">
        <f>IF(AND(G244="Yes",H244="No"),"GST charged, not registered","")</f>
        <v/>
      </c>
      <c r="J244" s="21" t="n"/>
      <c r="L244" s="21" t="n"/>
      <c r="M244" s="29" t="n"/>
      <c r="O244" s="6" t="n"/>
    </row>
    <row r="245">
      <c r="A245" s="21" t="n"/>
      <c r="D245" s="31" t="n"/>
      <c r="F245" s="29" t="n"/>
      <c r="H245" s="7">
        <f>IF(C245="","",IFERROR(INDEX('Trades'!$G$4:$G$103,MATCH(C245,'Trades'!$B$4:$B$103,0)),""))</f>
        <v/>
      </c>
      <c r="I245" s="7">
        <f>IF(AND(G245="Yes",H245="No"),"GST charged, not registered","")</f>
        <v/>
      </c>
      <c r="J245" s="21" t="n"/>
      <c r="L245" s="21" t="n"/>
      <c r="M245" s="29" t="n"/>
      <c r="O245" s="6" t="n"/>
    </row>
    <row r="246">
      <c r="A246" s="21" t="n"/>
      <c r="D246" s="31" t="n"/>
      <c r="F246" s="29" t="n"/>
      <c r="H246" s="7">
        <f>IF(C246="","",IFERROR(INDEX('Trades'!$G$4:$G$103,MATCH(C246,'Trades'!$B$4:$B$103,0)),""))</f>
        <v/>
      </c>
      <c r="I246" s="7">
        <f>IF(AND(G246="Yes",H246="No"),"GST charged, not registered","")</f>
        <v/>
      </c>
      <c r="J246" s="21" t="n"/>
      <c r="L246" s="21" t="n"/>
      <c r="M246" s="29" t="n"/>
      <c r="O246" s="6" t="n"/>
    </row>
    <row r="247">
      <c r="A247" s="21" t="n"/>
      <c r="D247" s="31" t="n"/>
      <c r="F247" s="29" t="n"/>
      <c r="H247" s="7">
        <f>IF(C247="","",IFERROR(INDEX('Trades'!$G$4:$G$103,MATCH(C247,'Trades'!$B$4:$B$103,0)),""))</f>
        <v/>
      </c>
      <c r="I247" s="7">
        <f>IF(AND(G247="Yes",H247="No"),"GST charged, not registered","")</f>
        <v/>
      </c>
      <c r="J247" s="21" t="n"/>
      <c r="L247" s="21" t="n"/>
      <c r="M247" s="29" t="n"/>
      <c r="O247" s="6" t="n"/>
    </row>
    <row r="248">
      <c r="A248" s="21" t="n"/>
      <c r="D248" s="31" t="n"/>
      <c r="F248" s="29" t="n"/>
      <c r="H248" s="7">
        <f>IF(C248="","",IFERROR(INDEX('Trades'!$G$4:$G$103,MATCH(C248,'Trades'!$B$4:$B$103,0)),""))</f>
        <v/>
      </c>
      <c r="I248" s="7">
        <f>IF(AND(G248="Yes",H248="No"),"GST charged, not registered","")</f>
        <v/>
      </c>
      <c r="J248" s="21" t="n"/>
      <c r="L248" s="21" t="n"/>
      <c r="M248" s="29" t="n"/>
      <c r="O248" s="6" t="n"/>
    </row>
    <row r="249">
      <c r="A249" s="21" t="n"/>
      <c r="D249" s="31" t="n"/>
      <c r="F249" s="29" t="n"/>
      <c r="H249" s="7">
        <f>IF(C249="","",IFERROR(INDEX('Trades'!$G$4:$G$103,MATCH(C249,'Trades'!$B$4:$B$103,0)),""))</f>
        <v/>
      </c>
      <c r="I249" s="7">
        <f>IF(AND(G249="Yes",H249="No"),"GST charged, not registered","")</f>
        <v/>
      </c>
      <c r="J249" s="21" t="n"/>
      <c r="L249" s="21" t="n"/>
      <c r="M249" s="29" t="n"/>
      <c r="O249" s="6" t="n"/>
    </row>
    <row r="250">
      <c r="A250" s="21" t="n"/>
      <c r="D250" s="31" t="n"/>
      <c r="F250" s="29" t="n"/>
      <c r="H250" s="7">
        <f>IF(C250="","",IFERROR(INDEX('Trades'!$G$4:$G$103,MATCH(C250,'Trades'!$B$4:$B$103,0)),""))</f>
        <v/>
      </c>
      <c r="I250" s="7">
        <f>IF(AND(G250="Yes",H250="No"),"GST charged, not registered","")</f>
        <v/>
      </c>
      <c r="J250" s="21" t="n"/>
      <c r="L250" s="21" t="n"/>
      <c r="M250" s="29" t="n"/>
      <c r="O250" s="6" t="n"/>
    </row>
    <row r="251">
      <c r="A251" s="21" t="n"/>
      <c r="D251" s="31" t="n"/>
      <c r="F251" s="29" t="n"/>
      <c r="H251" s="7">
        <f>IF(C251="","",IFERROR(INDEX('Trades'!$G$4:$G$103,MATCH(C251,'Trades'!$B$4:$B$103,0)),""))</f>
        <v/>
      </c>
      <c r="I251" s="7">
        <f>IF(AND(G251="Yes",H251="No"),"GST charged, not registered","")</f>
        <v/>
      </c>
      <c r="J251" s="21" t="n"/>
      <c r="L251" s="21" t="n"/>
      <c r="M251" s="29" t="n"/>
      <c r="O251" s="6" t="n"/>
    </row>
    <row r="252">
      <c r="A252" s="21" t="n"/>
      <c r="D252" s="31" t="n"/>
      <c r="F252" s="29" t="n"/>
      <c r="H252" s="7">
        <f>IF(C252="","",IFERROR(INDEX('Trades'!$G$4:$G$103,MATCH(C252,'Trades'!$B$4:$B$103,0)),""))</f>
        <v/>
      </c>
      <c r="I252" s="7">
        <f>IF(AND(G252="Yes",H252="No"),"GST charged, not registered","")</f>
        <v/>
      </c>
      <c r="J252" s="21" t="n"/>
      <c r="L252" s="21" t="n"/>
      <c r="M252" s="29" t="n"/>
      <c r="O252" s="6" t="n"/>
    </row>
    <row r="253">
      <c r="A253" s="21" t="n"/>
      <c r="D253" s="31" t="n"/>
      <c r="F253" s="29" t="n"/>
      <c r="H253" s="7">
        <f>IF(C253="","",IFERROR(INDEX('Trades'!$G$4:$G$103,MATCH(C253,'Trades'!$B$4:$B$103,0)),""))</f>
        <v/>
      </c>
      <c r="I253" s="7">
        <f>IF(AND(G253="Yes",H253="No"),"GST charged, not registered","")</f>
        <v/>
      </c>
      <c r="J253" s="21" t="n"/>
      <c r="L253" s="21" t="n"/>
      <c r="M253" s="29" t="n"/>
      <c r="O253" s="6" t="n"/>
    </row>
    <row r="254">
      <c r="A254" s="21" t="n"/>
      <c r="D254" s="31" t="n"/>
      <c r="F254" s="29" t="n"/>
      <c r="H254" s="7">
        <f>IF(C254="","",IFERROR(INDEX('Trades'!$G$4:$G$103,MATCH(C254,'Trades'!$B$4:$B$103,0)),""))</f>
        <v/>
      </c>
      <c r="I254" s="7">
        <f>IF(AND(G254="Yes",H254="No"),"GST charged, not registered","")</f>
        <v/>
      </c>
      <c r="J254" s="21" t="n"/>
      <c r="L254" s="21" t="n"/>
      <c r="M254" s="29" t="n"/>
      <c r="O254" s="6" t="n"/>
    </row>
    <row r="255">
      <c r="A255" s="21" t="n"/>
      <c r="D255" s="31" t="n"/>
      <c r="F255" s="29" t="n"/>
      <c r="H255" s="7">
        <f>IF(C255="","",IFERROR(INDEX('Trades'!$G$4:$G$103,MATCH(C255,'Trades'!$B$4:$B$103,0)),""))</f>
        <v/>
      </c>
      <c r="I255" s="7">
        <f>IF(AND(G255="Yes",H255="No"),"GST charged, not registered","")</f>
        <v/>
      </c>
      <c r="J255" s="21" t="n"/>
      <c r="L255" s="21" t="n"/>
      <c r="M255" s="29" t="n"/>
      <c r="O255" s="6" t="n"/>
    </row>
    <row r="256">
      <c r="A256" s="21" t="n"/>
      <c r="D256" s="31" t="n"/>
      <c r="F256" s="29" t="n"/>
      <c r="H256" s="7">
        <f>IF(C256="","",IFERROR(INDEX('Trades'!$G$4:$G$103,MATCH(C256,'Trades'!$B$4:$B$103,0)),""))</f>
        <v/>
      </c>
      <c r="I256" s="7">
        <f>IF(AND(G256="Yes",H256="No"),"GST charged, not registered","")</f>
        <v/>
      </c>
      <c r="J256" s="21" t="n"/>
      <c r="L256" s="21" t="n"/>
      <c r="M256" s="29" t="n"/>
      <c r="O256" s="6" t="n"/>
    </row>
    <row r="257">
      <c r="A257" s="21" t="n"/>
      <c r="D257" s="31" t="n"/>
      <c r="F257" s="29" t="n"/>
      <c r="H257" s="7">
        <f>IF(C257="","",IFERROR(INDEX('Trades'!$G$4:$G$103,MATCH(C257,'Trades'!$B$4:$B$103,0)),""))</f>
        <v/>
      </c>
      <c r="I257" s="7">
        <f>IF(AND(G257="Yes",H257="No"),"GST charged, not registered","")</f>
        <v/>
      </c>
      <c r="J257" s="21" t="n"/>
      <c r="L257" s="21" t="n"/>
      <c r="M257" s="29" t="n"/>
      <c r="O257" s="6" t="n"/>
    </row>
    <row r="258">
      <c r="A258" s="21" t="n"/>
      <c r="D258" s="31" t="n"/>
      <c r="F258" s="29" t="n"/>
      <c r="H258" s="7">
        <f>IF(C258="","",IFERROR(INDEX('Trades'!$G$4:$G$103,MATCH(C258,'Trades'!$B$4:$B$103,0)),""))</f>
        <v/>
      </c>
      <c r="I258" s="7">
        <f>IF(AND(G258="Yes",H258="No"),"GST charged, not registered","")</f>
        <v/>
      </c>
      <c r="J258" s="21" t="n"/>
      <c r="L258" s="21" t="n"/>
      <c r="M258" s="29" t="n"/>
      <c r="O258" s="6" t="n"/>
    </row>
    <row r="259">
      <c r="A259" s="21" t="n"/>
      <c r="D259" s="31" t="n"/>
      <c r="F259" s="29" t="n"/>
      <c r="H259" s="7">
        <f>IF(C259="","",IFERROR(INDEX('Trades'!$G$4:$G$103,MATCH(C259,'Trades'!$B$4:$B$103,0)),""))</f>
        <v/>
      </c>
      <c r="I259" s="7">
        <f>IF(AND(G259="Yes",H259="No"),"GST charged, not registered","")</f>
        <v/>
      </c>
      <c r="J259" s="21" t="n"/>
      <c r="L259" s="21" t="n"/>
      <c r="M259" s="29" t="n"/>
      <c r="O259" s="6" t="n"/>
    </row>
    <row r="260">
      <c r="A260" s="21" t="n"/>
      <c r="D260" s="31" t="n"/>
      <c r="F260" s="29" t="n"/>
      <c r="H260" s="7">
        <f>IF(C260="","",IFERROR(INDEX('Trades'!$G$4:$G$103,MATCH(C260,'Trades'!$B$4:$B$103,0)),""))</f>
        <v/>
      </c>
      <c r="I260" s="7">
        <f>IF(AND(G260="Yes",H260="No"),"GST charged, not registered","")</f>
        <v/>
      </c>
      <c r="J260" s="21" t="n"/>
      <c r="L260" s="21" t="n"/>
      <c r="M260" s="29" t="n"/>
      <c r="O260" s="6" t="n"/>
    </row>
    <row r="261">
      <c r="A261" s="21" t="n"/>
      <c r="D261" s="31" t="n"/>
      <c r="F261" s="29" t="n"/>
      <c r="H261" s="7">
        <f>IF(C261="","",IFERROR(INDEX('Trades'!$G$4:$G$103,MATCH(C261,'Trades'!$B$4:$B$103,0)),""))</f>
        <v/>
      </c>
      <c r="I261" s="7">
        <f>IF(AND(G261="Yes",H261="No"),"GST charged, not registered","")</f>
        <v/>
      </c>
      <c r="J261" s="21" t="n"/>
      <c r="L261" s="21" t="n"/>
      <c r="M261" s="29" t="n"/>
      <c r="O261" s="6" t="n"/>
    </row>
    <row r="262">
      <c r="A262" s="21" t="n"/>
      <c r="D262" s="31" t="n"/>
      <c r="F262" s="29" t="n"/>
      <c r="H262" s="7">
        <f>IF(C262="","",IFERROR(INDEX('Trades'!$G$4:$G$103,MATCH(C262,'Trades'!$B$4:$B$103,0)),""))</f>
        <v/>
      </c>
      <c r="I262" s="7">
        <f>IF(AND(G262="Yes",H262="No"),"GST charged, not registered","")</f>
        <v/>
      </c>
      <c r="J262" s="21" t="n"/>
      <c r="L262" s="21" t="n"/>
      <c r="M262" s="29" t="n"/>
      <c r="O262" s="6" t="n"/>
    </row>
    <row r="263">
      <c r="A263" s="21" t="n"/>
      <c r="D263" s="31" t="n"/>
      <c r="F263" s="29" t="n"/>
      <c r="H263" s="7">
        <f>IF(C263="","",IFERROR(INDEX('Trades'!$G$4:$G$103,MATCH(C263,'Trades'!$B$4:$B$103,0)),""))</f>
        <v/>
      </c>
      <c r="I263" s="7">
        <f>IF(AND(G263="Yes",H263="No"),"GST charged, not registered","")</f>
        <v/>
      </c>
      <c r="J263" s="21" t="n"/>
      <c r="L263" s="21" t="n"/>
      <c r="M263" s="29" t="n"/>
      <c r="O263" s="6" t="n"/>
    </row>
    <row r="264">
      <c r="A264" s="21" t="n"/>
      <c r="D264" s="31" t="n"/>
      <c r="F264" s="29" t="n"/>
      <c r="H264" s="7">
        <f>IF(C264="","",IFERROR(INDEX('Trades'!$G$4:$G$103,MATCH(C264,'Trades'!$B$4:$B$103,0)),""))</f>
        <v/>
      </c>
      <c r="I264" s="7">
        <f>IF(AND(G264="Yes",H264="No"),"GST charged, not registered","")</f>
        <v/>
      </c>
      <c r="J264" s="21" t="n"/>
      <c r="L264" s="21" t="n"/>
      <c r="M264" s="29" t="n"/>
      <c r="O264" s="6" t="n"/>
    </row>
    <row r="265">
      <c r="A265" s="21" t="n"/>
      <c r="D265" s="31" t="n"/>
      <c r="F265" s="29" t="n"/>
      <c r="H265" s="7">
        <f>IF(C265="","",IFERROR(INDEX('Trades'!$G$4:$G$103,MATCH(C265,'Trades'!$B$4:$B$103,0)),""))</f>
        <v/>
      </c>
      <c r="I265" s="7">
        <f>IF(AND(G265="Yes",H265="No"),"GST charged, not registered","")</f>
        <v/>
      </c>
      <c r="J265" s="21" t="n"/>
      <c r="L265" s="21" t="n"/>
      <c r="M265" s="29" t="n"/>
      <c r="O265" s="6" t="n"/>
    </row>
    <row r="266">
      <c r="A266" s="21" t="n"/>
      <c r="D266" s="31" t="n"/>
      <c r="F266" s="29" t="n"/>
      <c r="H266" s="7">
        <f>IF(C266="","",IFERROR(INDEX('Trades'!$G$4:$G$103,MATCH(C266,'Trades'!$B$4:$B$103,0)),""))</f>
        <v/>
      </c>
      <c r="I266" s="7">
        <f>IF(AND(G266="Yes",H266="No"),"GST charged, not registered","")</f>
        <v/>
      </c>
      <c r="J266" s="21" t="n"/>
      <c r="L266" s="21" t="n"/>
      <c r="M266" s="29" t="n"/>
      <c r="O266" s="6" t="n"/>
    </row>
    <row r="267">
      <c r="A267" s="21" t="n"/>
      <c r="D267" s="31" t="n"/>
      <c r="F267" s="29" t="n"/>
      <c r="H267" s="7">
        <f>IF(C267="","",IFERROR(INDEX('Trades'!$G$4:$G$103,MATCH(C267,'Trades'!$B$4:$B$103,0)),""))</f>
        <v/>
      </c>
      <c r="I267" s="7">
        <f>IF(AND(G267="Yes",H267="No"),"GST charged, not registered","")</f>
        <v/>
      </c>
      <c r="J267" s="21" t="n"/>
      <c r="L267" s="21" t="n"/>
      <c r="M267" s="29" t="n"/>
      <c r="O267" s="6" t="n"/>
    </row>
    <row r="268">
      <c r="A268" s="21" t="n"/>
      <c r="D268" s="31" t="n"/>
      <c r="F268" s="29" t="n"/>
      <c r="H268" s="7">
        <f>IF(C268="","",IFERROR(INDEX('Trades'!$G$4:$G$103,MATCH(C268,'Trades'!$B$4:$B$103,0)),""))</f>
        <v/>
      </c>
      <c r="I268" s="7">
        <f>IF(AND(G268="Yes",H268="No"),"GST charged, not registered","")</f>
        <v/>
      </c>
      <c r="J268" s="21" t="n"/>
      <c r="L268" s="21" t="n"/>
      <c r="M268" s="29" t="n"/>
      <c r="O268" s="6" t="n"/>
    </row>
    <row r="269">
      <c r="A269" s="21" t="n"/>
      <c r="D269" s="31" t="n"/>
      <c r="F269" s="29" t="n"/>
      <c r="H269" s="7">
        <f>IF(C269="","",IFERROR(INDEX('Trades'!$G$4:$G$103,MATCH(C269,'Trades'!$B$4:$B$103,0)),""))</f>
        <v/>
      </c>
      <c r="I269" s="7">
        <f>IF(AND(G269="Yes",H269="No"),"GST charged, not registered","")</f>
        <v/>
      </c>
      <c r="J269" s="21" t="n"/>
      <c r="L269" s="21" t="n"/>
      <c r="M269" s="29" t="n"/>
      <c r="O269" s="6" t="n"/>
    </row>
    <row r="270">
      <c r="A270" s="21" t="n"/>
      <c r="D270" s="31" t="n"/>
      <c r="F270" s="29" t="n"/>
      <c r="H270" s="7">
        <f>IF(C270="","",IFERROR(INDEX('Trades'!$G$4:$G$103,MATCH(C270,'Trades'!$B$4:$B$103,0)),""))</f>
        <v/>
      </c>
      <c r="I270" s="7">
        <f>IF(AND(G270="Yes",H270="No"),"GST charged, not registered","")</f>
        <v/>
      </c>
      <c r="J270" s="21" t="n"/>
      <c r="L270" s="21" t="n"/>
      <c r="M270" s="29" t="n"/>
      <c r="O270" s="6" t="n"/>
    </row>
    <row r="271">
      <c r="A271" s="21" t="n"/>
      <c r="D271" s="31" t="n"/>
      <c r="F271" s="29" t="n"/>
      <c r="H271" s="7">
        <f>IF(C271="","",IFERROR(INDEX('Trades'!$G$4:$G$103,MATCH(C271,'Trades'!$B$4:$B$103,0)),""))</f>
        <v/>
      </c>
      <c r="I271" s="7">
        <f>IF(AND(G271="Yes",H271="No"),"GST charged, not registered","")</f>
        <v/>
      </c>
      <c r="J271" s="21" t="n"/>
      <c r="L271" s="21" t="n"/>
      <c r="M271" s="29" t="n"/>
      <c r="O271" s="6" t="n"/>
    </row>
    <row r="272">
      <c r="A272" s="21" t="n"/>
      <c r="D272" s="31" t="n"/>
      <c r="F272" s="29" t="n"/>
      <c r="H272" s="7">
        <f>IF(C272="","",IFERROR(INDEX('Trades'!$G$4:$G$103,MATCH(C272,'Trades'!$B$4:$B$103,0)),""))</f>
        <v/>
      </c>
      <c r="I272" s="7">
        <f>IF(AND(G272="Yes",H272="No"),"GST charged, not registered","")</f>
        <v/>
      </c>
      <c r="J272" s="21" t="n"/>
      <c r="L272" s="21" t="n"/>
      <c r="M272" s="29" t="n"/>
      <c r="O272" s="6" t="n"/>
    </row>
    <row r="273">
      <c r="A273" s="21" t="n"/>
      <c r="D273" s="31" t="n"/>
      <c r="F273" s="29" t="n"/>
      <c r="H273" s="7">
        <f>IF(C273="","",IFERROR(INDEX('Trades'!$G$4:$G$103,MATCH(C273,'Trades'!$B$4:$B$103,0)),""))</f>
        <v/>
      </c>
      <c r="I273" s="7">
        <f>IF(AND(G273="Yes",H273="No"),"GST charged, not registered","")</f>
        <v/>
      </c>
      <c r="J273" s="21" t="n"/>
      <c r="L273" s="21" t="n"/>
      <c r="M273" s="29" t="n"/>
      <c r="O273" s="6" t="n"/>
    </row>
    <row r="274">
      <c r="A274" s="21" t="n"/>
      <c r="D274" s="31" t="n"/>
      <c r="F274" s="29" t="n"/>
      <c r="H274" s="7">
        <f>IF(C274="","",IFERROR(INDEX('Trades'!$G$4:$G$103,MATCH(C274,'Trades'!$B$4:$B$103,0)),""))</f>
        <v/>
      </c>
      <c r="I274" s="7">
        <f>IF(AND(G274="Yes",H274="No"),"GST charged, not registered","")</f>
        <v/>
      </c>
      <c r="J274" s="21" t="n"/>
      <c r="L274" s="21" t="n"/>
      <c r="M274" s="29" t="n"/>
      <c r="O274" s="6" t="n"/>
    </row>
    <row r="275">
      <c r="A275" s="21" t="n"/>
      <c r="D275" s="31" t="n"/>
      <c r="F275" s="29" t="n"/>
      <c r="H275" s="7">
        <f>IF(C275="","",IFERROR(INDEX('Trades'!$G$4:$G$103,MATCH(C275,'Trades'!$B$4:$B$103,0)),""))</f>
        <v/>
      </c>
      <c r="I275" s="7">
        <f>IF(AND(G275="Yes",H275="No"),"GST charged, not registered","")</f>
        <v/>
      </c>
      <c r="J275" s="21" t="n"/>
      <c r="L275" s="21" t="n"/>
      <c r="M275" s="29" t="n"/>
      <c r="O275" s="6" t="n"/>
    </row>
    <row r="276">
      <c r="A276" s="21" t="n"/>
      <c r="D276" s="31" t="n"/>
      <c r="F276" s="29" t="n"/>
      <c r="H276" s="7">
        <f>IF(C276="","",IFERROR(INDEX('Trades'!$G$4:$G$103,MATCH(C276,'Trades'!$B$4:$B$103,0)),""))</f>
        <v/>
      </c>
      <c r="I276" s="7">
        <f>IF(AND(G276="Yes",H276="No"),"GST charged, not registered","")</f>
        <v/>
      </c>
      <c r="J276" s="21" t="n"/>
      <c r="L276" s="21" t="n"/>
      <c r="M276" s="29" t="n"/>
      <c r="O276" s="6" t="n"/>
    </row>
    <row r="277">
      <c r="A277" s="21" t="n"/>
      <c r="D277" s="31" t="n"/>
      <c r="F277" s="29" t="n"/>
      <c r="H277" s="7">
        <f>IF(C277="","",IFERROR(INDEX('Trades'!$G$4:$G$103,MATCH(C277,'Trades'!$B$4:$B$103,0)),""))</f>
        <v/>
      </c>
      <c r="I277" s="7">
        <f>IF(AND(G277="Yes",H277="No"),"GST charged, not registered","")</f>
        <v/>
      </c>
      <c r="J277" s="21" t="n"/>
      <c r="L277" s="21" t="n"/>
      <c r="M277" s="29" t="n"/>
      <c r="O277" s="6" t="n"/>
    </row>
    <row r="278">
      <c r="A278" s="21" t="n"/>
      <c r="D278" s="31" t="n"/>
      <c r="F278" s="29" t="n"/>
      <c r="H278" s="7">
        <f>IF(C278="","",IFERROR(INDEX('Trades'!$G$4:$G$103,MATCH(C278,'Trades'!$B$4:$B$103,0)),""))</f>
        <v/>
      </c>
      <c r="I278" s="7">
        <f>IF(AND(G278="Yes",H278="No"),"GST charged, not registered","")</f>
        <v/>
      </c>
      <c r="J278" s="21" t="n"/>
      <c r="L278" s="21" t="n"/>
      <c r="M278" s="29" t="n"/>
      <c r="O278" s="6" t="n"/>
    </row>
    <row r="279">
      <c r="A279" s="21" t="n"/>
      <c r="D279" s="31" t="n"/>
      <c r="F279" s="29" t="n"/>
      <c r="H279" s="7">
        <f>IF(C279="","",IFERROR(INDEX('Trades'!$G$4:$G$103,MATCH(C279,'Trades'!$B$4:$B$103,0)),""))</f>
        <v/>
      </c>
      <c r="I279" s="7">
        <f>IF(AND(G279="Yes",H279="No"),"GST charged, not registered","")</f>
        <v/>
      </c>
      <c r="J279" s="21" t="n"/>
      <c r="L279" s="21" t="n"/>
      <c r="M279" s="29" t="n"/>
      <c r="O279" s="6" t="n"/>
    </row>
    <row r="280">
      <c r="A280" s="21" t="n"/>
      <c r="D280" s="31" t="n"/>
      <c r="F280" s="29" t="n"/>
      <c r="H280" s="7">
        <f>IF(C280="","",IFERROR(INDEX('Trades'!$G$4:$G$103,MATCH(C280,'Trades'!$B$4:$B$103,0)),""))</f>
        <v/>
      </c>
      <c r="I280" s="7">
        <f>IF(AND(G280="Yes",H280="No"),"GST charged, not registered","")</f>
        <v/>
      </c>
      <c r="J280" s="21" t="n"/>
      <c r="L280" s="21" t="n"/>
      <c r="M280" s="29" t="n"/>
      <c r="O280" s="6" t="n"/>
    </row>
    <row r="281">
      <c r="A281" s="21" t="n"/>
      <c r="D281" s="31" t="n"/>
      <c r="F281" s="29" t="n"/>
      <c r="H281" s="7">
        <f>IF(C281="","",IFERROR(INDEX('Trades'!$G$4:$G$103,MATCH(C281,'Trades'!$B$4:$B$103,0)),""))</f>
        <v/>
      </c>
      <c r="I281" s="7">
        <f>IF(AND(G281="Yes",H281="No"),"GST charged, not registered","")</f>
        <v/>
      </c>
      <c r="J281" s="21" t="n"/>
      <c r="L281" s="21" t="n"/>
      <c r="M281" s="29" t="n"/>
      <c r="O281" s="6" t="n"/>
    </row>
    <row r="282">
      <c r="A282" s="21" t="n"/>
      <c r="D282" s="31" t="n"/>
      <c r="F282" s="29" t="n"/>
      <c r="H282" s="7">
        <f>IF(C282="","",IFERROR(INDEX('Trades'!$G$4:$G$103,MATCH(C282,'Trades'!$B$4:$B$103,0)),""))</f>
        <v/>
      </c>
      <c r="I282" s="7">
        <f>IF(AND(G282="Yes",H282="No"),"GST charged, not registered","")</f>
        <v/>
      </c>
      <c r="J282" s="21" t="n"/>
      <c r="L282" s="21" t="n"/>
      <c r="M282" s="29" t="n"/>
      <c r="O282" s="6" t="n"/>
    </row>
    <row r="283">
      <c r="A283" s="21" t="n"/>
      <c r="D283" s="31" t="n"/>
      <c r="F283" s="29" t="n"/>
      <c r="H283" s="7">
        <f>IF(C283="","",IFERROR(INDEX('Trades'!$G$4:$G$103,MATCH(C283,'Trades'!$B$4:$B$103,0)),""))</f>
        <v/>
      </c>
      <c r="I283" s="7">
        <f>IF(AND(G283="Yes",H283="No"),"GST charged, not registered","")</f>
        <v/>
      </c>
      <c r="J283" s="21" t="n"/>
      <c r="L283" s="21" t="n"/>
      <c r="M283" s="29" t="n"/>
      <c r="O283" s="6" t="n"/>
    </row>
    <row r="284">
      <c r="A284" s="21" t="n"/>
      <c r="D284" s="31" t="n"/>
      <c r="F284" s="29" t="n"/>
      <c r="H284" s="7">
        <f>IF(C284="","",IFERROR(INDEX('Trades'!$G$4:$G$103,MATCH(C284,'Trades'!$B$4:$B$103,0)),""))</f>
        <v/>
      </c>
      <c r="I284" s="7">
        <f>IF(AND(G284="Yes",H284="No"),"GST charged, not registered","")</f>
        <v/>
      </c>
      <c r="J284" s="21" t="n"/>
      <c r="L284" s="21" t="n"/>
      <c r="M284" s="29" t="n"/>
      <c r="O284" s="6" t="n"/>
    </row>
    <row r="285">
      <c r="A285" s="21" t="n"/>
      <c r="D285" s="31" t="n"/>
      <c r="F285" s="29" t="n"/>
      <c r="H285" s="7">
        <f>IF(C285="","",IFERROR(INDEX('Trades'!$G$4:$G$103,MATCH(C285,'Trades'!$B$4:$B$103,0)),""))</f>
        <v/>
      </c>
      <c r="I285" s="7">
        <f>IF(AND(G285="Yes",H285="No"),"GST charged, not registered","")</f>
        <v/>
      </c>
      <c r="J285" s="21" t="n"/>
      <c r="L285" s="21" t="n"/>
      <c r="M285" s="29" t="n"/>
      <c r="O285" s="6" t="n"/>
    </row>
    <row r="286">
      <c r="A286" s="21" t="n"/>
      <c r="D286" s="31" t="n"/>
      <c r="F286" s="29" t="n"/>
      <c r="H286" s="7">
        <f>IF(C286="","",IFERROR(INDEX('Trades'!$G$4:$G$103,MATCH(C286,'Trades'!$B$4:$B$103,0)),""))</f>
        <v/>
      </c>
      <c r="I286" s="7">
        <f>IF(AND(G286="Yes",H286="No"),"GST charged, not registered","")</f>
        <v/>
      </c>
      <c r="J286" s="21" t="n"/>
      <c r="L286" s="21" t="n"/>
      <c r="M286" s="29" t="n"/>
      <c r="O286" s="6" t="n"/>
    </row>
    <row r="287">
      <c r="A287" s="21" t="n"/>
      <c r="D287" s="31" t="n"/>
      <c r="F287" s="29" t="n"/>
      <c r="H287" s="7">
        <f>IF(C287="","",IFERROR(INDEX('Trades'!$G$4:$G$103,MATCH(C287,'Trades'!$B$4:$B$103,0)),""))</f>
        <v/>
      </c>
      <c r="I287" s="7">
        <f>IF(AND(G287="Yes",H287="No"),"GST charged, not registered","")</f>
        <v/>
      </c>
      <c r="J287" s="21" t="n"/>
      <c r="L287" s="21" t="n"/>
      <c r="M287" s="29" t="n"/>
      <c r="O287" s="6" t="n"/>
    </row>
    <row r="288">
      <c r="A288" s="21" t="n"/>
      <c r="D288" s="31" t="n"/>
      <c r="F288" s="29" t="n"/>
      <c r="H288" s="7">
        <f>IF(C288="","",IFERROR(INDEX('Trades'!$G$4:$G$103,MATCH(C288,'Trades'!$B$4:$B$103,0)),""))</f>
        <v/>
      </c>
      <c r="I288" s="7">
        <f>IF(AND(G288="Yes",H288="No"),"GST charged, not registered","")</f>
        <v/>
      </c>
      <c r="J288" s="21" t="n"/>
      <c r="L288" s="21" t="n"/>
      <c r="M288" s="29" t="n"/>
      <c r="O288" s="6" t="n"/>
    </row>
    <row r="289">
      <c r="A289" s="21" t="n"/>
      <c r="D289" s="31" t="n"/>
      <c r="F289" s="29" t="n"/>
      <c r="H289" s="7">
        <f>IF(C289="","",IFERROR(INDEX('Trades'!$G$4:$G$103,MATCH(C289,'Trades'!$B$4:$B$103,0)),""))</f>
        <v/>
      </c>
      <c r="I289" s="7">
        <f>IF(AND(G289="Yes",H289="No"),"GST charged, not registered","")</f>
        <v/>
      </c>
      <c r="J289" s="21" t="n"/>
      <c r="L289" s="21" t="n"/>
      <c r="M289" s="29" t="n"/>
      <c r="O289" s="6" t="n"/>
    </row>
    <row r="290">
      <c r="A290" s="21" t="n"/>
      <c r="D290" s="31" t="n"/>
      <c r="F290" s="29" t="n"/>
      <c r="H290" s="7">
        <f>IF(C290="","",IFERROR(INDEX('Trades'!$G$4:$G$103,MATCH(C290,'Trades'!$B$4:$B$103,0)),""))</f>
        <v/>
      </c>
      <c r="I290" s="7">
        <f>IF(AND(G290="Yes",H290="No"),"GST charged, not registered","")</f>
        <v/>
      </c>
      <c r="J290" s="21" t="n"/>
      <c r="L290" s="21" t="n"/>
      <c r="M290" s="29" t="n"/>
      <c r="O290" s="6" t="n"/>
    </row>
    <row r="291">
      <c r="A291" s="21" t="n"/>
      <c r="D291" s="31" t="n"/>
      <c r="F291" s="29" t="n"/>
      <c r="H291" s="7">
        <f>IF(C291="","",IFERROR(INDEX('Trades'!$G$4:$G$103,MATCH(C291,'Trades'!$B$4:$B$103,0)),""))</f>
        <v/>
      </c>
      <c r="I291" s="7">
        <f>IF(AND(G291="Yes",H291="No"),"GST charged, not registered","")</f>
        <v/>
      </c>
      <c r="J291" s="21" t="n"/>
      <c r="L291" s="21" t="n"/>
      <c r="M291" s="29" t="n"/>
      <c r="O291" s="6" t="n"/>
    </row>
    <row r="292">
      <c r="A292" s="21" t="n"/>
      <c r="D292" s="31" t="n"/>
      <c r="F292" s="29" t="n"/>
      <c r="H292" s="7">
        <f>IF(C292="","",IFERROR(INDEX('Trades'!$G$4:$G$103,MATCH(C292,'Trades'!$B$4:$B$103,0)),""))</f>
        <v/>
      </c>
      <c r="I292" s="7">
        <f>IF(AND(G292="Yes",H292="No"),"GST charged, not registered","")</f>
        <v/>
      </c>
      <c r="J292" s="21" t="n"/>
      <c r="L292" s="21" t="n"/>
      <c r="M292" s="29" t="n"/>
      <c r="O292" s="6" t="n"/>
    </row>
    <row r="293">
      <c r="A293" s="21" t="n"/>
      <c r="D293" s="31" t="n"/>
      <c r="F293" s="29" t="n"/>
      <c r="H293" s="7">
        <f>IF(C293="","",IFERROR(INDEX('Trades'!$G$4:$G$103,MATCH(C293,'Trades'!$B$4:$B$103,0)),""))</f>
        <v/>
      </c>
      <c r="I293" s="7">
        <f>IF(AND(G293="Yes",H293="No"),"GST charged, not registered","")</f>
        <v/>
      </c>
      <c r="J293" s="21" t="n"/>
      <c r="L293" s="21" t="n"/>
      <c r="M293" s="29" t="n"/>
      <c r="O293" s="6" t="n"/>
    </row>
    <row r="294">
      <c r="A294" s="21" t="n"/>
      <c r="D294" s="31" t="n"/>
      <c r="F294" s="29" t="n"/>
      <c r="H294" s="7">
        <f>IF(C294="","",IFERROR(INDEX('Trades'!$G$4:$G$103,MATCH(C294,'Trades'!$B$4:$B$103,0)),""))</f>
        <v/>
      </c>
      <c r="I294" s="7">
        <f>IF(AND(G294="Yes",H294="No"),"GST charged, not registered","")</f>
        <v/>
      </c>
      <c r="J294" s="21" t="n"/>
      <c r="L294" s="21" t="n"/>
      <c r="M294" s="29" t="n"/>
      <c r="O294" s="6" t="n"/>
    </row>
    <row r="295">
      <c r="A295" s="21" t="n"/>
      <c r="D295" s="31" t="n"/>
      <c r="F295" s="29" t="n"/>
      <c r="H295" s="7">
        <f>IF(C295="","",IFERROR(INDEX('Trades'!$G$4:$G$103,MATCH(C295,'Trades'!$B$4:$B$103,0)),""))</f>
        <v/>
      </c>
      <c r="I295" s="7">
        <f>IF(AND(G295="Yes",H295="No"),"GST charged, not registered","")</f>
        <v/>
      </c>
      <c r="J295" s="21" t="n"/>
      <c r="L295" s="21" t="n"/>
      <c r="M295" s="29" t="n"/>
      <c r="O295" s="6" t="n"/>
    </row>
    <row r="296">
      <c r="A296" s="21" t="n"/>
      <c r="D296" s="31" t="n"/>
      <c r="F296" s="29" t="n"/>
      <c r="H296" s="7">
        <f>IF(C296="","",IFERROR(INDEX('Trades'!$G$4:$G$103,MATCH(C296,'Trades'!$B$4:$B$103,0)),""))</f>
        <v/>
      </c>
      <c r="I296" s="7">
        <f>IF(AND(G296="Yes",H296="No"),"GST charged, not registered","")</f>
        <v/>
      </c>
      <c r="J296" s="21" t="n"/>
      <c r="L296" s="21" t="n"/>
      <c r="M296" s="29" t="n"/>
      <c r="O296" s="6" t="n"/>
    </row>
    <row r="297">
      <c r="A297" s="21" t="n"/>
      <c r="D297" s="31" t="n"/>
      <c r="F297" s="29" t="n"/>
      <c r="H297" s="7">
        <f>IF(C297="","",IFERROR(INDEX('Trades'!$G$4:$G$103,MATCH(C297,'Trades'!$B$4:$B$103,0)),""))</f>
        <v/>
      </c>
      <c r="I297" s="7">
        <f>IF(AND(G297="Yes",H297="No"),"GST charged, not registered","")</f>
        <v/>
      </c>
      <c r="J297" s="21" t="n"/>
      <c r="L297" s="21" t="n"/>
      <c r="M297" s="29" t="n"/>
      <c r="O297" s="6" t="n"/>
    </row>
    <row r="298">
      <c r="A298" s="21" t="n"/>
      <c r="D298" s="31" t="n"/>
      <c r="F298" s="29" t="n"/>
      <c r="H298" s="7">
        <f>IF(C298="","",IFERROR(INDEX('Trades'!$G$4:$G$103,MATCH(C298,'Trades'!$B$4:$B$103,0)),""))</f>
        <v/>
      </c>
      <c r="I298" s="7">
        <f>IF(AND(G298="Yes",H298="No"),"GST charged, not registered","")</f>
        <v/>
      </c>
      <c r="J298" s="21" t="n"/>
      <c r="L298" s="21" t="n"/>
      <c r="M298" s="29" t="n"/>
      <c r="O298" s="6" t="n"/>
    </row>
    <row r="299">
      <c r="A299" s="21" t="n"/>
      <c r="D299" s="31" t="n"/>
      <c r="F299" s="29" t="n"/>
      <c r="H299" s="7">
        <f>IF(C299="","",IFERROR(INDEX('Trades'!$G$4:$G$103,MATCH(C299,'Trades'!$B$4:$B$103,0)),""))</f>
        <v/>
      </c>
      <c r="I299" s="7">
        <f>IF(AND(G299="Yes",H299="No"),"GST charged, not registered","")</f>
        <v/>
      </c>
      <c r="J299" s="21" t="n"/>
      <c r="L299" s="21" t="n"/>
      <c r="M299" s="29" t="n"/>
      <c r="O299" s="6" t="n"/>
    </row>
    <row r="300">
      <c r="A300" s="21" t="n"/>
      <c r="D300" s="31" t="n"/>
      <c r="F300" s="29" t="n"/>
      <c r="H300" s="7">
        <f>IF(C300="","",IFERROR(INDEX('Trades'!$G$4:$G$103,MATCH(C300,'Trades'!$B$4:$B$103,0)),""))</f>
        <v/>
      </c>
      <c r="I300" s="7">
        <f>IF(AND(G300="Yes",H300="No"),"GST charged, not registered","")</f>
        <v/>
      </c>
      <c r="J300" s="21" t="n"/>
      <c r="L300" s="21" t="n"/>
      <c r="M300" s="29" t="n"/>
      <c r="O300" s="6" t="n"/>
    </row>
    <row r="301">
      <c r="A301" s="21" t="n"/>
      <c r="D301" s="31" t="n"/>
      <c r="F301" s="29" t="n"/>
      <c r="H301" s="7">
        <f>IF(C301="","",IFERROR(INDEX('Trades'!$G$4:$G$103,MATCH(C301,'Trades'!$B$4:$B$103,0)),""))</f>
        <v/>
      </c>
      <c r="I301" s="7">
        <f>IF(AND(G301="Yes",H301="No"),"GST charged, not registered","")</f>
        <v/>
      </c>
      <c r="J301" s="21" t="n"/>
      <c r="L301" s="21" t="n"/>
      <c r="M301" s="29" t="n"/>
      <c r="O301" s="6" t="n"/>
    </row>
    <row r="302">
      <c r="A302" s="21" t="n"/>
      <c r="D302" s="31" t="n"/>
      <c r="F302" s="29" t="n"/>
      <c r="H302" s="7">
        <f>IF(C302="","",IFERROR(INDEX('Trades'!$G$4:$G$103,MATCH(C302,'Trades'!$B$4:$B$103,0)),""))</f>
        <v/>
      </c>
      <c r="I302" s="7">
        <f>IF(AND(G302="Yes",H302="No"),"GST charged, not registered","")</f>
        <v/>
      </c>
      <c r="J302" s="21" t="n"/>
      <c r="L302" s="21" t="n"/>
      <c r="M302" s="29" t="n"/>
      <c r="O302" s="6" t="n"/>
    </row>
    <row r="303">
      <c r="A303" s="21" t="n"/>
      <c r="D303" s="31" t="n"/>
      <c r="F303" s="29" t="n"/>
      <c r="H303" s="7">
        <f>IF(C303="","",IFERROR(INDEX('Trades'!$G$4:$G$103,MATCH(C303,'Trades'!$B$4:$B$103,0)),""))</f>
        <v/>
      </c>
      <c r="I303" s="7">
        <f>IF(AND(G303="Yes",H303="No"),"GST charged, not registered","")</f>
        <v/>
      </c>
      <c r="J303" s="21" t="n"/>
      <c r="L303" s="21" t="n"/>
      <c r="M303" s="29" t="n"/>
      <c r="O303" s="6" t="n"/>
    </row>
  </sheetData>
  <autoFilter ref="A3:O303"/>
  <conditionalFormatting sqref="I4:I303">
    <cfRule type="cellIs" priority="1" operator="equal" dxfId="2">
      <formula>"GST charged, not registered"</formula>
    </cfRule>
  </conditionalFormatting>
  <conditionalFormatting sqref="K4:K303">
    <cfRule type="cellIs" priority="2" operator="equal" dxfId="1">
      <formula>"No"</formula>
    </cfRule>
  </conditionalFormatting>
  <dataValidations count="4">
    <dataValidation sqref="B4:B303" showDropDown="0" showInputMessage="0" showErrorMessage="0" allowBlank="1" error="Pick a value from the list." type="list" errorStyle="warning">
      <formula1>='Packages'!$B$4:$B$33</formula1>
    </dataValidation>
    <dataValidation sqref="C4:C303" showDropDown="0" showInputMessage="0" showErrorMessage="0" allowBlank="1" error="Pick a value from the list." type="list" errorStyle="warning">
      <formula1>='Trades'!$B$4:$B$103</formula1>
    </dataValidation>
    <dataValidation sqref="G4:G303" showDropDown="0" showInputMessage="0" showErrorMessage="0" allowBlank="1" error="Pick a value from the list." type="list" errorStyle="warning">
      <formula1>=Lists!$B$2:$B$3</formula1>
    </dataValidation>
    <dataValidation sqref="K4:K303" showDropDown="0" showInputMessage="0" showErrorMessage="0" allowBlank="1" error="Pick a value from the list." type="list" errorStyle="warning">
      <formula1>=Lists!$B$2:$B$3</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5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22" customWidth="1" min="4" max="4"/>
    <col width="22" customWidth="1" min="5" max="5"/>
    <col width="8" customWidth="1" min="6" max="6"/>
    <col width="12" customWidth="1" min="7" max="7"/>
    <col width="12" customWidth="1" min="8" max="8"/>
    <col width="12" customWidth="1" min="9" max="9"/>
    <col width="10" customWidth="1" min="10" max="10"/>
    <col width="14" customWidth="1" min="11" max="11"/>
    <col width="14" customWidth="1" min="12" max="12"/>
    <col width="30" customWidth="1" min="13" max="13"/>
  </cols>
  <sheetData>
    <row r="1" ht="24" customHeight="1">
      <c r="A1" s="1" t="inlineStr">
        <is>
          <t>Inspections &amp; certificates</t>
        </is>
      </c>
    </row>
    <row r="2">
      <c r="A2" s="2" t="inlineStr">
        <is>
          <t>Mandatory inspections and the certificates the building surveyor needs at final. A missing certificate is the most common reason a final is delayed.</t>
        </is>
      </c>
    </row>
    <row r="3" ht="32" customHeight="1">
      <c r="A3" s="19" t="inlineStr">
        <is>
          <t>Type</t>
        </is>
      </c>
      <c r="B3" s="19" t="inlineStr">
        <is>
          <t>Inspection / certificate</t>
        </is>
      </c>
      <c r="C3" s="19" t="inlineStr">
        <is>
          <t>Standard / law</t>
        </is>
      </c>
      <c r="D3" s="19" t="inlineStr">
        <is>
          <t>Who provides it</t>
        </is>
      </c>
      <c r="E3" s="19" t="inlineStr">
        <is>
          <t>Package</t>
        </is>
      </c>
      <c r="F3" s="19" t="inlineStr">
        <is>
          <t>Gateway</t>
        </is>
      </c>
      <c r="G3" s="19" t="inlineStr">
        <is>
          <t>Requirement</t>
        </is>
      </c>
      <c r="H3" s="19" t="inlineStr">
        <is>
          <t>Booked / requested</t>
        </is>
      </c>
      <c r="I3" s="19" t="inlineStr">
        <is>
          <t>Passed / received</t>
        </is>
      </c>
      <c r="J3" s="19" t="inlineStr">
        <is>
          <t>Result</t>
        </is>
      </c>
      <c r="K3" s="19" t="inlineStr">
        <is>
          <t>Reference no.</t>
        </is>
      </c>
      <c r="L3" s="19" t="inlineStr">
        <is>
          <t>Doc ID</t>
        </is>
      </c>
      <c r="M3" s="19" t="inlineStr">
        <is>
          <t>Notes</t>
        </is>
      </c>
    </row>
    <row r="4">
      <c r="A4" t="inlineStr">
        <is>
          <t>Inspection</t>
        </is>
      </c>
      <c r="B4" s="6" t="inlineStr">
        <is>
          <t>Footings (before placing footings)</t>
        </is>
      </c>
      <c r="C4" t="inlineStr">
        <is>
          <t>Building permit</t>
        </is>
      </c>
      <c r="D4" t="inlineStr">
        <is>
          <t>Relevant building surveyor</t>
        </is>
      </c>
      <c r="E4" t="inlineStr">
        <is>
          <t>04 Concreter</t>
        </is>
      </c>
      <c r="F4" t="inlineStr">
        <is>
          <t>G4</t>
        </is>
      </c>
      <c r="G4" t="inlineStr">
        <is>
          <t>Must</t>
        </is>
      </c>
      <c r="H4" s="21" t="n"/>
      <c r="I4" s="21" t="n"/>
      <c r="J4" t="inlineStr">
        <is>
          <t>Pending</t>
        </is>
      </c>
      <c r="M4" s="6" t="n"/>
    </row>
    <row r="5">
      <c r="A5" t="inlineStr">
        <is>
          <t>Inspection</t>
        </is>
      </c>
      <c r="B5" s="6" t="inlineStr">
        <is>
          <t>Pre-slab (before pouring)</t>
        </is>
      </c>
      <c r="C5" t="inlineStr">
        <is>
          <t>Building permit</t>
        </is>
      </c>
      <c r="D5" t="inlineStr">
        <is>
          <t>Relevant building surveyor</t>
        </is>
      </c>
      <c r="E5" t="inlineStr">
        <is>
          <t>04 Concreter</t>
        </is>
      </c>
      <c r="F5" t="inlineStr">
        <is>
          <t>G4</t>
        </is>
      </c>
      <c r="G5" t="inlineStr">
        <is>
          <t>Must</t>
        </is>
      </c>
      <c r="H5" s="21" t="n"/>
      <c r="I5" s="21" t="n"/>
      <c r="J5" t="inlineStr">
        <is>
          <t>Pending</t>
        </is>
      </c>
      <c r="M5" s="6" t="n"/>
    </row>
    <row r="6">
      <c r="A6" t="inlineStr">
        <is>
          <t>Inspection</t>
        </is>
      </c>
      <c r="B6" s="6" t="inlineStr">
        <is>
          <t>Frame</t>
        </is>
      </c>
      <c r="C6" t="inlineStr">
        <is>
          <t>Building permit</t>
        </is>
      </c>
      <c r="D6" t="inlineStr">
        <is>
          <t>Relevant building surveyor</t>
        </is>
      </c>
      <c r="E6" t="inlineStr">
        <is>
          <t>07 Carpenter (frame)</t>
        </is>
      </c>
      <c r="F6" t="inlineStr">
        <is>
          <t>G5</t>
        </is>
      </c>
      <c r="G6" t="inlineStr">
        <is>
          <t>Must</t>
        </is>
      </c>
      <c r="H6" s="21" t="n"/>
      <c r="I6" s="21" t="n"/>
      <c r="J6" t="inlineStr">
        <is>
          <t>Pending</t>
        </is>
      </c>
      <c r="M6" s="6" t="n"/>
    </row>
    <row r="7">
      <c r="A7" t="inlineStr">
        <is>
          <t>Inspection</t>
        </is>
      </c>
      <c r="B7" s="6" t="inlineStr">
        <is>
          <t>Other stage listed on your permit (e.g. pre-plaster, retaining wall)</t>
        </is>
      </c>
      <c r="C7" t="inlineStr">
        <is>
          <t>Building permit</t>
        </is>
      </c>
      <c r="D7" t="inlineStr">
        <is>
          <t>Relevant building surveyor</t>
        </is>
      </c>
      <c r="E7" t="inlineStr"/>
      <c r="F7" t="inlineStr">
        <is>
          <t>G5</t>
        </is>
      </c>
      <c r="G7" t="inlineStr">
        <is>
          <t>If applies</t>
        </is>
      </c>
      <c r="H7" s="21" t="n"/>
      <c r="I7" s="21" t="n"/>
      <c r="J7" t="inlineStr">
        <is>
          <t>Pending</t>
        </is>
      </c>
      <c r="M7" s="6" t="n"/>
    </row>
    <row r="8">
      <c r="A8" t="inlineStr">
        <is>
          <t>Inspection</t>
        </is>
      </c>
      <c r="B8" s="6" t="inlineStr">
        <is>
          <t>Final inspection</t>
        </is>
      </c>
      <c r="C8" t="inlineStr">
        <is>
          <t>Building permit</t>
        </is>
      </c>
      <c r="D8" t="inlineStr">
        <is>
          <t>Relevant building surveyor</t>
        </is>
      </c>
      <c r="E8" t="inlineStr"/>
      <c r="F8" t="inlineStr">
        <is>
          <t>G7</t>
        </is>
      </c>
      <c r="G8" t="inlineStr">
        <is>
          <t>Must</t>
        </is>
      </c>
      <c r="H8" s="21" t="n"/>
      <c r="I8" s="21" t="n"/>
      <c r="J8" t="inlineStr">
        <is>
          <t>Pending</t>
        </is>
      </c>
      <c r="M8" s="6" t="n"/>
    </row>
    <row r="9">
      <c r="A9" t="inlineStr">
        <is>
          <t>Certificate</t>
        </is>
      </c>
      <c r="B9" s="6" t="inlineStr">
        <is>
          <t>Set-out certificate</t>
        </is>
      </c>
      <c r="C9" t="inlineStr"/>
      <c r="D9" t="inlineStr">
        <is>
          <t>Licensed land surveyor</t>
        </is>
      </c>
      <c r="E9" t="inlineStr">
        <is>
          <t>01 Surveyor</t>
        </is>
      </c>
      <c r="F9" t="inlineStr">
        <is>
          <t>G4</t>
        </is>
      </c>
      <c r="G9" t="inlineStr">
        <is>
          <t>Best practice</t>
        </is>
      </c>
      <c r="H9" s="21" t="n"/>
      <c r="I9" s="21" t="n"/>
      <c r="J9" t="inlineStr">
        <is>
          <t>Pending</t>
        </is>
      </c>
      <c r="M9" s="6" t="n"/>
    </row>
    <row r="10">
      <c r="A10" t="inlineStr">
        <is>
          <t>Certificate</t>
        </is>
      </c>
      <c r="B10" s="6" t="inlineStr">
        <is>
          <t>Engineer pour approval / footing sign-off</t>
        </is>
      </c>
      <c r="C10" t="inlineStr">
        <is>
          <t>AS 2870</t>
        </is>
      </c>
      <c r="D10" t="inlineStr">
        <is>
          <t>Structural engineer</t>
        </is>
      </c>
      <c r="E10" t="inlineStr">
        <is>
          <t>04 Concreter</t>
        </is>
      </c>
      <c r="F10" t="inlineStr">
        <is>
          <t>G4</t>
        </is>
      </c>
      <c r="G10" t="inlineStr">
        <is>
          <t>If applies</t>
        </is>
      </c>
      <c r="H10" s="21" t="n"/>
      <c r="I10" s="21" t="n"/>
      <c r="J10" t="inlineStr">
        <is>
          <t>Pending</t>
        </is>
      </c>
      <c r="M10" s="6" t="n"/>
    </row>
    <row r="11">
      <c r="A11" t="inlineStr">
        <is>
          <t>Certificate</t>
        </is>
      </c>
      <c r="B11" s="6" t="inlineStr">
        <is>
          <t>Plumbing compliance certificate: drainage &amp; sewer</t>
        </is>
      </c>
      <c r="C11" t="inlineStr">
        <is>
          <t>Building Act 1993</t>
        </is>
      </c>
      <c r="D11" t="inlineStr">
        <is>
          <t>Licensed plumber</t>
        </is>
      </c>
      <c r="E11" t="inlineStr">
        <is>
          <t>03 Plumbing &amp; drainage</t>
        </is>
      </c>
      <c r="F11" t="inlineStr">
        <is>
          <t>G4</t>
        </is>
      </c>
      <c r="G11" t="inlineStr">
        <is>
          <t>Must</t>
        </is>
      </c>
      <c r="H11" s="21" t="n"/>
      <c r="I11" s="21" t="n"/>
      <c r="J11" t="inlineStr">
        <is>
          <t>Pending</t>
        </is>
      </c>
      <c r="M11" s="6" t="n"/>
    </row>
    <row r="12">
      <c r="A12" t="inlineStr">
        <is>
          <t>Certificate</t>
        </is>
      </c>
      <c r="B12" s="6" t="inlineStr">
        <is>
          <t>Termite management certificate &amp; durable notice</t>
        </is>
      </c>
      <c r="C12" t="inlineStr">
        <is>
          <t>AS 3660.1</t>
        </is>
      </c>
      <c r="D12" t="inlineStr">
        <is>
          <t>Licensed pest controller</t>
        </is>
      </c>
      <c r="E12" t="inlineStr">
        <is>
          <t>05 Termite management</t>
        </is>
      </c>
      <c r="F12" t="inlineStr">
        <is>
          <t>G4</t>
        </is>
      </c>
      <c r="G12" t="inlineStr">
        <is>
          <t>Must</t>
        </is>
      </c>
      <c r="H12" s="21" t="n"/>
      <c r="I12" s="21" t="n"/>
      <c r="J12" t="inlineStr">
        <is>
          <t>Pending</t>
        </is>
      </c>
      <c r="M12" s="6" t="n"/>
    </row>
    <row r="13">
      <c r="A13" t="inlineStr">
        <is>
          <t>Certificate</t>
        </is>
      </c>
      <c r="B13" s="6" t="inlineStr">
        <is>
          <t>Frame &amp; truss design certificates, bracing plan</t>
        </is>
      </c>
      <c r="C13" t="inlineStr">
        <is>
          <t>AS 1684 / AS 4440</t>
        </is>
      </c>
      <c r="D13" t="inlineStr">
        <is>
          <t>Frame &amp; truss supplier</t>
        </is>
      </c>
      <c r="E13" t="inlineStr">
        <is>
          <t>06 Frame &amp; truss supply</t>
        </is>
      </c>
      <c r="F13" t="inlineStr">
        <is>
          <t>G5</t>
        </is>
      </c>
      <c r="G13" t="inlineStr">
        <is>
          <t>Must</t>
        </is>
      </c>
      <c r="H13" s="21" t="n"/>
      <c r="I13" s="21" t="n"/>
      <c r="J13" t="inlineStr">
        <is>
          <t>Pending</t>
        </is>
      </c>
      <c r="M13" s="6" t="n"/>
    </row>
    <row r="14">
      <c r="A14" t="inlineStr">
        <is>
          <t>Certificate</t>
        </is>
      </c>
      <c r="B14" s="6" t="inlineStr">
        <is>
          <t>Plumbing compliance certificate: roofing</t>
        </is>
      </c>
      <c r="C14" t="inlineStr">
        <is>
          <t>AS/NZS 3500.3</t>
        </is>
      </c>
      <c r="D14" t="inlineStr">
        <is>
          <t>Licensed roof plumber</t>
        </is>
      </c>
      <c r="E14" t="inlineStr">
        <is>
          <t>08 Roofing</t>
        </is>
      </c>
      <c r="F14" t="inlineStr">
        <is>
          <t>G5</t>
        </is>
      </c>
      <c r="G14" t="inlineStr">
        <is>
          <t>Must</t>
        </is>
      </c>
      <c r="H14" s="21" t="n"/>
      <c r="I14" s="21" t="n"/>
      <c r="J14" t="inlineStr">
        <is>
          <t>Pending</t>
        </is>
      </c>
      <c r="M14" s="6" t="n"/>
    </row>
    <row r="15">
      <c r="A15" t="inlineStr">
        <is>
          <t>Certificate</t>
        </is>
      </c>
      <c r="B15" s="6" t="inlineStr">
        <is>
          <t>Glazing certificate &amp; energy labels (WERS)</t>
        </is>
      </c>
      <c r="C15" t="inlineStr">
        <is>
          <t>AS 2047 / AS 1288</t>
        </is>
      </c>
      <c r="D15" t="inlineStr">
        <is>
          <t>Window supplier / glazier</t>
        </is>
      </c>
      <c r="E15" t="inlineStr">
        <is>
          <t>09 Windows &amp; external doors</t>
        </is>
      </c>
      <c r="F15" t="inlineStr">
        <is>
          <t>G5</t>
        </is>
      </c>
      <c r="G15" t="inlineStr">
        <is>
          <t>Must</t>
        </is>
      </c>
      <c r="H15" s="21" t="n"/>
      <c r="I15" s="21" t="n"/>
      <c r="J15" t="inlineStr">
        <is>
          <t>Pending</t>
        </is>
      </c>
      <c r="M15" s="6" t="n"/>
    </row>
    <row r="16">
      <c r="A16" t="inlineStr">
        <is>
          <t>Certificate</t>
        </is>
      </c>
      <c r="B16" s="6" t="inlineStr">
        <is>
          <t>Plumbing compliance certificate: rough-in</t>
        </is>
      </c>
      <c r="C16" t="inlineStr">
        <is>
          <t>Building Act 1993</t>
        </is>
      </c>
      <c r="D16" t="inlineStr">
        <is>
          <t>Licensed plumber</t>
        </is>
      </c>
      <c r="E16" t="inlineStr">
        <is>
          <t>03 Plumbing &amp; drainage</t>
        </is>
      </c>
      <c r="F16" t="inlineStr">
        <is>
          <t>G5</t>
        </is>
      </c>
      <c r="G16" t="inlineStr">
        <is>
          <t>Must</t>
        </is>
      </c>
      <c r="H16" s="21" t="n"/>
      <c r="I16" s="21" t="n"/>
      <c r="J16" t="inlineStr">
        <is>
          <t>Pending</t>
        </is>
      </c>
      <c r="M16" s="6" t="n"/>
    </row>
    <row r="17">
      <c r="A17" t="inlineStr">
        <is>
          <t>Certificate</t>
        </is>
      </c>
      <c r="B17" s="6" t="inlineStr">
        <is>
          <t>Insulation certificate (R-values per energy report)</t>
        </is>
      </c>
      <c r="C17" t="inlineStr">
        <is>
          <t>NCC 2022</t>
        </is>
      </c>
      <c r="D17" t="inlineStr">
        <is>
          <t>Insulation installer</t>
        </is>
      </c>
      <c r="E17" t="inlineStr">
        <is>
          <t>12 Insulation</t>
        </is>
      </c>
      <c r="F17" t="inlineStr">
        <is>
          <t>G5</t>
        </is>
      </c>
      <c r="G17" t="inlineStr">
        <is>
          <t>Must</t>
        </is>
      </c>
      <c r="H17" s="21" t="n"/>
      <c r="I17" s="21" t="n"/>
      <c r="J17" t="inlineStr">
        <is>
          <t>Pending</t>
        </is>
      </c>
      <c r="M17" s="6" t="n"/>
    </row>
    <row r="18">
      <c r="A18" t="inlineStr">
        <is>
          <t>Certificate</t>
        </is>
      </c>
      <c r="B18" s="6" t="inlineStr">
        <is>
          <t>Waterproofing certificate</t>
        </is>
      </c>
      <c r="C18" t="inlineStr">
        <is>
          <t>AS 3740</t>
        </is>
      </c>
      <c r="D18" t="inlineStr">
        <is>
          <t>Waterproofer</t>
        </is>
      </c>
      <c r="E18" t="inlineStr">
        <is>
          <t>14 Waterproofer</t>
        </is>
      </c>
      <c r="F18" t="inlineStr">
        <is>
          <t>G6</t>
        </is>
      </c>
      <c r="G18" t="inlineStr">
        <is>
          <t>Must</t>
        </is>
      </c>
      <c r="H18" s="21" t="n"/>
      <c r="I18" s="21" t="n"/>
      <c r="J18" t="inlineStr">
        <is>
          <t>Pending</t>
        </is>
      </c>
      <c r="M18" s="6" t="n"/>
    </row>
    <row r="19">
      <c r="A19" t="inlineStr">
        <is>
          <t>Certificate</t>
        </is>
      </c>
      <c r="B19" s="6" t="inlineStr">
        <is>
          <t>Plumbing compliance certificate: fit-off</t>
        </is>
      </c>
      <c r="C19" t="inlineStr">
        <is>
          <t>Building Act 1993</t>
        </is>
      </c>
      <c r="D19" t="inlineStr">
        <is>
          <t>Licensed plumber</t>
        </is>
      </c>
      <c r="E19" t="inlineStr">
        <is>
          <t>03 Plumbing &amp; drainage</t>
        </is>
      </c>
      <c r="F19" t="inlineStr">
        <is>
          <t>G6</t>
        </is>
      </c>
      <c r="G19" t="inlineStr">
        <is>
          <t>Must</t>
        </is>
      </c>
      <c r="H19" s="21" t="n"/>
      <c r="I19" s="21" t="n"/>
      <c r="J19" t="inlineStr">
        <is>
          <t>Pending</t>
        </is>
      </c>
      <c r="M19" s="6" t="n"/>
    </row>
    <row r="20">
      <c r="A20" t="inlineStr">
        <is>
          <t>Certificate</t>
        </is>
      </c>
      <c r="B20" s="6" t="inlineStr">
        <is>
          <t>Plumbing compliance certificate: gas</t>
        </is>
      </c>
      <c r="C20" t="inlineStr">
        <is>
          <t>Building Act 1993</t>
        </is>
      </c>
      <c r="D20" t="inlineStr">
        <is>
          <t>Licensed gasfitter</t>
        </is>
      </c>
      <c r="E20" t="inlineStr">
        <is>
          <t>03 Plumbing &amp; drainage</t>
        </is>
      </c>
      <c r="F20" t="inlineStr">
        <is>
          <t>G6</t>
        </is>
      </c>
      <c r="G20" t="inlineStr">
        <is>
          <t>If applies</t>
        </is>
      </c>
      <c r="H20" s="21" t="n"/>
      <c r="I20" s="21" t="n"/>
      <c r="J20" t="inlineStr">
        <is>
          <t>Pending</t>
        </is>
      </c>
      <c r="M20" s="6" t="n"/>
    </row>
    <row r="21">
      <c r="A21" t="inlineStr">
        <is>
          <t>Certificate</t>
        </is>
      </c>
      <c r="B21" s="6" t="inlineStr">
        <is>
          <t>Certificate of Electrical Safety</t>
        </is>
      </c>
      <c r="C21" t="inlineStr">
        <is>
          <t>Electricity Safety Act 1998</t>
        </is>
      </c>
      <c r="D21" t="inlineStr">
        <is>
          <t>Licensed electrician</t>
        </is>
      </c>
      <c r="E21" t="inlineStr">
        <is>
          <t>11 Electrician</t>
        </is>
      </c>
      <c r="F21" t="inlineStr">
        <is>
          <t>G6</t>
        </is>
      </c>
      <c r="G21" t="inlineStr">
        <is>
          <t>Must</t>
        </is>
      </c>
      <c r="H21" s="21" t="n"/>
      <c r="I21" s="21" t="n"/>
      <c r="J21" t="inlineStr">
        <is>
          <t>Pending</t>
        </is>
      </c>
      <c r="M21" s="6" t="n"/>
    </row>
    <row r="22">
      <c r="A22" t="inlineStr">
        <is>
          <t>Certificate</t>
        </is>
      </c>
      <c r="B22" s="6" t="inlineStr">
        <is>
          <t>Smoke alarm certificate</t>
        </is>
      </c>
      <c r="C22" t="inlineStr">
        <is>
          <t>AS 3786</t>
        </is>
      </c>
      <c r="D22" t="inlineStr">
        <is>
          <t>Licensed electrician</t>
        </is>
      </c>
      <c r="E22" t="inlineStr">
        <is>
          <t>11 Electrician</t>
        </is>
      </c>
      <c r="F22" t="inlineStr">
        <is>
          <t>G6</t>
        </is>
      </c>
      <c r="G22" t="inlineStr">
        <is>
          <t>Must</t>
        </is>
      </c>
      <c r="H22" s="21" t="n"/>
      <c r="I22" s="21" t="n"/>
      <c r="J22" t="inlineStr">
        <is>
          <t>Pending</t>
        </is>
      </c>
      <c r="M22" s="6" t="n"/>
    </row>
    <row r="23">
      <c r="A23" t="inlineStr">
        <is>
          <t>Certificate</t>
        </is>
      </c>
      <c r="B23" s="6" t="inlineStr">
        <is>
          <t>HVAC commissioning sheet &amp; warranty</t>
        </is>
      </c>
      <c r="C23" t="inlineStr"/>
      <c r="D23" t="inlineStr">
        <is>
          <t>HVAC installer (ARC licence)</t>
        </is>
      </c>
      <c r="E23" t="inlineStr">
        <is>
          <t>19 Heating &amp; cooling</t>
        </is>
      </c>
      <c r="F23" t="inlineStr">
        <is>
          <t>G6</t>
        </is>
      </c>
      <c r="G23" t="inlineStr">
        <is>
          <t>If applies</t>
        </is>
      </c>
      <c r="H23" s="21" t="n"/>
      <c r="I23" s="21" t="n"/>
      <c r="J23" t="inlineStr">
        <is>
          <t>Pending</t>
        </is>
      </c>
      <c r="M23" s="6" t="n"/>
    </row>
    <row r="24">
      <c r="A24" t="inlineStr">
        <is>
          <t>Certificate</t>
        </is>
      </c>
      <c r="B24" s="6" t="inlineStr">
        <is>
          <t>Energy compliance (as-built matches energy report)</t>
        </is>
      </c>
      <c r="C24" t="inlineStr">
        <is>
          <t>NCC 2022</t>
        </is>
      </c>
      <c r="D24" t="inlineStr">
        <is>
          <t>Energy assessor / RBS</t>
        </is>
      </c>
      <c r="E24" t="inlineStr"/>
      <c r="F24" t="inlineStr">
        <is>
          <t>G7</t>
        </is>
      </c>
      <c r="G24" t="inlineStr">
        <is>
          <t>Must</t>
        </is>
      </c>
      <c r="H24" s="21" t="n"/>
      <c r="I24" s="21" t="n"/>
      <c r="J24" t="inlineStr">
        <is>
          <t>Pending</t>
        </is>
      </c>
      <c r="M24" s="6" t="n"/>
    </row>
    <row r="25">
      <c r="A25" t="inlineStr">
        <is>
          <t>Certificate</t>
        </is>
      </c>
      <c r="B25" s="6" t="inlineStr">
        <is>
          <t>Asbestos clearance certificate</t>
        </is>
      </c>
      <c r="C25" t="inlineStr">
        <is>
          <t>OHS Regulations 2017</t>
        </is>
      </c>
      <c r="D25" t="inlineStr">
        <is>
          <t>Licensed asbestos assessor</t>
        </is>
      </c>
      <c r="E25" t="inlineStr">
        <is>
          <t>02 Demolition &amp; earthworks</t>
        </is>
      </c>
      <c r="F25" t="inlineStr">
        <is>
          <t>G4</t>
        </is>
      </c>
      <c r="G25" t="inlineStr">
        <is>
          <t>If applies</t>
        </is>
      </c>
      <c r="H25" s="21" t="n"/>
      <c r="I25" s="21" t="n"/>
      <c r="J25" t="inlineStr">
        <is>
          <t>Pending</t>
        </is>
      </c>
      <c r="M25" s="6" t="n"/>
    </row>
    <row r="26">
      <c r="A26" t="inlineStr">
        <is>
          <t>Permit</t>
        </is>
      </c>
      <c r="B26" s="6" t="inlineStr">
        <is>
          <t>Occupancy permit or certificate of final inspection</t>
        </is>
      </c>
      <c r="C26" t="inlineStr">
        <is>
          <t>Building Act 1993</t>
        </is>
      </c>
      <c r="D26" t="inlineStr">
        <is>
          <t>Relevant building surveyor</t>
        </is>
      </c>
      <c r="E26" t="inlineStr"/>
      <c r="F26" t="inlineStr">
        <is>
          <t>G7</t>
        </is>
      </c>
      <c r="G26" t="inlineStr">
        <is>
          <t>Must</t>
        </is>
      </c>
      <c r="H26" s="21" t="n"/>
      <c r="I26" s="21" t="n"/>
      <c r="J26" t="inlineStr">
        <is>
          <t>Pending</t>
        </is>
      </c>
      <c r="M26" s="6" t="n"/>
    </row>
    <row r="27">
      <c r="B27" s="6" t="n"/>
      <c r="H27" s="21" t="n"/>
      <c r="I27" s="21" t="n"/>
      <c r="M27" s="6" t="n"/>
    </row>
    <row r="28">
      <c r="B28" s="6" t="n"/>
      <c r="H28" s="21" t="n"/>
      <c r="I28" s="21" t="n"/>
      <c r="M28" s="6" t="n"/>
    </row>
    <row r="29">
      <c r="B29" s="6" t="n"/>
      <c r="H29" s="21" t="n"/>
      <c r="I29" s="21" t="n"/>
      <c r="M29" s="6" t="n"/>
    </row>
    <row r="30">
      <c r="B30" s="6" t="n"/>
      <c r="H30" s="21" t="n"/>
      <c r="I30" s="21" t="n"/>
      <c r="M30" s="6" t="n"/>
    </row>
    <row r="31">
      <c r="B31" s="6" t="n"/>
      <c r="H31" s="21" t="n"/>
      <c r="I31" s="21" t="n"/>
      <c r="M31" s="6" t="n"/>
    </row>
    <row r="32">
      <c r="B32" s="6" t="n"/>
      <c r="H32" s="21" t="n"/>
      <c r="I32" s="21" t="n"/>
      <c r="M32" s="6" t="n"/>
    </row>
    <row r="33">
      <c r="B33" s="6" t="n"/>
      <c r="H33" s="21" t="n"/>
      <c r="I33" s="21" t="n"/>
      <c r="M33" s="6" t="n"/>
    </row>
    <row r="34">
      <c r="B34" s="6" t="n"/>
      <c r="H34" s="21" t="n"/>
      <c r="I34" s="21" t="n"/>
      <c r="M34" s="6" t="n"/>
    </row>
    <row r="35">
      <c r="B35" s="6" t="n"/>
      <c r="H35" s="21" t="n"/>
      <c r="I35" s="21" t="n"/>
      <c r="M35" s="6" t="n"/>
    </row>
    <row r="36">
      <c r="B36" s="6" t="n"/>
      <c r="H36" s="21" t="n"/>
      <c r="I36" s="21" t="n"/>
      <c r="M36" s="6" t="n"/>
    </row>
    <row r="37">
      <c r="B37" s="6" t="n"/>
      <c r="H37" s="21" t="n"/>
      <c r="I37" s="21" t="n"/>
      <c r="M37" s="6" t="n"/>
    </row>
    <row r="38">
      <c r="B38" s="6" t="n"/>
      <c r="H38" s="21" t="n"/>
      <c r="I38" s="21" t="n"/>
      <c r="M38" s="6" t="n"/>
    </row>
    <row r="39">
      <c r="B39" s="6" t="n"/>
      <c r="H39" s="21" t="n"/>
      <c r="I39" s="21" t="n"/>
      <c r="M39" s="6" t="n"/>
    </row>
    <row r="40">
      <c r="B40" s="6" t="n"/>
      <c r="H40" s="21" t="n"/>
      <c r="I40" s="21" t="n"/>
      <c r="M40" s="6" t="n"/>
    </row>
    <row r="41">
      <c r="B41" s="6" t="n"/>
      <c r="H41" s="21" t="n"/>
      <c r="I41" s="21" t="n"/>
      <c r="M41" s="6" t="n"/>
    </row>
    <row r="42">
      <c r="B42" s="6" t="n"/>
      <c r="H42" s="21" t="n"/>
      <c r="I42" s="21" t="n"/>
      <c r="M42" s="6" t="n"/>
    </row>
    <row r="43">
      <c r="B43" s="6" t="n"/>
      <c r="H43" s="21" t="n"/>
      <c r="I43" s="21" t="n"/>
      <c r="M43" s="6" t="n"/>
    </row>
    <row r="44">
      <c r="B44" s="6" t="n"/>
      <c r="H44" s="21" t="n"/>
      <c r="I44" s="21" t="n"/>
      <c r="M44" s="6" t="n"/>
    </row>
    <row r="45">
      <c r="B45" s="6" t="n"/>
      <c r="H45" s="21" t="n"/>
      <c r="I45" s="21" t="n"/>
      <c r="M45" s="6" t="n"/>
    </row>
    <row r="46">
      <c r="B46" s="6" t="n"/>
      <c r="H46" s="21" t="n"/>
      <c r="I46" s="21" t="n"/>
      <c r="M46" s="6" t="n"/>
    </row>
    <row r="47">
      <c r="B47" s="6" t="n"/>
      <c r="H47" s="21" t="n"/>
      <c r="I47" s="21" t="n"/>
      <c r="M47" s="6" t="n"/>
    </row>
    <row r="48">
      <c r="B48" s="6" t="n"/>
      <c r="H48" s="21" t="n"/>
      <c r="I48" s="21" t="n"/>
      <c r="M48" s="6" t="n"/>
    </row>
    <row r="49">
      <c r="B49" s="6" t="n"/>
      <c r="H49" s="21" t="n"/>
      <c r="I49" s="21" t="n"/>
      <c r="M49" s="6" t="n"/>
    </row>
    <row r="50">
      <c r="B50" s="6" t="n"/>
      <c r="H50" s="21" t="n"/>
      <c r="I50" s="21" t="n"/>
      <c r="M50" s="6" t="n"/>
    </row>
    <row r="51">
      <c r="B51" s="6" t="n"/>
      <c r="H51" s="21" t="n"/>
      <c r="I51" s="21" t="n"/>
      <c r="M51" s="6" t="n"/>
    </row>
  </sheetData>
  <autoFilter ref="A3:M51"/>
  <conditionalFormatting sqref="J4:J51">
    <cfRule type="cellIs" priority="1" operator="equal" dxfId="0">
      <formula>"Pass"</formula>
    </cfRule>
    <cfRule type="cellIs" priority="2" operator="equal" dxfId="2">
      <formula>"Fail"</formula>
    </cfRule>
  </conditionalFormatting>
  <dataValidations count="5">
    <dataValidation sqref="A4:A51" showDropDown="0" showInputMessage="0" showErrorMessage="0" allowBlank="1" error="Pick a value from the list." type="list" errorStyle="warning">
      <formula1>=Lists!$R$2:$R$4</formula1>
    </dataValidation>
    <dataValidation sqref="E4:E51" showDropDown="0" showInputMessage="0" showErrorMessage="0" allowBlank="1" error="Pick a value from the list." type="list" errorStyle="warning">
      <formula1>='Packages'!$B$4:$B$33</formula1>
    </dataValidation>
    <dataValidation sqref="F4:F51" showDropDown="0" showInputMessage="0" showErrorMessage="0" allowBlank="1" error="Pick a value from the list." type="list" errorStyle="warning">
      <formula1>=Lists!$A$2:$A$9</formula1>
    </dataValidation>
    <dataValidation sqref="G4:G51" showDropDown="0" showInputMessage="0" showErrorMessage="0" allowBlank="1" error="Pick a value from the list." type="list" errorStyle="warning">
      <formula1>=Lists!$E$2:$E$4</formula1>
    </dataValidation>
    <dataValidation sqref="J4:J51" showDropDown="0" showInputMessage="0" showErrorMessage="0" allowBlank="1" error="Pick a value from the list." type="list" errorStyle="warning">
      <formula1>=Lists!$S$2:$S$5</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6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9" customWidth="1" min="4" max="4"/>
    <col width="7" customWidth="1" min="5" max="5"/>
    <col width="9" customWidth="1" min="6" max="6"/>
    <col width="50" customWidth="1" min="7" max="7"/>
    <col width="12" customWidth="1" min="8" max="8"/>
    <col width="10" customWidth="1" min="9" max="9"/>
    <col width="12" customWidth="1" min="10" max="10"/>
    <col width="28" customWidth="1" min="11" max="11"/>
  </cols>
  <sheetData>
    <row r="1" ht="24" customHeight="1">
      <c r="A1" s="1" t="inlineStr">
        <is>
          <t>Risk register</t>
        </is>
      </c>
    </row>
    <row r="2">
      <c r="A2" s="2" t="inlineStr">
        <is>
          <t>Likelihood × impact gives the rating. Review it weekly. Contingency is money set aside for these risks, not for upgrades.</t>
        </is>
      </c>
    </row>
    <row r="3" ht="32" customHeight="1">
      <c r="A3" s="19" t="inlineStr">
        <is>
          <t>ID</t>
        </is>
      </c>
      <c r="B3" s="19" t="inlineStr">
        <is>
          <t>Risk</t>
        </is>
      </c>
      <c r="C3" s="19" t="inlineStr">
        <is>
          <t>Likelihood</t>
        </is>
      </c>
      <c r="D3" s="19" t="inlineStr">
        <is>
          <t>Impact</t>
        </is>
      </c>
      <c r="E3" s="20" t="inlineStr">
        <is>
          <t>Score</t>
        </is>
      </c>
      <c r="F3" s="20" t="inlineStr">
        <is>
          <t>Rating</t>
        </is>
      </c>
      <c r="G3" s="19" t="inlineStr">
        <is>
          <t>Response</t>
        </is>
      </c>
      <c r="H3" s="19" t="inlineStr">
        <is>
          <t>Owner</t>
        </is>
      </c>
      <c r="I3" s="19" t="inlineStr">
        <is>
          <t>Status</t>
        </is>
      </c>
      <c r="J3" s="19" t="inlineStr">
        <is>
          <t>Next review</t>
        </is>
      </c>
      <c r="K3" s="19" t="inlineStr">
        <is>
          <t>Notes</t>
        </is>
      </c>
    </row>
    <row r="4">
      <c r="A4" t="inlineStr">
        <is>
          <t>R01</t>
        </is>
      </c>
      <c r="B4" s="6" t="inlineStr">
        <is>
          <t>Site costs blow out (rock, fill, poor soil, services)</t>
        </is>
      </c>
      <c r="C4" t="inlineStr">
        <is>
          <t>Med</t>
        </is>
      </c>
      <c r="D4" t="inlineStr">
        <is>
          <t>High</t>
        </is>
      </c>
      <c r="E4" s="7">
        <f>IF(OR(C4="",D4=""),"",MATCH(C4,{"Low","Med","High"},0)*MATCH(D4,{"Low","Med","High"},0))</f>
        <v/>
      </c>
      <c r="F4" s="7">
        <f>IF(E4="","",IF(E4&gt;=6,"High",IF(E4&gt;=3,"Medium","Low")))</f>
        <v/>
      </c>
      <c r="G4" s="6" t="inlineStr">
        <is>
          <t>Soil test and feature survey before G1. Get a site-works provisional sum with a cap.</t>
        </is>
      </c>
      <c r="H4" t="inlineStr">
        <is>
          <t>Owner-builder</t>
        </is>
      </c>
      <c r="I4" t="inlineStr">
        <is>
          <t>Open</t>
        </is>
      </c>
      <c r="J4" s="21" t="n"/>
      <c r="K4" s="6" t="n"/>
    </row>
    <row r="5">
      <c r="A5" t="inlineStr">
        <is>
          <t>R02</t>
        </is>
      </c>
      <c r="B5" s="6" t="inlineStr">
        <is>
          <t>Key trade unavailable, program slips</t>
        </is>
      </c>
      <c r="C5" t="inlineStr">
        <is>
          <t>High</t>
        </is>
      </c>
      <c r="D5" t="inlineStr">
        <is>
          <t>Med</t>
        </is>
      </c>
      <c r="E5" s="7">
        <f>IF(OR(C5="",D5=""),"",MATCH(C5,{"Low","Med","High"},0)*MATCH(D5,{"Low","Med","High"},0))</f>
        <v/>
      </c>
      <c r="F5" s="7">
        <f>IF(E5="","",IF(E5&gt;=6,"High",IF(E5&gt;=3,"Medium","Low")))</f>
        <v/>
      </c>
      <c r="G5" s="6" t="inlineStr">
        <is>
          <t>Book critical-path trades at G3. Keep a backup quote for each.</t>
        </is>
      </c>
      <c r="H5" t="inlineStr">
        <is>
          <t>Owner-builder</t>
        </is>
      </c>
      <c r="I5" t="inlineStr">
        <is>
          <t>Open</t>
        </is>
      </c>
      <c r="J5" s="21" t="n"/>
      <c r="K5" s="6" t="n"/>
    </row>
    <row r="6">
      <c r="A6" t="inlineStr">
        <is>
          <t>R03</t>
        </is>
      </c>
      <c r="B6" s="6" t="inlineStr">
        <is>
          <t>Trade insurance or registration lapses mid-job</t>
        </is>
      </c>
      <c r="C6" t="inlineStr">
        <is>
          <t>Med</t>
        </is>
      </c>
      <c r="D6" t="inlineStr">
        <is>
          <t>High</t>
        </is>
      </c>
      <c r="E6" s="7">
        <f>IF(OR(C6="",D6=""),"",MATCH(C6,{"Low","Med","High"},0)*MATCH(D6,{"Low","Med","High"},0))</f>
        <v/>
      </c>
      <c r="F6" s="7">
        <f>IF(E6="","",IF(E6&gt;=6,"High",IF(E6&gt;=3,"Medium","Low")))</f>
        <v/>
      </c>
      <c r="G6" s="6" t="inlineStr">
        <is>
          <t>Track expiry dates in the trade register with automatic reminders.</t>
        </is>
      </c>
      <c r="H6" t="inlineStr">
        <is>
          <t>Owner-builder</t>
        </is>
      </c>
      <c r="I6" t="inlineStr">
        <is>
          <t>Open</t>
        </is>
      </c>
      <c r="J6" s="21" t="n"/>
      <c r="K6" s="6" t="n"/>
    </row>
    <row r="7">
      <c r="A7" t="inlineStr">
        <is>
          <t>R04</t>
        </is>
      </c>
      <c r="B7" s="6" t="inlineStr">
        <is>
          <t>Failed inspection</t>
        </is>
      </c>
      <c r="C7" t="inlineStr">
        <is>
          <t>Med</t>
        </is>
      </c>
      <c r="D7" t="inlineStr">
        <is>
          <t>Med</t>
        </is>
      </c>
      <c r="E7" s="7">
        <f>IF(OR(C7="",D7=""),"",MATCH(C7,{"Low","Med","High"},0)*MATCH(D7,{"Low","Med","High"},0))</f>
        <v/>
      </c>
      <c r="F7" s="7">
        <f>IF(E7="","",IF(E7&gt;=6,"High",IF(E7&gt;=3,"Medium","Low")))</f>
        <v/>
      </c>
      <c r="G7" s="6" t="inlineStr">
        <is>
          <t>Run your own ITP checklist before calling the RBS.</t>
        </is>
      </c>
      <c r="H7" t="inlineStr">
        <is>
          <t>Owner-builder</t>
        </is>
      </c>
      <c r="I7" t="inlineStr">
        <is>
          <t>Open</t>
        </is>
      </c>
      <c r="J7" s="21" t="n"/>
      <c r="K7" s="6" t="n"/>
    </row>
    <row r="8">
      <c r="A8" t="inlineStr">
        <is>
          <t>R05</t>
        </is>
      </c>
      <c r="B8" s="6" t="inlineStr">
        <is>
          <t>Scope creep (upgrades)</t>
        </is>
      </c>
      <c r="C8" t="inlineStr">
        <is>
          <t>High</t>
        </is>
      </c>
      <c r="D8" t="inlineStr">
        <is>
          <t>Med</t>
        </is>
      </c>
      <c r="E8" s="7">
        <f>IF(OR(C8="",D8=""),"",MATCH(C8,{"Low","Med","High"},0)*MATCH(D8,{"Low","Med","High"},0))</f>
        <v/>
      </c>
      <c r="F8" s="7">
        <f>IF(E8="","",IF(E8&gt;=6,"High",IF(E8&gt;=3,"Medium","Low")))</f>
        <v/>
      </c>
      <c r="G8" s="6" t="inlineStr">
        <is>
          <t>Freeze scope at G1. Every change goes through a written variation.</t>
        </is>
      </c>
      <c r="H8" t="inlineStr">
        <is>
          <t>Owner-builder</t>
        </is>
      </c>
      <c r="I8" t="inlineStr">
        <is>
          <t>Open</t>
        </is>
      </c>
      <c r="J8" s="21" t="n"/>
      <c r="K8" s="6" t="n"/>
    </row>
    <row r="9">
      <c r="A9" t="inlineStr">
        <is>
          <t>R06</t>
        </is>
      </c>
      <c r="B9" s="6" t="inlineStr">
        <is>
          <t>Owner-builder burnout or injury</t>
        </is>
      </c>
      <c r="C9" t="inlineStr">
        <is>
          <t>Med</t>
        </is>
      </c>
      <c r="D9" t="inlineStr">
        <is>
          <t>High</t>
        </is>
      </c>
      <c r="E9" s="7">
        <f>IF(OR(C9="",D9=""),"",MATCH(C9,{"Low","Med","High"},0)*MATCH(D9,{"Low","Med","High"},0))</f>
        <v/>
      </c>
      <c r="F9" s="7">
        <f>IF(E9="","",IF(E9&gt;=6,"High",IF(E9&gt;=3,"Medium","Low")))</f>
        <v/>
      </c>
      <c r="G9" s="6" t="inlineStr">
        <is>
          <t>Realistic program, personal accident cover, a mentor at each gateway.</t>
        </is>
      </c>
      <c r="H9" t="inlineStr">
        <is>
          <t>Owner-builder</t>
        </is>
      </c>
      <c r="I9" t="inlineStr">
        <is>
          <t>Open</t>
        </is>
      </c>
      <c r="J9" s="21" t="n"/>
      <c r="K9" s="6" t="n"/>
    </row>
    <row r="10">
      <c r="A10" t="inlineStr">
        <is>
          <t>R07</t>
        </is>
      </c>
      <c r="B10" s="6" t="inlineStr">
        <is>
          <t>Wet weather</t>
        </is>
      </c>
      <c r="C10" t="inlineStr">
        <is>
          <t>High</t>
        </is>
      </c>
      <c r="D10" t="inlineStr">
        <is>
          <t>Low</t>
        </is>
      </c>
      <c r="E10" s="7">
        <f>IF(OR(C10="",D10=""),"",MATCH(C10,{"Low","Med","High"},0)*MATCH(D10,{"Low","Med","High"},0))</f>
        <v/>
      </c>
      <c r="F10" s="7">
        <f>IF(E10="","",IF(E10&gt;=6,"High",IF(E10&gt;=3,"Medium","Low")))</f>
        <v/>
      </c>
      <c r="G10" s="6" t="inlineStr">
        <is>
          <t>Allow weather days in the program. Prioritise lock-up.</t>
        </is>
      </c>
      <c r="H10" t="inlineStr">
        <is>
          <t>Owner-builder</t>
        </is>
      </c>
      <c r="I10" t="inlineStr">
        <is>
          <t>Open</t>
        </is>
      </c>
      <c r="J10" s="21" t="n"/>
      <c r="K10" s="6" t="n"/>
    </row>
    <row r="11">
      <c r="B11" s="6" t="n"/>
      <c r="E11" s="7">
        <f>IF(OR(C11="",D11=""),"",MATCH(C11,{"Low","Med","High"},0)*MATCH(D11,{"Low","Med","High"},0))</f>
        <v/>
      </c>
      <c r="F11" s="7">
        <f>IF(E11="","",IF(E11&gt;=6,"High",IF(E11&gt;=3,"Medium","Low")))</f>
        <v/>
      </c>
      <c r="G11" s="6" t="n"/>
      <c r="J11" s="21" t="n"/>
      <c r="K11" s="6" t="n"/>
    </row>
    <row r="12">
      <c r="B12" s="6" t="n"/>
      <c r="E12" s="7">
        <f>IF(OR(C12="",D12=""),"",MATCH(C12,{"Low","Med","High"},0)*MATCH(D12,{"Low","Med","High"},0))</f>
        <v/>
      </c>
      <c r="F12" s="7">
        <f>IF(E12="","",IF(E12&gt;=6,"High",IF(E12&gt;=3,"Medium","Low")))</f>
        <v/>
      </c>
      <c r="G12" s="6" t="n"/>
      <c r="J12" s="21" t="n"/>
      <c r="K12" s="6" t="n"/>
    </row>
    <row r="13">
      <c r="B13" s="6" t="n"/>
      <c r="E13" s="7">
        <f>IF(OR(C13="",D13=""),"",MATCH(C13,{"Low","Med","High"},0)*MATCH(D13,{"Low","Med","High"},0))</f>
        <v/>
      </c>
      <c r="F13" s="7">
        <f>IF(E13="","",IF(E13&gt;=6,"High",IF(E13&gt;=3,"Medium","Low")))</f>
        <v/>
      </c>
      <c r="G13" s="6" t="n"/>
      <c r="J13" s="21" t="n"/>
      <c r="K13" s="6" t="n"/>
    </row>
    <row r="14">
      <c r="B14" s="6" t="n"/>
      <c r="E14" s="7">
        <f>IF(OR(C14="",D14=""),"",MATCH(C14,{"Low","Med","High"},0)*MATCH(D14,{"Low","Med","High"},0))</f>
        <v/>
      </c>
      <c r="F14" s="7">
        <f>IF(E14="","",IF(E14&gt;=6,"High",IF(E14&gt;=3,"Medium","Low")))</f>
        <v/>
      </c>
      <c r="G14" s="6" t="n"/>
      <c r="J14" s="21" t="n"/>
      <c r="K14" s="6" t="n"/>
    </row>
    <row r="15">
      <c r="B15" s="6" t="n"/>
      <c r="E15" s="7">
        <f>IF(OR(C15="",D15=""),"",MATCH(C15,{"Low","Med","High"},0)*MATCH(D15,{"Low","Med","High"},0))</f>
        <v/>
      </c>
      <c r="F15" s="7">
        <f>IF(E15="","",IF(E15&gt;=6,"High",IF(E15&gt;=3,"Medium","Low")))</f>
        <v/>
      </c>
      <c r="G15" s="6" t="n"/>
      <c r="J15" s="21" t="n"/>
      <c r="K15" s="6" t="n"/>
    </row>
    <row r="16">
      <c r="B16" s="6" t="n"/>
      <c r="E16" s="7">
        <f>IF(OR(C16="",D16=""),"",MATCH(C16,{"Low","Med","High"},0)*MATCH(D16,{"Low","Med","High"},0))</f>
        <v/>
      </c>
      <c r="F16" s="7">
        <f>IF(E16="","",IF(E16&gt;=6,"High",IF(E16&gt;=3,"Medium","Low")))</f>
        <v/>
      </c>
      <c r="G16" s="6" t="n"/>
      <c r="J16" s="21" t="n"/>
      <c r="K16" s="6" t="n"/>
    </row>
    <row r="17">
      <c r="B17" s="6" t="n"/>
      <c r="E17" s="7">
        <f>IF(OR(C17="",D17=""),"",MATCH(C17,{"Low","Med","High"},0)*MATCH(D17,{"Low","Med","High"},0))</f>
        <v/>
      </c>
      <c r="F17" s="7">
        <f>IF(E17="","",IF(E17&gt;=6,"High",IF(E17&gt;=3,"Medium","Low")))</f>
        <v/>
      </c>
      <c r="G17" s="6" t="n"/>
      <c r="J17" s="21" t="n"/>
      <c r="K17" s="6" t="n"/>
    </row>
    <row r="18">
      <c r="B18" s="6" t="n"/>
      <c r="E18" s="7">
        <f>IF(OR(C18="",D18=""),"",MATCH(C18,{"Low","Med","High"},0)*MATCH(D18,{"Low","Med","High"},0))</f>
        <v/>
      </c>
      <c r="F18" s="7">
        <f>IF(E18="","",IF(E18&gt;=6,"High",IF(E18&gt;=3,"Medium","Low")))</f>
        <v/>
      </c>
      <c r="G18" s="6" t="n"/>
      <c r="J18" s="21" t="n"/>
      <c r="K18" s="6" t="n"/>
    </row>
    <row r="19">
      <c r="B19" s="6" t="n"/>
      <c r="E19" s="7">
        <f>IF(OR(C19="",D19=""),"",MATCH(C19,{"Low","Med","High"},0)*MATCH(D19,{"Low","Med","High"},0))</f>
        <v/>
      </c>
      <c r="F19" s="7">
        <f>IF(E19="","",IF(E19&gt;=6,"High",IF(E19&gt;=3,"Medium","Low")))</f>
        <v/>
      </c>
      <c r="G19" s="6" t="n"/>
      <c r="J19" s="21" t="n"/>
      <c r="K19" s="6" t="n"/>
    </row>
    <row r="20">
      <c r="B20" s="6" t="n"/>
      <c r="E20" s="7">
        <f>IF(OR(C20="",D20=""),"",MATCH(C20,{"Low","Med","High"},0)*MATCH(D20,{"Low","Med","High"},0))</f>
        <v/>
      </c>
      <c r="F20" s="7">
        <f>IF(E20="","",IF(E20&gt;=6,"High",IF(E20&gt;=3,"Medium","Low")))</f>
        <v/>
      </c>
      <c r="G20" s="6" t="n"/>
      <c r="J20" s="21" t="n"/>
      <c r="K20" s="6" t="n"/>
    </row>
    <row r="21">
      <c r="B21" s="6" t="n"/>
      <c r="E21" s="7">
        <f>IF(OR(C21="",D21=""),"",MATCH(C21,{"Low","Med","High"},0)*MATCH(D21,{"Low","Med","High"},0))</f>
        <v/>
      </c>
      <c r="F21" s="7">
        <f>IF(E21="","",IF(E21&gt;=6,"High",IF(E21&gt;=3,"Medium","Low")))</f>
        <v/>
      </c>
      <c r="G21" s="6" t="n"/>
      <c r="J21" s="21" t="n"/>
      <c r="K21" s="6" t="n"/>
    </row>
    <row r="22">
      <c r="B22" s="6" t="n"/>
      <c r="E22" s="7">
        <f>IF(OR(C22="",D22=""),"",MATCH(C22,{"Low","Med","High"},0)*MATCH(D22,{"Low","Med","High"},0))</f>
        <v/>
      </c>
      <c r="F22" s="7">
        <f>IF(E22="","",IF(E22&gt;=6,"High",IF(E22&gt;=3,"Medium","Low")))</f>
        <v/>
      </c>
      <c r="G22" s="6" t="n"/>
      <c r="J22" s="21" t="n"/>
      <c r="K22" s="6" t="n"/>
    </row>
    <row r="23">
      <c r="B23" s="6" t="n"/>
      <c r="E23" s="7">
        <f>IF(OR(C23="",D23=""),"",MATCH(C23,{"Low","Med","High"},0)*MATCH(D23,{"Low","Med","High"},0))</f>
        <v/>
      </c>
      <c r="F23" s="7">
        <f>IF(E23="","",IF(E23&gt;=6,"High",IF(E23&gt;=3,"Medium","Low")))</f>
        <v/>
      </c>
      <c r="G23" s="6" t="n"/>
      <c r="J23" s="21" t="n"/>
      <c r="K23" s="6" t="n"/>
    </row>
    <row r="24">
      <c r="B24" s="6" t="n"/>
      <c r="E24" s="7">
        <f>IF(OR(C24="",D24=""),"",MATCH(C24,{"Low","Med","High"},0)*MATCH(D24,{"Low","Med","High"},0))</f>
        <v/>
      </c>
      <c r="F24" s="7">
        <f>IF(E24="","",IF(E24&gt;=6,"High",IF(E24&gt;=3,"Medium","Low")))</f>
        <v/>
      </c>
      <c r="G24" s="6" t="n"/>
      <c r="J24" s="21" t="n"/>
      <c r="K24" s="6" t="n"/>
    </row>
    <row r="25">
      <c r="B25" s="6" t="n"/>
      <c r="E25" s="7">
        <f>IF(OR(C25="",D25=""),"",MATCH(C25,{"Low","Med","High"},0)*MATCH(D25,{"Low","Med","High"},0))</f>
        <v/>
      </c>
      <c r="F25" s="7">
        <f>IF(E25="","",IF(E25&gt;=6,"High",IF(E25&gt;=3,"Medium","Low")))</f>
        <v/>
      </c>
      <c r="G25" s="6" t="n"/>
      <c r="J25" s="21" t="n"/>
      <c r="K25" s="6" t="n"/>
    </row>
    <row r="26">
      <c r="B26" s="6" t="n"/>
      <c r="E26" s="7">
        <f>IF(OR(C26="",D26=""),"",MATCH(C26,{"Low","Med","High"},0)*MATCH(D26,{"Low","Med","High"},0))</f>
        <v/>
      </c>
      <c r="F26" s="7">
        <f>IF(E26="","",IF(E26&gt;=6,"High",IF(E26&gt;=3,"Medium","Low")))</f>
        <v/>
      </c>
      <c r="G26" s="6" t="n"/>
      <c r="J26" s="21" t="n"/>
      <c r="K26" s="6" t="n"/>
    </row>
    <row r="27">
      <c r="B27" s="6" t="n"/>
      <c r="E27" s="7">
        <f>IF(OR(C27="",D27=""),"",MATCH(C27,{"Low","Med","High"},0)*MATCH(D27,{"Low","Med","High"},0))</f>
        <v/>
      </c>
      <c r="F27" s="7">
        <f>IF(E27="","",IF(E27&gt;=6,"High",IF(E27&gt;=3,"Medium","Low")))</f>
        <v/>
      </c>
      <c r="G27" s="6" t="n"/>
      <c r="J27" s="21" t="n"/>
      <c r="K27" s="6" t="n"/>
    </row>
    <row r="28">
      <c r="B28" s="6" t="n"/>
      <c r="E28" s="7">
        <f>IF(OR(C28="",D28=""),"",MATCH(C28,{"Low","Med","High"},0)*MATCH(D28,{"Low","Med","High"},0))</f>
        <v/>
      </c>
      <c r="F28" s="7">
        <f>IF(E28="","",IF(E28&gt;=6,"High",IF(E28&gt;=3,"Medium","Low")))</f>
        <v/>
      </c>
      <c r="G28" s="6" t="n"/>
      <c r="J28" s="21" t="n"/>
      <c r="K28" s="6" t="n"/>
    </row>
    <row r="29">
      <c r="B29" s="6" t="n"/>
      <c r="E29" s="7">
        <f>IF(OR(C29="",D29=""),"",MATCH(C29,{"Low","Med","High"},0)*MATCH(D29,{"Low","Med","High"},0))</f>
        <v/>
      </c>
      <c r="F29" s="7">
        <f>IF(E29="","",IF(E29&gt;=6,"High",IF(E29&gt;=3,"Medium","Low")))</f>
        <v/>
      </c>
      <c r="G29" s="6" t="n"/>
      <c r="J29" s="21" t="n"/>
      <c r="K29" s="6" t="n"/>
    </row>
    <row r="30">
      <c r="B30" s="6" t="n"/>
      <c r="E30" s="7">
        <f>IF(OR(C30="",D30=""),"",MATCH(C30,{"Low","Med","High"},0)*MATCH(D30,{"Low","Med","High"},0))</f>
        <v/>
      </c>
      <c r="F30" s="7">
        <f>IF(E30="","",IF(E30&gt;=6,"High",IF(E30&gt;=3,"Medium","Low")))</f>
        <v/>
      </c>
      <c r="G30" s="6" t="n"/>
      <c r="J30" s="21" t="n"/>
      <c r="K30" s="6" t="n"/>
    </row>
    <row r="31">
      <c r="B31" s="6" t="n"/>
      <c r="E31" s="7">
        <f>IF(OR(C31="",D31=""),"",MATCH(C31,{"Low","Med","High"},0)*MATCH(D31,{"Low","Med","High"},0))</f>
        <v/>
      </c>
      <c r="F31" s="7">
        <f>IF(E31="","",IF(E31&gt;=6,"High",IF(E31&gt;=3,"Medium","Low")))</f>
        <v/>
      </c>
      <c r="G31" s="6" t="n"/>
      <c r="J31" s="21" t="n"/>
      <c r="K31" s="6" t="n"/>
    </row>
    <row r="32">
      <c r="B32" s="6" t="n"/>
      <c r="E32" s="7">
        <f>IF(OR(C32="",D32=""),"",MATCH(C32,{"Low","Med","High"},0)*MATCH(D32,{"Low","Med","High"},0))</f>
        <v/>
      </c>
      <c r="F32" s="7">
        <f>IF(E32="","",IF(E32&gt;=6,"High",IF(E32&gt;=3,"Medium","Low")))</f>
        <v/>
      </c>
      <c r="G32" s="6" t="n"/>
      <c r="J32" s="21" t="n"/>
      <c r="K32" s="6" t="n"/>
    </row>
    <row r="33">
      <c r="B33" s="6" t="n"/>
      <c r="E33" s="7">
        <f>IF(OR(C33="",D33=""),"",MATCH(C33,{"Low","Med","High"},0)*MATCH(D33,{"Low","Med","High"},0))</f>
        <v/>
      </c>
      <c r="F33" s="7">
        <f>IF(E33="","",IF(E33&gt;=6,"High",IF(E33&gt;=3,"Medium","Low")))</f>
        <v/>
      </c>
      <c r="G33" s="6" t="n"/>
      <c r="J33" s="21" t="n"/>
      <c r="K33" s="6" t="n"/>
    </row>
    <row r="34">
      <c r="B34" s="6" t="n"/>
      <c r="E34" s="7">
        <f>IF(OR(C34="",D34=""),"",MATCH(C34,{"Low","Med","High"},0)*MATCH(D34,{"Low","Med","High"},0))</f>
        <v/>
      </c>
      <c r="F34" s="7">
        <f>IF(E34="","",IF(E34&gt;=6,"High",IF(E34&gt;=3,"Medium","Low")))</f>
        <v/>
      </c>
      <c r="G34" s="6" t="n"/>
      <c r="J34" s="21" t="n"/>
      <c r="K34" s="6" t="n"/>
    </row>
    <row r="35">
      <c r="B35" s="6" t="n"/>
      <c r="E35" s="7">
        <f>IF(OR(C35="",D35=""),"",MATCH(C35,{"Low","Med","High"},0)*MATCH(D35,{"Low","Med","High"},0))</f>
        <v/>
      </c>
      <c r="F35" s="7">
        <f>IF(E35="","",IF(E35&gt;=6,"High",IF(E35&gt;=3,"Medium","Low")))</f>
        <v/>
      </c>
      <c r="G35" s="6" t="n"/>
      <c r="J35" s="21" t="n"/>
      <c r="K35" s="6" t="n"/>
    </row>
    <row r="36">
      <c r="B36" s="6" t="n"/>
      <c r="E36" s="7">
        <f>IF(OR(C36="",D36=""),"",MATCH(C36,{"Low","Med","High"},0)*MATCH(D36,{"Low","Med","High"},0))</f>
        <v/>
      </c>
      <c r="F36" s="7">
        <f>IF(E36="","",IF(E36&gt;=6,"High",IF(E36&gt;=3,"Medium","Low")))</f>
        <v/>
      </c>
      <c r="G36" s="6" t="n"/>
      <c r="J36" s="21" t="n"/>
      <c r="K36" s="6" t="n"/>
    </row>
    <row r="37">
      <c r="B37" s="6" t="n"/>
      <c r="E37" s="7">
        <f>IF(OR(C37="",D37=""),"",MATCH(C37,{"Low","Med","High"},0)*MATCH(D37,{"Low","Med","High"},0))</f>
        <v/>
      </c>
      <c r="F37" s="7">
        <f>IF(E37="","",IF(E37&gt;=6,"High",IF(E37&gt;=3,"Medium","Low")))</f>
        <v/>
      </c>
      <c r="G37" s="6" t="n"/>
      <c r="J37" s="21" t="n"/>
      <c r="K37" s="6" t="n"/>
    </row>
    <row r="38">
      <c r="B38" s="6" t="n"/>
      <c r="E38" s="7">
        <f>IF(OR(C38="",D38=""),"",MATCH(C38,{"Low","Med","High"},0)*MATCH(D38,{"Low","Med","High"},0))</f>
        <v/>
      </c>
      <c r="F38" s="7">
        <f>IF(E38="","",IF(E38&gt;=6,"High",IF(E38&gt;=3,"Medium","Low")))</f>
        <v/>
      </c>
      <c r="G38" s="6" t="n"/>
      <c r="J38" s="21" t="n"/>
      <c r="K38" s="6" t="n"/>
    </row>
    <row r="39">
      <c r="B39" s="6" t="n"/>
      <c r="E39" s="7">
        <f>IF(OR(C39="",D39=""),"",MATCH(C39,{"Low","Med","High"},0)*MATCH(D39,{"Low","Med","High"},0))</f>
        <v/>
      </c>
      <c r="F39" s="7">
        <f>IF(E39="","",IF(E39&gt;=6,"High",IF(E39&gt;=3,"Medium","Low")))</f>
        <v/>
      </c>
      <c r="G39" s="6" t="n"/>
      <c r="J39" s="21" t="n"/>
      <c r="K39" s="6" t="n"/>
    </row>
    <row r="40">
      <c r="B40" s="6" t="n"/>
      <c r="E40" s="7">
        <f>IF(OR(C40="",D40=""),"",MATCH(C40,{"Low","Med","High"},0)*MATCH(D40,{"Low","Med","High"},0))</f>
        <v/>
      </c>
      <c r="F40" s="7">
        <f>IF(E40="","",IF(E40&gt;=6,"High",IF(E40&gt;=3,"Medium","Low")))</f>
        <v/>
      </c>
      <c r="G40" s="6" t="n"/>
      <c r="J40" s="21" t="n"/>
      <c r="K40" s="6" t="n"/>
    </row>
    <row r="41">
      <c r="B41" s="6" t="n"/>
      <c r="E41" s="7">
        <f>IF(OR(C41="",D41=""),"",MATCH(C41,{"Low","Med","High"},0)*MATCH(D41,{"Low","Med","High"},0))</f>
        <v/>
      </c>
      <c r="F41" s="7">
        <f>IF(E41="","",IF(E41&gt;=6,"High",IF(E41&gt;=3,"Medium","Low")))</f>
        <v/>
      </c>
      <c r="G41" s="6" t="n"/>
      <c r="J41" s="21" t="n"/>
      <c r="K41" s="6" t="n"/>
    </row>
    <row r="42">
      <c r="B42" s="6" t="n"/>
      <c r="E42" s="7">
        <f>IF(OR(C42="",D42=""),"",MATCH(C42,{"Low","Med","High"},0)*MATCH(D42,{"Low","Med","High"},0))</f>
        <v/>
      </c>
      <c r="F42" s="7">
        <f>IF(E42="","",IF(E42&gt;=6,"High",IF(E42&gt;=3,"Medium","Low")))</f>
        <v/>
      </c>
      <c r="G42" s="6" t="n"/>
      <c r="J42" s="21" t="n"/>
      <c r="K42" s="6" t="n"/>
    </row>
    <row r="43">
      <c r="B43" s="6" t="n"/>
      <c r="E43" s="7">
        <f>IF(OR(C43="",D43=""),"",MATCH(C43,{"Low","Med","High"},0)*MATCH(D43,{"Low","Med","High"},0))</f>
        <v/>
      </c>
      <c r="F43" s="7">
        <f>IF(E43="","",IF(E43&gt;=6,"High",IF(E43&gt;=3,"Medium","Low")))</f>
        <v/>
      </c>
      <c r="G43" s="6" t="n"/>
      <c r="J43" s="21" t="n"/>
      <c r="K43" s="6" t="n"/>
    </row>
    <row r="44">
      <c r="B44" s="6" t="n"/>
      <c r="E44" s="7">
        <f>IF(OR(C44="",D44=""),"",MATCH(C44,{"Low","Med","High"},0)*MATCH(D44,{"Low","Med","High"},0))</f>
        <v/>
      </c>
      <c r="F44" s="7">
        <f>IF(E44="","",IF(E44&gt;=6,"High",IF(E44&gt;=3,"Medium","Low")))</f>
        <v/>
      </c>
      <c r="G44" s="6" t="n"/>
      <c r="J44" s="21" t="n"/>
      <c r="K44" s="6" t="n"/>
    </row>
    <row r="45">
      <c r="B45" s="6" t="n"/>
      <c r="E45" s="7">
        <f>IF(OR(C45="",D45=""),"",MATCH(C45,{"Low","Med","High"},0)*MATCH(D45,{"Low","Med","High"},0))</f>
        <v/>
      </c>
      <c r="F45" s="7">
        <f>IF(E45="","",IF(E45&gt;=6,"High",IF(E45&gt;=3,"Medium","Low")))</f>
        <v/>
      </c>
      <c r="G45" s="6" t="n"/>
      <c r="J45" s="21" t="n"/>
      <c r="K45" s="6" t="n"/>
    </row>
    <row r="46">
      <c r="B46" s="6" t="n"/>
      <c r="E46" s="7">
        <f>IF(OR(C46="",D46=""),"",MATCH(C46,{"Low","Med","High"},0)*MATCH(D46,{"Low","Med","High"},0))</f>
        <v/>
      </c>
      <c r="F46" s="7">
        <f>IF(E46="","",IF(E46&gt;=6,"High",IF(E46&gt;=3,"Medium","Low")))</f>
        <v/>
      </c>
      <c r="G46" s="6" t="n"/>
      <c r="J46" s="21" t="n"/>
      <c r="K46" s="6" t="n"/>
    </row>
    <row r="47">
      <c r="B47" s="6" t="n"/>
      <c r="E47" s="7">
        <f>IF(OR(C47="",D47=""),"",MATCH(C47,{"Low","Med","High"},0)*MATCH(D47,{"Low","Med","High"},0))</f>
        <v/>
      </c>
      <c r="F47" s="7">
        <f>IF(E47="","",IF(E47&gt;=6,"High",IF(E47&gt;=3,"Medium","Low")))</f>
        <v/>
      </c>
      <c r="G47" s="6" t="n"/>
      <c r="J47" s="21" t="n"/>
      <c r="K47" s="6" t="n"/>
    </row>
    <row r="48">
      <c r="B48" s="6" t="n"/>
      <c r="E48" s="7">
        <f>IF(OR(C48="",D48=""),"",MATCH(C48,{"Low","Med","High"},0)*MATCH(D48,{"Low","Med","High"},0))</f>
        <v/>
      </c>
      <c r="F48" s="7">
        <f>IF(E48="","",IF(E48&gt;=6,"High",IF(E48&gt;=3,"Medium","Low")))</f>
        <v/>
      </c>
      <c r="G48" s="6" t="n"/>
      <c r="J48" s="21" t="n"/>
      <c r="K48" s="6" t="n"/>
    </row>
    <row r="49">
      <c r="B49" s="6" t="n"/>
      <c r="E49" s="7">
        <f>IF(OR(C49="",D49=""),"",MATCH(C49,{"Low","Med","High"},0)*MATCH(D49,{"Low","Med","High"},0))</f>
        <v/>
      </c>
      <c r="F49" s="7">
        <f>IF(E49="","",IF(E49&gt;=6,"High",IF(E49&gt;=3,"Medium","Low")))</f>
        <v/>
      </c>
      <c r="G49" s="6" t="n"/>
      <c r="J49" s="21" t="n"/>
      <c r="K49" s="6" t="n"/>
    </row>
    <row r="50">
      <c r="B50" s="6" t="n"/>
      <c r="E50" s="7">
        <f>IF(OR(C50="",D50=""),"",MATCH(C50,{"Low","Med","High"},0)*MATCH(D50,{"Low","Med","High"},0))</f>
        <v/>
      </c>
      <c r="F50" s="7">
        <f>IF(E50="","",IF(E50&gt;=6,"High",IF(E50&gt;=3,"Medium","Low")))</f>
        <v/>
      </c>
      <c r="G50" s="6" t="n"/>
      <c r="J50" s="21" t="n"/>
      <c r="K50" s="6" t="n"/>
    </row>
    <row r="51">
      <c r="B51" s="6" t="n"/>
      <c r="E51" s="7">
        <f>IF(OR(C51="",D51=""),"",MATCH(C51,{"Low","Med","High"},0)*MATCH(D51,{"Low","Med","High"},0))</f>
        <v/>
      </c>
      <c r="F51" s="7">
        <f>IF(E51="","",IF(E51&gt;=6,"High",IF(E51&gt;=3,"Medium","Low")))</f>
        <v/>
      </c>
      <c r="G51" s="6" t="n"/>
      <c r="J51" s="21" t="n"/>
      <c r="K51" s="6" t="n"/>
    </row>
    <row r="52">
      <c r="B52" s="6" t="n"/>
      <c r="E52" s="7">
        <f>IF(OR(C52="",D52=""),"",MATCH(C52,{"Low","Med","High"},0)*MATCH(D52,{"Low","Med","High"},0))</f>
        <v/>
      </c>
      <c r="F52" s="7">
        <f>IF(E52="","",IF(E52&gt;=6,"High",IF(E52&gt;=3,"Medium","Low")))</f>
        <v/>
      </c>
      <c r="G52" s="6" t="n"/>
      <c r="J52" s="21" t="n"/>
      <c r="K52" s="6" t="n"/>
    </row>
    <row r="53">
      <c r="B53" s="6" t="n"/>
      <c r="E53" s="7">
        <f>IF(OR(C53="",D53=""),"",MATCH(C53,{"Low","Med","High"},0)*MATCH(D53,{"Low","Med","High"},0))</f>
        <v/>
      </c>
      <c r="F53" s="7">
        <f>IF(E53="","",IF(E53&gt;=6,"High",IF(E53&gt;=3,"Medium","Low")))</f>
        <v/>
      </c>
      <c r="G53" s="6" t="n"/>
      <c r="J53" s="21" t="n"/>
      <c r="K53" s="6" t="n"/>
    </row>
    <row r="54">
      <c r="B54" s="6" t="n"/>
      <c r="E54" s="7">
        <f>IF(OR(C54="",D54=""),"",MATCH(C54,{"Low","Med","High"},0)*MATCH(D54,{"Low","Med","High"},0))</f>
        <v/>
      </c>
      <c r="F54" s="7">
        <f>IF(E54="","",IF(E54&gt;=6,"High",IF(E54&gt;=3,"Medium","Low")))</f>
        <v/>
      </c>
      <c r="G54" s="6" t="n"/>
      <c r="J54" s="21" t="n"/>
      <c r="K54" s="6" t="n"/>
    </row>
    <row r="55">
      <c r="B55" s="6" t="n"/>
      <c r="E55" s="7">
        <f>IF(OR(C55="",D55=""),"",MATCH(C55,{"Low","Med","High"},0)*MATCH(D55,{"Low","Med","High"},0))</f>
        <v/>
      </c>
      <c r="F55" s="7">
        <f>IF(E55="","",IF(E55&gt;=6,"High",IF(E55&gt;=3,"Medium","Low")))</f>
        <v/>
      </c>
      <c r="G55" s="6" t="n"/>
      <c r="J55" s="21" t="n"/>
      <c r="K55" s="6" t="n"/>
    </row>
    <row r="56">
      <c r="B56" s="6" t="n"/>
      <c r="E56" s="7">
        <f>IF(OR(C56="",D56=""),"",MATCH(C56,{"Low","Med","High"},0)*MATCH(D56,{"Low","Med","High"},0))</f>
        <v/>
      </c>
      <c r="F56" s="7">
        <f>IF(E56="","",IF(E56&gt;=6,"High",IF(E56&gt;=3,"Medium","Low")))</f>
        <v/>
      </c>
      <c r="G56" s="6" t="n"/>
      <c r="J56" s="21" t="n"/>
      <c r="K56" s="6" t="n"/>
    </row>
    <row r="57">
      <c r="B57" s="6" t="n"/>
      <c r="E57" s="7">
        <f>IF(OR(C57="",D57=""),"",MATCH(C57,{"Low","Med","High"},0)*MATCH(D57,{"Low","Med","High"},0))</f>
        <v/>
      </c>
      <c r="F57" s="7">
        <f>IF(E57="","",IF(E57&gt;=6,"High",IF(E57&gt;=3,"Medium","Low")))</f>
        <v/>
      </c>
      <c r="G57" s="6" t="n"/>
      <c r="J57" s="21" t="n"/>
      <c r="K57" s="6" t="n"/>
    </row>
    <row r="58">
      <c r="B58" s="6" t="n"/>
      <c r="E58" s="7">
        <f>IF(OR(C58="",D58=""),"",MATCH(C58,{"Low","Med","High"},0)*MATCH(D58,{"Low","Med","High"},0))</f>
        <v/>
      </c>
      <c r="F58" s="7">
        <f>IF(E58="","",IF(E58&gt;=6,"High",IF(E58&gt;=3,"Medium","Low")))</f>
        <v/>
      </c>
      <c r="G58" s="6" t="n"/>
      <c r="J58" s="21" t="n"/>
      <c r="K58" s="6" t="n"/>
    </row>
    <row r="59">
      <c r="B59" s="6" t="n"/>
      <c r="E59" s="7">
        <f>IF(OR(C59="",D59=""),"",MATCH(C59,{"Low","Med","High"},0)*MATCH(D59,{"Low","Med","High"},0))</f>
        <v/>
      </c>
      <c r="F59" s="7">
        <f>IF(E59="","",IF(E59&gt;=6,"High",IF(E59&gt;=3,"Medium","Low")))</f>
        <v/>
      </c>
      <c r="G59" s="6" t="n"/>
      <c r="J59" s="21" t="n"/>
      <c r="K59" s="6" t="n"/>
    </row>
    <row r="60">
      <c r="B60" s="6" t="n"/>
      <c r="E60" s="7">
        <f>IF(OR(C60="",D60=""),"",MATCH(C60,{"Low","Med","High"},0)*MATCH(D60,{"Low","Med","High"},0))</f>
        <v/>
      </c>
      <c r="F60" s="7">
        <f>IF(E60="","",IF(E60&gt;=6,"High",IF(E60&gt;=3,"Medium","Low")))</f>
        <v/>
      </c>
      <c r="G60" s="6" t="n"/>
      <c r="J60" s="21" t="n"/>
      <c r="K60" s="6" t="n"/>
    </row>
    <row r="61">
      <c r="B61" s="6" t="n"/>
      <c r="E61" s="7">
        <f>IF(OR(C61="",D61=""),"",MATCH(C61,{"Low","Med","High"},0)*MATCH(D61,{"Low","Med","High"},0))</f>
        <v/>
      </c>
      <c r="F61" s="7">
        <f>IF(E61="","",IF(E61&gt;=6,"High",IF(E61&gt;=3,"Medium","Low")))</f>
        <v/>
      </c>
      <c r="G61" s="6" t="n"/>
      <c r="J61" s="21" t="n"/>
      <c r="K61" s="6" t="n"/>
    </row>
    <row r="62">
      <c r="B62" s="6" t="n"/>
      <c r="E62" s="7">
        <f>IF(OR(C62="",D62=""),"",MATCH(C62,{"Low","Med","High"},0)*MATCH(D62,{"Low","Med","High"},0))</f>
        <v/>
      </c>
      <c r="F62" s="7">
        <f>IF(E62="","",IF(E62&gt;=6,"High",IF(E62&gt;=3,"Medium","Low")))</f>
        <v/>
      </c>
      <c r="G62" s="6" t="n"/>
      <c r="J62" s="21" t="n"/>
      <c r="K62" s="6" t="n"/>
    </row>
    <row r="63">
      <c r="B63" s="6" t="n"/>
      <c r="E63" s="7">
        <f>IF(OR(C63="",D63=""),"",MATCH(C63,{"Low","Med","High"},0)*MATCH(D63,{"Low","Med","High"},0))</f>
        <v/>
      </c>
      <c r="F63" s="7">
        <f>IF(E63="","",IF(E63&gt;=6,"High",IF(E63&gt;=3,"Medium","Low")))</f>
        <v/>
      </c>
      <c r="G63" s="6" t="n"/>
      <c r="J63" s="21" t="n"/>
      <c r="K63" s="6" t="n"/>
    </row>
  </sheetData>
  <autoFilter ref="A3:K63"/>
  <conditionalFormatting sqref="F4:F63">
    <cfRule type="cellIs" priority="1" operator="equal" dxfId="2">
      <formula>"High"</formula>
    </cfRule>
    <cfRule type="cellIs" priority="2" operator="equal" dxfId="1">
      <formula>"Medium"</formula>
    </cfRule>
  </conditionalFormatting>
  <dataValidations count="3">
    <dataValidation sqref="C4:C63" showDropDown="0" showInputMessage="0" showErrorMessage="0" allowBlank="1" error="Pick a value from the list." type="list" errorStyle="warning">
      <formula1>=Lists!$T$2:$T$4</formula1>
    </dataValidation>
    <dataValidation sqref="D4:D63" showDropDown="0" showInputMessage="0" showErrorMessage="0" allowBlank="1" error="Pick a value from the list." type="list" errorStyle="warning">
      <formula1>=Lists!$T$2:$T$4</formula1>
    </dataValidation>
    <dataValidation sqref="I4:I63" showDropDown="0" showInputMessage="0" showErrorMessage="0" allowBlank="1" error="Pick a value from the list." type="list" errorStyle="warning">
      <formula1>=Lists!$U$2:$U$4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65"/>
  <sheetViews>
    <sheetView workbookViewId="0">
      <pane ySplit="3" topLeftCell="A4" activePane="bottomLeft" state="frozen"/>
      <selection pane="bottomLeft" activeCell="A1" sqref="A1"/>
    </sheetView>
  </sheetViews>
  <sheetFormatPr baseColWidth="8" defaultRowHeight="15"/>
  <cols>
    <col width="8" customWidth="1" min="1" max="1"/>
    <col width="44" customWidth="1" min="2" max="2"/>
    <col width="70" customWidth="1" min="3" max="3"/>
    <col width="12" customWidth="1" min="4" max="4"/>
    <col width="12" customWidth="1" min="5" max="5"/>
    <col width="30" customWidth="1" min="6" max="6"/>
    <col width="40" customWidth="1" min="7" max="7"/>
  </cols>
  <sheetData>
    <row r="1" ht="24" customHeight="1">
      <c r="A1" s="1" t="inlineStr">
        <is>
          <t>Google Drive folders</t>
        </is>
      </c>
    </row>
    <row r="2">
      <c r="A2" s="2" t="inlineStr">
        <is>
          <t>The folder tree for one build. The Apps Script creates it and fills in the links; offline, create the same names in Drive for desktop.</t>
        </is>
      </c>
    </row>
    <row r="3">
      <c r="A3" s="3" t="inlineStr">
        <is>
          <t>Code</t>
        </is>
      </c>
      <c r="B3" s="3" t="inlineStr">
        <is>
          <t>Folder path</t>
        </is>
      </c>
      <c r="C3" s="3" t="inlineStr">
        <is>
          <t>What goes here</t>
        </is>
      </c>
      <c r="D3" s="3" t="inlineStr">
        <is>
          <t>Compliance stages</t>
        </is>
      </c>
      <c r="E3" s="3" t="inlineStr">
        <is>
          <t>Gateways</t>
        </is>
      </c>
      <c r="F3" s="3" t="inlineStr">
        <is>
          <t>Tabs that point here</t>
        </is>
      </c>
      <c r="G3" s="3" t="inlineStr">
        <is>
          <t>Folder link</t>
        </is>
      </c>
    </row>
    <row r="4">
      <c r="A4" s="33" t="inlineStr">
        <is>
          <t>00</t>
        </is>
      </c>
      <c r="B4" s="6" t="inlineStr">
        <is>
          <t>00 Project Register</t>
        </is>
      </c>
      <c r="C4" s="6" t="inlineStr">
        <is>
          <t>This workbook, its backups and the Apps Script notes.</t>
        </is>
      </c>
      <c r="D4" s="6" t="inlineStr"/>
      <c r="E4" s="6" t="inlineStr">
        <is>
          <t>All</t>
        </is>
      </c>
      <c r="F4" s="6" t="inlineStr">
        <is>
          <t>Every tab</t>
        </is>
      </c>
    </row>
    <row r="5">
      <c r="A5" s="33" t="inlineStr">
        <is>
          <t>01</t>
        </is>
      </c>
      <c r="B5" s="6" t="inlineStr">
        <is>
          <t>01 Eligibility, Land &amp; Planning</t>
        </is>
      </c>
      <c r="C5" s="6" t="inlineStr">
        <is>
          <t>eLearning pass, white card, certificate of consent and application, title search, plan of subdivision, covenants, s173 agreements, Planning Property Report, planning permit, legal point of discharge, build-over-easement and siting consents.</t>
        </is>
      </c>
      <c r="D5" s="6" t="inlineStr">
        <is>
          <t>1, 2, 3</t>
        </is>
      </c>
      <c r="E5" s="6" t="inlineStr">
        <is>
          <t>G0, G1, G2</t>
        </is>
      </c>
      <c r="F5" s="6" t="inlineStr">
        <is>
          <t>Compliance, Gateways, Documents</t>
        </is>
      </c>
    </row>
    <row r="6">
      <c r="A6" s="33" t="inlineStr">
        <is>
          <t>02</t>
        </is>
      </c>
      <c r="B6" s="6" t="inlineStr">
        <is>
          <t>02 Design &amp; Engineering</t>
        </is>
      </c>
      <c r="C6" s="6" t="inlineStr">
        <is>
          <t>Design brief, concept and working drawings, specification, engineering, energy (NatHERS) report, BAL assessment, feature &amp; level survey, soil report, asbestos report, approved amendments.</t>
        </is>
      </c>
      <c r="D6" s="6" t="inlineStr">
        <is>
          <t>3, 8</t>
        </is>
      </c>
      <c r="E6" s="6" t="inlineStr">
        <is>
          <t>G1, G2</t>
        </is>
      </c>
      <c r="F6" s="6" t="inlineStr">
        <is>
          <t>Documents, Rooms (drawing refs), Diary (plan notes)</t>
        </is>
      </c>
    </row>
    <row r="7">
      <c r="A7" s="33" t="inlineStr">
        <is>
          <t>03</t>
        </is>
      </c>
      <c r="B7" s="6" t="inlineStr">
        <is>
          <t>03 Permits, Insurance &amp; Finance</t>
        </is>
      </c>
      <c r="C7" s="6" t="inlineStr">
        <is>
          <t>RBS fee proposal and appointment, building permit, asset protection permit and bond, protection work notices, Before You Dig, your insurance policies, WorkSafe and principal contractor papers, loan, valuations, drawdowns, cost plan, tax advice.</t>
        </is>
      </c>
      <c r="D7" s="6" t="inlineStr">
        <is>
          <t>4, 5, 6, 11</t>
        </is>
      </c>
      <c r="E7" s="6" t="inlineStr">
        <is>
          <t>G0, G1, G3</t>
        </is>
      </c>
      <c r="F7" s="6" t="inlineStr">
        <is>
          <t>Project, Packages, Compliance</t>
        </is>
      </c>
    </row>
    <row r="8">
      <c r="A8" s="33" t="inlineStr">
        <is>
          <t>04</t>
        </is>
      </c>
      <c r="B8" s="6" t="inlineStr">
        <is>
          <t>04 Trades &amp; Tenders</t>
        </is>
      </c>
      <c r="C8" s="6" t="inlineStr">
        <is>
          <t>One subfolder per trade package. In each: RFQ pack and quotes, tender comparison, signed contract and variations, licence, insurance certificates of currency and SWMS, invoices and payment records.</t>
        </is>
      </c>
      <c r="D8" s="6" t="inlineStr">
        <is>
          <t>5, 6, 7</t>
        </is>
      </c>
      <c r="E8" s="6" t="inlineStr">
        <is>
          <t>G3 to G7</t>
        </is>
      </c>
      <c r="F8" s="6" t="inlineStr">
        <is>
          <t>Packages, Trades, Tenders, Variations, Payments</t>
        </is>
      </c>
    </row>
    <row r="9">
      <c r="A9" s="31" t="inlineStr">
        <is>
          <t>04/01</t>
        </is>
      </c>
      <c r="B9" t="inlineStr">
        <is>
          <t>04 Trades &amp; Tenders/01 Surveyor</t>
        </is>
      </c>
      <c r="C9" s="2" t="inlineStr">
        <is>
          <t>RFQ &amp; quotes, contract &amp; variations, licence / insurance / SWMS, invoices.</t>
        </is>
      </c>
    </row>
    <row r="10">
      <c r="A10" s="31" t="inlineStr">
        <is>
          <t>04/02</t>
        </is>
      </c>
      <c r="B10" t="inlineStr">
        <is>
          <t>04 Trades &amp; Tenders/02 Demolition &amp; earthworks</t>
        </is>
      </c>
      <c r="C10" s="2" t="inlineStr">
        <is>
          <t>RFQ &amp; quotes, contract &amp; variations, licence / insurance / SWMS, invoices.</t>
        </is>
      </c>
    </row>
    <row r="11">
      <c r="A11" s="31" t="inlineStr">
        <is>
          <t>04/03</t>
        </is>
      </c>
      <c r="B11" t="inlineStr">
        <is>
          <t>04 Trades &amp; Tenders/03 Plumbing &amp; drainage</t>
        </is>
      </c>
      <c r="C11" s="2" t="inlineStr">
        <is>
          <t>RFQ &amp; quotes, contract &amp; variations, licence / insurance / SWMS, invoices.</t>
        </is>
      </c>
    </row>
    <row r="12">
      <c r="A12" s="31" t="inlineStr">
        <is>
          <t>04/04</t>
        </is>
      </c>
      <c r="B12" t="inlineStr">
        <is>
          <t>04 Trades &amp; Tenders/04 Concreter</t>
        </is>
      </c>
      <c r="C12" s="2" t="inlineStr">
        <is>
          <t>RFQ &amp; quotes, contract &amp; variations, licence / insurance / SWMS, invoices.</t>
        </is>
      </c>
    </row>
    <row r="13">
      <c r="A13" s="31" t="inlineStr">
        <is>
          <t>04/05</t>
        </is>
      </c>
      <c r="B13" t="inlineStr">
        <is>
          <t>04 Trades &amp; Tenders/05 Termite management</t>
        </is>
      </c>
      <c r="C13" s="2" t="inlineStr">
        <is>
          <t>RFQ &amp; quotes, contract &amp; variations, licence / insurance / SWMS, invoices.</t>
        </is>
      </c>
    </row>
    <row r="14">
      <c r="A14" s="31" t="inlineStr">
        <is>
          <t>04/06</t>
        </is>
      </c>
      <c r="B14" t="inlineStr">
        <is>
          <t>04 Trades &amp; Tenders/06 Frame &amp; truss supply</t>
        </is>
      </c>
      <c r="C14" s="2" t="inlineStr">
        <is>
          <t>RFQ &amp; quotes, contract &amp; variations, licence / insurance / SWMS, invoices.</t>
        </is>
      </c>
    </row>
    <row r="15">
      <c r="A15" s="31" t="inlineStr">
        <is>
          <t>04/07</t>
        </is>
      </c>
      <c r="B15" t="inlineStr">
        <is>
          <t>04 Trades &amp; Tenders/07 Carpenter (frame)</t>
        </is>
      </c>
      <c r="C15" s="2" t="inlineStr">
        <is>
          <t>RFQ &amp; quotes, contract &amp; variations, licence / insurance / SWMS, invoices.</t>
        </is>
      </c>
    </row>
    <row r="16">
      <c r="A16" s="31" t="inlineStr">
        <is>
          <t>04/08</t>
        </is>
      </c>
      <c r="B16" t="inlineStr">
        <is>
          <t>04 Trades &amp; Tenders/08 Roofing</t>
        </is>
      </c>
      <c r="C16" s="2" t="inlineStr">
        <is>
          <t>RFQ &amp; quotes, contract &amp; variations, licence / insurance / SWMS, invoices.</t>
        </is>
      </c>
    </row>
    <row r="17">
      <c r="A17" s="31" t="inlineStr">
        <is>
          <t>04/09</t>
        </is>
      </c>
      <c r="B17" t="inlineStr">
        <is>
          <t>04 Trades &amp; Tenders/09 Windows &amp; external doors</t>
        </is>
      </c>
      <c r="C17" s="2" t="inlineStr">
        <is>
          <t>RFQ &amp; quotes, contract &amp; variations, licence / insurance / SWMS, invoices.</t>
        </is>
      </c>
    </row>
    <row r="18">
      <c r="A18" s="31" t="inlineStr">
        <is>
          <t>04/10</t>
        </is>
      </c>
      <c r="B18" t="inlineStr">
        <is>
          <t>04 Trades &amp; Tenders/10 Bricklayer &amp; cladding</t>
        </is>
      </c>
      <c r="C18" s="2" t="inlineStr">
        <is>
          <t>RFQ &amp; quotes, contract &amp; variations, licence / insurance / SWMS, invoices.</t>
        </is>
      </c>
    </row>
    <row r="19">
      <c r="A19" s="31" t="inlineStr">
        <is>
          <t>04/11</t>
        </is>
      </c>
      <c r="B19" t="inlineStr">
        <is>
          <t>04 Trades &amp; Tenders/11 Electrician</t>
        </is>
      </c>
      <c r="C19" s="2" t="inlineStr">
        <is>
          <t>RFQ &amp; quotes, contract &amp; variations, licence / insurance / SWMS, invoices.</t>
        </is>
      </c>
    </row>
    <row r="20">
      <c r="A20" s="31" t="inlineStr">
        <is>
          <t>04/12</t>
        </is>
      </c>
      <c r="B20" t="inlineStr">
        <is>
          <t>04 Trades &amp; Tenders/12 Insulation</t>
        </is>
      </c>
      <c r="C20" s="2" t="inlineStr">
        <is>
          <t>RFQ &amp; quotes, contract &amp; variations, licence / insurance / SWMS, invoices.</t>
        </is>
      </c>
    </row>
    <row r="21">
      <c r="A21" s="31" t="inlineStr">
        <is>
          <t>04/13</t>
        </is>
      </c>
      <c r="B21" t="inlineStr">
        <is>
          <t>04 Trades &amp; Tenders/13 Plasterer</t>
        </is>
      </c>
      <c r="C21" s="2" t="inlineStr">
        <is>
          <t>RFQ &amp; quotes, contract &amp; variations, licence / insurance / SWMS, invoices.</t>
        </is>
      </c>
    </row>
    <row r="22">
      <c r="A22" s="31" t="inlineStr">
        <is>
          <t>04/14</t>
        </is>
      </c>
      <c r="B22" t="inlineStr">
        <is>
          <t>04 Trades &amp; Tenders/14 Waterproofer</t>
        </is>
      </c>
      <c r="C22" s="2" t="inlineStr">
        <is>
          <t>RFQ &amp; quotes, contract &amp; variations, licence / insurance / SWMS, invoices.</t>
        </is>
      </c>
    </row>
    <row r="23">
      <c r="A23" s="31" t="inlineStr">
        <is>
          <t>04/15</t>
        </is>
      </c>
      <c r="B23" t="inlineStr">
        <is>
          <t>04 Trades &amp; Tenders/15 Cabinetmaker</t>
        </is>
      </c>
      <c r="C23" s="2" t="inlineStr">
        <is>
          <t>RFQ &amp; quotes, contract &amp; variations, licence / insurance / SWMS, invoices.</t>
        </is>
      </c>
    </row>
    <row r="24">
      <c r="A24" s="31" t="inlineStr">
        <is>
          <t>04/16</t>
        </is>
      </c>
      <c r="B24" t="inlineStr">
        <is>
          <t>04 Trades &amp; Tenders/16 Tiler</t>
        </is>
      </c>
      <c r="C24" s="2" t="inlineStr">
        <is>
          <t>RFQ &amp; quotes, contract &amp; variations, licence / insurance / SWMS, invoices.</t>
        </is>
      </c>
    </row>
    <row r="25">
      <c r="A25" s="31" t="inlineStr">
        <is>
          <t>04/17</t>
        </is>
      </c>
      <c r="B25" t="inlineStr">
        <is>
          <t>04 Trades &amp; Tenders/17 Fixing carpenter</t>
        </is>
      </c>
      <c r="C25" s="2" t="inlineStr">
        <is>
          <t>RFQ &amp; quotes, contract &amp; variations, licence / insurance / SWMS, invoices.</t>
        </is>
      </c>
    </row>
    <row r="26">
      <c r="A26" s="31" t="inlineStr">
        <is>
          <t>04/18</t>
        </is>
      </c>
      <c r="B26" t="inlineStr">
        <is>
          <t>04 Trades &amp; Tenders/18 Painter</t>
        </is>
      </c>
      <c r="C26" s="2" t="inlineStr">
        <is>
          <t>RFQ &amp; quotes, contract &amp; variations, licence / insurance / SWMS, invoices.</t>
        </is>
      </c>
    </row>
    <row r="27">
      <c r="A27" s="31" t="inlineStr">
        <is>
          <t>04/19</t>
        </is>
      </c>
      <c r="B27" t="inlineStr">
        <is>
          <t>04 Trades &amp; Tenders/19 Heating &amp; cooling</t>
        </is>
      </c>
      <c r="C27" s="2" t="inlineStr">
        <is>
          <t>RFQ &amp; quotes, contract &amp; variations, licence / insurance / SWMS, invoices.</t>
        </is>
      </c>
    </row>
    <row r="28">
      <c r="A28" s="31" t="inlineStr">
        <is>
          <t>04/20</t>
        </is>
      </c>
      <c r="B28" t="inlineStr">
        <is>
          <t>04 Trades &amp; Tenders/20 Floor coverings &amp; landscaping</t>
        </is>
      </c>
      <c r="C28" s="2" t="inlineStr">
        <is>
          <t>RFQ &amp; quotes, contract &amp; variations, licence / insurance / SWMS, invoices.</t>
        </is>
      </c>
    </row>
    <row r="29">
      <c r="A29" s="33" t="inlineStr">
        <is>
          <t>05</t>
        </is>
      </c>
      <c r="B29" s="6" t="inlineStr">
        <is>
          <t>05 Selections &amp; Specs</t>
        </is>
      </c>
      <c r="C29" s="6" t="inlineStr">
        <is>
          <t>Product spec sheets, brochures, colour and tile codes, quotes from suppliers, orders and delivery dockets.</t>
        </is>
      </c>
      <c r="D29" s="6" t="inlineStr"/>
      <c r="E29" s="6" t="inlineStr">
        <is>
          <t>G5, G6</t>
        </is>
      </c>
      <c r="F29" s="6" t="inlineStr">
        <is>
          <t>Selections</t>
        </is>
      </c>
    </row>
    <row r="30">
      <c r="A30" s="33" t="inlineStr">
        <is>
          <t>06</t>
        </is>
      </c>
      <c r="B30" s="6" t="inlineStr">
        <is>
          <t>06 Site Diary &amp; Photos</t>
        </is>
      </c>
      <c r="C30" s="6" t="inlineStr">
        <is>
          <t>Site photos (especially before anything is covered), diary exports, site induction and sign-in register.</t>
        </is>
      </c>
      <c r="D30" s="6" t="inlineStr">
        <is>
          <t>5, 8</t>
        </is>
      </c>
      <c r="E30" s="6" t="inlineStr">
        <is>
          <t>G4 to G7</t>
        </is>
      </c>
      <c r="F30" s="6" t="inlineStr">
        <is>
          <t>Diary, Photos</t>
        </is>
      </c>
    </row>
    <row r="31">
      <c r="A31" s="33" t="inlineStr">
        <is>
          <t>07</t>
        </is>
      </c>
      <c r="B31" s="6" t="inlineStr">
        <is>
          <t>07 Inspections &amp; Certificates</t>
        </is>
      </c>
      <c r="C31" s="6" t="inlineStr">
        <is>
          <t>RBS inspection reports and every compliance certificate: plumbing (PCC), electrical (CoES), termite, waterproofing, glazing, insulation, smoke alarms, engineer sign-offs, commissioning sheets.</t>
        </is>
      </c>
      <c r="D31" s="6" t="inlineStr">
        <is>
          <t>8, 9</t>
        </is>
      </c>
      <c r="E31" s="6" t="inlineStr">
        <is>
          <t>G4 to G7</t>
        </is>
      </c>
      <c r="F31" s="6" t="inlineStr">
        <is>
          <t>Certificates, Compliance</t>
        </is>
      </c>
    </row>
    <row r="32">
      <c r="A32" s="33" t="inlineStr">
        <is>
          <t>08</t>
        </is>
      </c>
      <c r="B32" s="6" t="inlineStr">
        <is>
          <t>08 Handover, Records &amp; Sale</t>
        </is>
      </c>
      <c r="C32" s="6" t="inlineStr">
        <is>
          <t>Occupancy permit or certificate of final inspection, warranties, manuals, as-built service locations, paint and tile codes, s137B defects report, owner-builder insurance, section 32 papers.</t>
        </is>
      </c>
      <c r="D32" s="6" t="inlineStr">
        <is>
          <t>9, 10</t>
        </is>
      </c>
      <c r="E32" s="6" t="inlineStr">
        <is>
          <t>G7</t>
        </is>
      </c>
      <c r="F32" s="6" t="inlineStr">
        <is>
          <t>Compliance, Certificates</t>
        </is>
      </c>
    </row>
    <row r="33">
      <c r="A33" s="33" t="inlineStr">
        <is>
          <t>99</t>
        </is>
      </c>
      <c r="B33" s="6" t="inlineStr">
        <is>
          <t>99 Archive</t>
        </is>
      </c>
      <c r="C33" s="6" t="inlineStr">
        <is>
          <t>Superseded drawings and documents, unsuccessful quotes. Never delete: move here.</t>
        </is>
      </c>
      <c r="D33" s="6" t="inlineStr"/>
      <c r="E33" s="6" t="inlineStr"/>
      <c r="F33" s="6" t="inlineStr">
        <is>
          <t>Documents (status Superseded)</t>
        </is>
      </c>
    </row>
    <row r="35">
      <c r="B35" s="13" t="inlineStr">
        <is>
          <t>File naming: DocID_Description_Rev</t>
        </is>
      </c>
    </row>
    <row r="36">
      <c r="B36" t="inlineStr">
        <is>
          <t>Doc ID = folder code - document type - number, e.g. 02-DWG-012 is drawing number 12 in 02 Design &amp; Engineering.</t>
        </is>
      </c>
    </row>
    <row r="37">
      <c r="B37" t="inlineStr">
        <is>
          <t>File name = Doc ID, then a short description with hyphens, then the revision: 02-DWG-012_Floor-Plan_RevC.pdf</t>
        </is>
      </c>
    </row>
    <row r="38">
      <c r="B38" t="inlineStr">
        <is>
          <t>Register every file in the Documents tab first. It builds the Doc ID and file name for you and tells you which folder to save it in.</t>
        </is>
      </c>
    </row>
    <row r="39">
      <c r="B39" t="inlineStr">
        <is>
          <t>Trade paperwork goes in that package's subfolder of 04, e.g. 04 Trades &amp; Tenders/08 Roofing/04-CON-003_Roofing-Contract.pdf</t>
        </is>
      </c>
    </row>
    <row r="40">
      <c r="B40" t="inlineStr">
        <is>
          <t>When a drawing is replaced, set the old one to Superseded in Documents and move the file to 99 Archive. Never delete.</t>
        </is>
      </c>
    </row>
    <row r="41">
      <c r="B41" s="13" t="inlineStr">
        <is>
          <t>Document types</t>
        </is>
      </c>
    </row>
    <row r="42">
      <c r="B42" t="inlineStr">
        <is>
          <t>DWG  Drawing</t>
        </is>
      </c>
    </row>
    <row r="43">
      <c r="B43" t="inlineStr">
        <is>
          <t>SPEC  Specification or spec sheet</t>
        </is>
      </c>
    </row>
    <row r="44">
      <c r="B44" t="inlineStr">
        <is>
          <t>ENG  Engineering</t>
        </is>
      </c>
    </row>
    <row r="45">
      <c r="B45" t="inlineStr">
        <is>
          <t>RPT  Report or assessment (soil, energy, BAL, asbestos, s137B)</t>
        </is>
      </c>
    </row>
    <row r="46">
      <c r="B46" t="inlineStr">
        <is>
          <t>APP  Application</t>
        </is>
      </c>
    </row>
    <row r="47">
      <c r="B47" t="inlineStr">
        <is>
          <t>PMT  Permit, consent or approval</t>
        </is>
      </c>
    </row>
    <row r="48">
      <c r="B48" t="inlineStr">
        <is>
          <t>INSP  Inspection report</t>
        </is>
      </c>
    </row>
    <row r="49">
      <c r="B49" t="inlineStr">
        <is>
          <t>CERT  Certificate</t>
        </is>
      </c>
    </row>
    <row r="50">
      <c r="B50" t="inlineStr">
        <is>
          <t>RFQ  RFQ pack or addendum</t>
        </is>
      </c>
    </row>
    <row r="51">
      <c r="B51" t="inlineStr">
        <is>
          <t>QUO  Quote or tender</t>
        </is>
      </c>
    </row>
    <row r="52">
      <c r="B52" t="inlineStr">
        <is>
          <t>CON  Contract</t>
        </is>
      </c>
    </row>
    <row r="53">
      <c r="B53" t="inlineStr">
        <is>
          <t>VAR  Variation</t>
        </is>
      </c>
    </row>
    <row r="54">
      <c r="B54" t="inlineStr">
        <is>
          <t>INV  Invoice</t>
        </is>
      </c>
    </row>
    <row r="55">
      <c r="B55" t="inlineStr">
        <is>
          <t>REC  Receipt or payment record</t>
        </is>
      </c>
    </row>
    <row r="56">
      <c r="B56" t="inlineStr">
        <is>
          <t>INS  Insurance policy or certificate of currency</t>
        </is>
      </c>
    </row>
    <row r="57">
      <c r="B57" t="inlineStr">
        <is>
          <t>LIC  Licence or registration</t>
        </is>
      </c>
    </row>
    <row r="58">
      <c r="B58" t="inlineStr">
        <is>
          <t>SWMS  Safe work method statement</t>
        </is>
      </c>
    </row>
    <row r="59">
      <c r="B59" t="inlineStr">
        <is>
          <t>PHO  Photo</t>
        </is>
      </c>
    </row>
    <row r="60">
      <c r="B60" t="inlineStr">
        <is>
          <t>COR  Correspondence</t>
        </is>
      </c>
    </row>
    <row r="61">
      <c r="B61" t="inlineStr">
        <is>
          <t>FIN  Finance (loan, valuation, drawdown)</t>
        </is>
      </c>
    </row>
    <row r="62">
      <c r="B62" t="inlineStr">
        <is>
          <t>PLN  Plan, program or cost plan</t>
        </is>
      </c>
    </row>
    <row r="63">
      <c r="B63" t="inlineStr">
        <is>
          <t>MAN  Manual</t>
        </is>
      </c>
    </row>
    <row r="64">
      <c r="B64" t="inlineStr">
        <is>
          <t>WAR  Warranty</t>
        </is>
      </c>
    </row>
    <row r="65">
      <c r="B65" t="inlineStr">
        <is>
          <t>OTH  Other</t>
        </is>
      </c>
    </row>
  </sheetData>
  <pageMargins left="0.75" right="0.75" top="1" bottom="1" header="0.5" footer="0.5"/>
</worksheet>
</file>

<file path=xl/worksheets/sheet21.xml><?xml version="1.0" encoding="utf-8"?>
<worksheet xmlns="http://schemas.openxmlformats.org/spreadsheetml/2006/main">
  <sheetPr>
    <tabColor rgb="008A9BAE"/>
    <outlinePr summaryBelow="1" summaryRight="1"/>
    <pageSetUpPr/>
  </sheetPr>
  <dimension ref="A1:E1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30" customWidth="1" min="3" max="3"/>
    <col width="70" customWidth="1" min="4" max="4"/>
    <col width="50" customWidth="1" min="5" max="5"/>
  </cols>
  <sheetData>
    <row r="1" ht="24" customHeight="1">
      <c r="A1" s="1" t="inlineStr">
        <is>
          <t>Buying guides &amp; specs</t>
        </is>
      </c>
    </row>
    <row r="2">
      <c r="A2" s="2" t="inlineStr">
        <is>
          <t>Stage-by-stage: the standards that apply, the spec to confirm and what to ask suppliers. Read-only. Content checked September 2026.</t>
        </is>
      </c>
    </row>
    <row r="3">
      <c r="A3" s="3" t="inlineStr">
        <is>
          <t>Stage</t>
        </is>
      </c>
      <c r="B3" s="3" t="inlineStr">
        <is>
          <t>Topic</t>
        </is>
      </c>
      <c r="C3" s="3" t="inlineStr">
        <is>
          <t>Standards</t>
        </is>
      </c>
      <c r="D3" s="3" t="inlineStr">
        <is>
          <t>Spec to confirm</t>
        </is>
      </c>
      <c r="E3" s="3" t="inlineStr">
        <is>
          <t>Ask the supplier / trade</t>
        </is>
      </c>
    </row>
    <row r="4">
      <c r="A4" s="6" t="inlineStr">
        <is>
          <t>Base stage</t>
        </is>
      </c>
      <c r="B4" s="6" t="inlineStr">
        <is>
          <t>Concrete footings &amp; slab</t>
        </is>
      </c>
      <c r="C4" s="6" t="inlineStr">
        <is>
          <t>AS 2870 (residential slabs &amp; footings), AS 3600 (concrete structures).</t>
        </is>
      </c>
      <c r="D4" s="6" t="inlineStr">
        <is>
          <t>• Spec to confirm with your engineer: slab type (waffle or raft), concrete strength (typically N20–N32 MPa), slump, mesh (e.g. SL82), bar sizes, edge beam depths, cover to steel.
• Vapour barrier: 0.2 mm polyethylene, lapped and taped. Check the energy report for slab-edge insulation.
• Termite management to AS 3660.1: physical barrier or chemical. Get the certificate and durable notice.</t>
        </is>
      </c>
      <c r="E4" s="6" t="inlineStr">
        <is>
          <t>Is pump hire included? What's the allowance for over-dig and extra concrete? Who books the pre-pour inspection? Will you give me delivery dockets showing MPa?</t>
        </is>
      </c>
    </row>
    <row r="5">
      <c r="A5" s="6" t="inlineStr">
        <is>
          <t>Base stage</t>
        </is>
      </c>
      <c r="B5" s="6" t="inlineStr">
        <is>
          <t>Site drainage &amp; stormwater</t>
        </is>
      </c>
      <c r="C5" s="6" t="inlineStr"/>
      <c r="D5" s="6" t="inlineStr">
        <is>
          <t>• Pipe class and diameter per the engineer's drainage plan (commonly 90 mm and 100 mm PVC).
• Rainwater tank size if your energy or water compliance relies on it (often 2,000 L or more connected to toilets or laundry).
• Connection to the legal point of discharge. Your plumber lodges a compliance certificate.</t>
        </is>
      </c>
      <c r="E5" s="6" t="inlineStr"/>
    </row>
    <row r="6">
      <c r="A6" s="6" t="inlineStr">
        <is>
          <t>Frame &amp; roof</t>
        </is>
      </c>
      <c r="B6" s="6" t="inlineStr">
        <is>
          <t>Wall frames &amp; roof trusses</t>
        </is>
      </c>
      <c r="C6" s="6" t="inlineStr">
        <is>
          <t>AS 1684 (timber framing), AS 4440 (nail-plated trusses), NASH standard for light steel.</t>
        </is>
      </c>
      <c r="D6" s="6" t="inlineStr">
        <is>
          <t>• Timber grade: MGP10 / MGP12 pine is standard. Use H2 treated in termite zones, or light-gauge steel.
• Wind classification (e.g. N2, N3) from your engineer. It drives tie-downs and bracing.
• Get the frame &amp; truss layout, design certificate and bracing plan with the delivery.</t>
        </is>
      </c>
      <c r="E6" s="6" t="inlineStr">
        <is>
          <t>Is it pre-cut or prefabricated? Are lintels, beams and bracing included? What's the lead time? Do you set out the trusses on site?</t>
        </is>
      </c>
    </row>
    <row r="7">
      <c r="A7" s="6" t="inlineStr">
        <is>
          <t>Frame &amp; roof</t>
        </is>
      </c>
      <c r="B7" s="6" t="inlineStr">
        <is>
          <t>Roofing: metal or tiles</t>
        </is>
      </c>
      <c r="C7" s="6" t="inlineStr">
        <is>
          <t>AS 1562.1 (metal roofing), AS 2050 (tiles), AS 3959 (bushfire).</t>
        </is>
      </c>
      <c r="D7" s="6" t="inlineStr">
        <is>
          <t>• Metal: 0.42 mm BMT is standard. Choose the colour's solar absorptance to match the energy report.
• Anticon or sarking blanket for thermal and condensation control (NCC 2022 condensation rules).
• Gutter overflow provisions and downpipe spacing per AS/NZS 3500.3.
• BAL-rated ember guards and screens if you're in a bushfire prone area.</t>
        </is>
      </c>
      <c r="E7" s="6" t="inlineStr"/>
    </row>
    <row r="8">
      <c r="A8" s="6" t="inlineStr">
        <is>
          <t>Lock-up</t>
        </is>
      </c>
      <c r="B8" s="6" t="inlineStr">
        <is>
          <t>Windows &amp; external doors</t>
        </is>
      </c>
      <c r="C8" s="6" t="inlineStr">
        <is>
          <t>AS 2047 (windows), AS 1288 (glass selection), AS 3959 (BAL).</t>
        </is>
      </c>
      <c r="D8" s="6" t="inlineStr">
        <is>
          <t>• Use the U-value and SHGC in your energy report. They are part of your 7-star compliance and must be matched.
• Double glazing in thermally broken or uPVC frames is typical for 7-star compliance in Victoria.
• Wind rating to match the site's wind class. BAL rating if required.
• Keep the WERS label and AS 2047 certificate for your building surveyor.</t>
        </is>
      </c>
      <c r="E8" s="6" t="inlineStr">
        <is>
          <t>Do these U-value and SHGC figures match my energy report? What's the lead time? Are flashings and reveals included? Is there a warranty on hardware and seals?</t>
        </is>
      </c>
    </row>
    <row r="9">
      <c r="A9" s="6" t="inlineStr">
        <is>
          <t>Lock-up</t>
        </is>
      </c>
      <c r="B9" s="6" t="inlineStr">
        <is>
          <t>Wall wrap, cladding &amp; bricks</t>
        </is>
      </c>
      <c r="C9" s="6" t="inlineStr"/>
      <c r="D9" s="6" t="inlineStr">
        <is>
          <t>• Vapour-permeable wall wrap (NCC 2022 condensation provisions). Check its class against the specification.
• Bricks: order about 5% extra from the same batch to avoid colour variation. Check wall ties and weep holes.
• Fibre cement, timber or metal cladding: fix it to the manufacturer's installation guide. Warranties depend on it.</t>
        </is>
      </c>
      <c r="E9" s="6" t="inlineStr"/>
    </row>
    <row r="10">
      <c r="A10" s="6" t="inlineStr">
        <is>
          <t>Services</t>
        </is>
      </c>
      <c r="B10" s="6" t="inlineStr">
        <is>
          <t>Insulation</t>
        </is>
      </c>
      <c r="C10" s="6" t="inlineStr"/>
      <c r="D10" s="6" t="inlineStr">
        <is>
          <t>Standard: AS/NZS 4859.1. Values come from your energy report.
• Typical Victorian 7-star: ceiling around R6.0, external walls around R2.5, plus underfloor if the floor is suspended.
• Photograph every wall before plaster. The building surveyor may ask for an installation certificate.</t>
        </is>
      </c>
      <c r="E10" s="6" t="inlineStr"/>
    </row>
    <row r="11">
      <c r="A11" s="6" t="inlineStr">
        <is>
          <t>Services</t>
        </is>
      </c>
      <c r="B11" s="6" t="inlineStr">
        <is>
          <t>Hot water, heating &amp; all-electric homes</t>
        </is>
      </c>
      <c r="C11" s="6" t="inlineStr"/>
      <c r="D11" s="6" t="inlineStr">
        <is>
          <t>• New Victorian homes that need a planning permit (applied for from 1 January 2024) can't connect to reticulated gas. All-electric is the default choice anyway.
• A heat-pump hot water system scores well in the NCC 2022 whole-of-home energy budget.
• Reverse-cycle split or ducted systems: check the energy rating, zoning and the refrigerant licence (ARCtick) of the installer.
• Solar PV: use a Solar Accreditation Australia (formerly CEC) accredited installer if you want rebates. Check Solar Victoria.</t>
        </is>
      </c>
      <c r="E11" s="6" t="inlineStr"/>
    </row>
    <row r="12">
      <c r="A12" s="6" t="inlineStr">
        <is>
          <t>Services</t>
        </is>
      </c>
      <c r="B12" s="6" t="inlineStr">
        <is>
          <t>Electrical: switchboard, lighting, smoke alarms</t>
        </is>
      </c>
      <c r="C12" s="6" t="inlineStr">
        <is>
          <t>AS/NZS 3000 (wiring rules), AS 3786 (smoke alarms).</t>
        </is>
      </c>
      <c r="D12" s="6" t="inlineStr">
        <is>
          <t>• RCD (safety switch) protection on all final sub-circuits.
• Hardwired, interconnected smoke alarms in the locations the NCC requires.
• Plan the points before rough-in: walk every room in My Build and note GPOs, switches, data and TV.
• Think ahead: an EV charger circuit, induction cooktop capacity, battery-ready switchboard.</t>
        </is>
      </c>
      <c r="E12" s="6" t="inlineStr"/>
    </row>
    <row r="13">
      <c r="A13" s="6" t="inlineStr">
        <is>
          <t>Services</t>
        </is>
      </c>
      <c r="B13" s="6" t="inlineStr">
        <is>
          <t>Plumbing fixtures &amp; tapware</t>
        </is>
      </c>
      <c r="C13" s="6" t="inlineStr"/>
      <c r="D13" s="6" t="inlineStr">
        <is>
          <t>• Only buy WaterMark-certified products. Plumbers can refuse to install anything else, and it may not pass inspection.
• Check WELS water ratings (star rating and litres per minute).
• Hot water to bathrooms must be delivered at a maximum of 50°C (tempering or thermostatic valve per AS/NZS 3500.4).</t>
        </is>
      </c>
      <c r="E13" s="6" t="inlineStr"/>
    </row>
    <row r="14">
      <c r="A14" s="6" t="inlineStr">
        <is>
          <t>Fit-out</t>
        </is>
      </c>
      <c r="B14" s="6" t="inlineStr">
        <is>
          <t>Wet areas: waterproofing &amp; tiles</t>
        </is>
      </c>
      <c r="C14" s="6" t="inlineStr"/>
      <c r="D14" s="6" t="inlineStr">
        <is>
          <t>Standard: AS 3740 (waterproofing of domestic wet areas).
• Get a waterproofing certificate for every wet area. The building surveyor needs it.
• Slip resistance: use P3 or better for wet-area floors and P4–P5 for outdoor areas (AS 4586).
• Order about 10% extra tiles from one batch (15% for diagonal or herringbone). My Build's room calculator does this for you.</t>
        </is>
      </c>
      <c r="E14" s="6" t="inlineStr"/>
    </row>
    <row r="15">
      <c r="A15" s="6" t="inlineStr">
        <is>
          <t>Fit-out</t>
        </is>
      </c>
      <c r="B15" s="6" t="inlineStr">
        <is>
          <t>Kitchen, benchtops &amp; joinery</t>
        </is>
      </c>
      <c r="C15" s="6" t="inlineStr"/>
      <c r="D15" s="6" t="inlineStr">
        <is>
          <t>• Engineered stone is banned in Australia from 1 July 2024. Consider porcelain, sintered stone, natural stone, laminate or timber.
• Board: E0 / E1 low-formaldehyde, moisture-resistant under sinks.
• Sign off shop drawings. Check the appliance cut-out sizes and ventilation clearances first.
• Appliances: use the Energy Rating label, and check the cooktop's electrical load with your electrician.</t>
        </is>
      </c>
      <c r="E15" s="6" t="inlineStr"/>
    </row>
    <row r="16">
      <c r="A16" s="6" t="inlineStr">
        <is>
          <t>Fit-out</t>
        </is>
      </c>
      <c r="B16" s="6" t="inlineStr">
        <is>
          <t>Paint, flooring &amp; finishes</t>
        </is>
      </c>
      <c r="C16" s="6" t="inlineStr"/>
      <c r="D16" s="6" t="inlineStr">
        <is>
          <t>• Low-VOC, washable paints for living areas. Mould-resistant paint for wet areas. Record the colour codes in My Build.
• Flooring: acclimatise timber before laying. Check the moisture content of the slab.
• Keep every product's warranty registration and care guide for the handover file.</t>
        </is>
      </c>
      <c r="E16" s="6" t="inlineStr"/>
    </row>
    <row r="17">
      <c r="A17" s="6" t="inlineStr">
        <is>
          <t>How to buy</t>
        </is>
      </c>
      <c r="B17" s="6" t="inlineStr">
        <is>
          <t>Getting trade pricing as an owner-builder</t>
        </is>
      </c>
      <c r="C17" s="6" t="inlineStr"/>
      <c r="D17" s="6" t="inlineStr">
        <is>
          <t>• Open trade accounts with your building permit and certificate of consent. Many suppliers give owner-builders a builder's discount.
• Bundle orders by stage (e.g. all frame hardware together) and ask for a project price.
• Compare supply-only prices against supply &amp; install quotes using the tender tool.</t>
        </is>
      </c>
      <c r="E17" s="6" t="inlineStr"/>
    </row>
    <row r="18">
      <c r="A18" s="6" t="inlineStr">
        <is>
          <t>How to buy</t>
        </is>
      </c>
      <c r="B18" s="6" t="inlineStr">
        <is>
          <t>Deliveries, storage &amp; checking goods</t>
        </is>
      </c>
      <c r="C18" s="6" t="inlineStr"/>
      <c r="D18" s="6" t="inlineStr">
        <is>
          <t>• Time deliveries to the program. Early deliveries get stolen or damaged; late ones stop trades.
• Check quantities and condition on arrival and note damage on the docket before you sign it.
• Store off the ground, covered and secure. Photograph deliveries for insurance.
• Keep every docket and invoice against its trade package in your budget.</t>
        </is>
      </c>
      <c r="E18" s="6" t="inlineStr"/>
    </row>
  </sheetData>
  <sheetProtection selectLockedCells="0" selectUnlockedCells="0" sheet="1" objects="0" insertRows="1" insertHyperlinks="1" autoFilter="0" scenarios="0" formatColumns="1" deleteColumns="1" insertColumns="1" pivotTables="1" deleteRows="1" formatCells="1" formatRows="1" sort="1"/>
  <autoFilter ref="A3:E18"/>
  <pageMargins left="0.75" right="0.75" top="1" bottom="1" header="0.5" footer="0.5"/>
</worksheet>
</file>

<file path=xl/worksheets/sheet22.xml><?xml version="1.0" encoding="utf-8"?>
<worksheet xmlns="http://schemas.openxmlformats.org/spreadsheetml/2006/main">
  <sheetPr>
    <tabColor rgb="008A9BAE"/>
    <outlinePr summaryBelow="1" summaryRight="1"/>
    <pageSetUpPr/>
  </sheetPr>
  <dimension ref="A1:C4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100" customWidth="1" min="3" max="3"/>
  </cols>
  <sheetData>
    <row r="1" ht="24" customHeight="1">
      <c r="A1" s="1" t="inlineStr">
        <is>
          <t>Owner-builder Q&amp;A (Victoria)</t>
        </is>
      </c>
    </row>
    <row r="2">
      <c r="A2" s="2" t="inlineStr">
        <is>
          <t>Plain-English answers, grouped by topic. Read-only. General information, checked September 2026, not legal advice.</t>
        </is>
      </c>
    </row>
    <row r="3">
      <c r="A3" s="3" t="inlineStr">
        <is>
          <t>Topic</t>
        </is>
      </c>
      <c r="B3" s="3" t="inlineStr">
        <is>
          <t>Question</t>
        </is>
      </c>
      <c r="C3" s="3" t="inlineStr">
        <is>
          <t>Answer</t>
        </is>
      </c>
    </row>
    <row r="4">
      <c r="A4" s="6" t="inlineStr">
        <is>
          <t>Getting started</t>
        </is>
      </c>
      <c r="B4" s="6" t="inlineStr">
        <is>
          <t>What is an owner-builder?</t>
        </is>
      </c>
      <c r="C4" s="6" t="inlineStr">
        <is>
          <t>An owner-builder is a landowner who takes legal responsibility for domestic building work on their own land, instead of engaging a registered builder to manage the whole job. You take on the builder's responsibilities: quality, compliance, safety, and coordinating and paying trades. You can do some work yourself and hire trades for the rest.</t>
        </is>
      </c>
    </row>
    <row r="5">
      <c r="A5" s="6" t="inlineStr">
        <is>
          <t>Getting started</t>
        </is>
      </c>
      <c r="B5" s="6" t="inlineStr">
        <is>
          <t>Do I have to do the building work myself?</t>
        </is>
      </c>
      <c r="C5" s="6" t="inlineStr">
        <is>
          <t>No. Most owner-builders act as project manager and engage trades for most of the work. You can do the non-licensed work yourself if you're capable, such as some carpentry, painting or landscaping. Plumbing, gasfitting and electrical work must always be done by licensed practitioners.</t>
        </is>
      </c>
    </row>
    <row r="6">
      <c r="A6" s="6" t="inlineStr">
        <is>
          <t>Getting started</t>
        </is>
      </c>
      <c r="B6" s="6" t="inlineStr">
        <is>
          <t>How much can I really save?</t>
        </is>
      </c>
      <c r="C6" s="6" t="inlineStr">
        <is>
          <t>A builder's margin and overheads are commonly 15–25% of the build cost. Realistic owner-builder savings are often 10–20% after allowing for your time, mistakes, higher finance costs and missed trade discounts. Savings come from managing well, not just from cutting out the builder.</t>
        </is>
      </c>
    </row>
    <row r="7">
      <c r="A7" s="6" t="inlineStr">
        <is>
          <t>Getting started</t>
        </is>
      </c>
      <c r="B7" s="6" t="inlineStr">
        <is>
          <t>How long does an owner-build take?</t>
        </is>
      </c>
      <c r="C7" s="6" t="inlineStr">
        <is>
          <t>Plan on 18–24 months from idea to occupancy for a typical new home. That's roughly 6–11 months of design, approvals and procurement, then 9–13 months on site. Owner-builders working part-time usually take longer. See the gateways program.</t>
        </is>
      </c>
    </row>
    <row r="8">
      <c r="A8" s="6" t="inlineStr">
        <is>
          <t>Getting started</t>
        </is>
      </c>
      <c r="B8" s="6" t="inlineStr">
        <is>
          <t>What skills do I need?</t>
        </is>
      </c>
      <c r="C8" s="6" t="inlineStr">
        <is>
          <t>Organisation matters more than trade skills. You'll be reading plans, scheduling, negotiating, checking quality, managing money and paperwork, and keeping people safe. If you run projects or a household budget well, you're most of the way there. Owner Builder in a Box fills in the rest.</t>
        </is>
      </c>
    </row>
    <row r="9">
      <c r="A9" s="6" t="inlineStr">
        <is>
          <t>Eligibility &amp; certificate of consent</t>
        </is>
      </c>
      <c r="B9" s="6" t="inlineStr">
        <is>
          <t>When do I need a certificate of consent?</t>
        </is>
      </c>
      <c r="C9" s="6" t="inlineStr">
        <is>
          <t>When the value of the domestic building work is over $20,000 (it was $16,000 before 1 July 2026). Value means labour plus materials plus GST, including a market value for your own labour. Below that you can owner-build without consent, but you still need any building permit the work requires.</t>
        </is>
      </c>
    </row>
    <row r="10">
      <c r="A10" s="6" t="inlineStr">
        <is>
          <t>Eligibility &amp; certificate of consent</t>
        </is>
      </c>
      <c r="B10" s="6" t="inlineStr">
        <is>
          <t>Who is eligible?</t>
        </is>
      </c>
      <c r="C10" s="6" t="inlineStr">
        <is>
          <t>• You own the land, or you're a director of the owning company or a beneficiary of the owning trust
• The work is for a single dwelling (or ancillary to it)
• You live in it, or intend to (not required for a small second dwelling)
• You're not in the business of building
• No owner-builder permit in the past 5 years (with exceptions)
• You've passed the BPC eLearning assessment and done construction induction training
See the eligibility checklist.</t>
        </is>
      </c>
    </row>
    <row r="11">
      <c r="A11" s="6" t="inlineStr">
        <is>
          <t>Eligibility &amp; certificate of consent</t>
        </is>
      </c>
      <c r="B11" s="6" t="inlineStr">
        <is>
          <t>What is the eLearning assessment?</t>
        </is>
      </c>
      <c r="C11" s="6" t="inlineStr">
        <is>
          <t>A free online course and assessment run by the Building and Plumbing Commission. It covers your legal responsibilities, safety, contracts and the building process, and takes about 2–3 hours. You need a pass before applying for consent.</t>
        </is>
      </c>
    </row>
    <row r="12">
      <c r="A12" s="6" t="inlineStr">
        <is>
          <t>Eligibility &amp; certificate of consent</t>
        </is>
      </c>
      <c r="B12" s="6" t="inlineStr">
        <is>
          <t>Can I owner-build again within five years?</t>
        </is>
      </c>
      <c r="C12" s="6" t="inlineStr">
        <is>
          <t>Generally not on a different property. The exceptions are further work on the same home, building a small second dwelling, or an exemption granted by the BPC for special circumstances such as a substantial change in circumstances or hardship.</t>
        </is>
      </c>
    </row>
    <row r="13">
      <c r="A13" s="6" t="inlineStr">
        <is>
          <t>Eligibility &amp; certificate of consent</t>
        </is>
      </c>
      <c r="B13" s="6" t="inlineStr">
        <is>
          <t>Can I owner-build if my partner and I own the land together?</t>
        </is>
      </c>
      <c r="C13" s="6" t="inlineStr">
        <is>
          <t>Yes. Each owner-builder named needs to meet the requirements. The five-year rule also looks at people you co-own, or have co-owned, property with, so check both your histories.</t>
        </is>
      </c>
    </row>
    <row r="14">
      <c r="A14" s="6" t="inlineStr">
        <is>
          <t>Eligibility &amp; certificate of consent</t>
        </is>
      </c>
      <c r="B14" s="6" t="inlineStr">
        <is>
          <t>Can I owner-build a house to sell or rent out?</t>
        </is>
      </c>
      <c r="C14" s="6" t="inlineStr">
        <is>
          <t>Owner-builder consent is for a home you live in or intend to live in, apart from a small second dwelling. Building to sell or rent can put you "in the business of building", which requires registration.</t>
        </is>
      </c>
    </row>
    <row r="15">
      <c r="A15" s="6" t="inlineStr">
        <is>
          <t>Eligibility &amp; certificate of consent</t>
        </is>
      </c>
      <c r="B15" s="6" t="inlineStr">
        <is>
          <t>Who regulates owner-builders now: the VBA or the BPC?</t>
        </is>
      </c>
      <c r="C15" s="6" t="inlineStr">
        <is>
          <t>The Building and Plumbing Commission (BPC). It replaced the Victorian Building Authority, and from 1 July 2026 it also absorbed domestic building insurance (formerly VMIA) and dispute resolution (formerly DBDRV). Older guides and forms may still say VBA.</t>
        </is>
      </c>
    </row>
    <row r="16">
      <c r="A16" s="6" t="inlineStr">
        <is>
          <t>Permits &amp; inspections</t>
        </is>
      </c>
      <c r="B16" s="6" t="inlineStr">
        <is>
          <t>Do I need a planning permit and a building permit?</t>
        </is>
      </c>
      <c r="C16" s="6" t="inlineStr">
        <is>
          <t>You always need a building permit for a new home. You need a planning permit only if your zone or overlays require one, for example heritage, bushfire, flood, vegetation or some neighbourhood character controls. Check your Planning Property Report on VicPlan, and ask council if you're unsure.</t>
        </is>
      </c>
    </row>
    <row r="17">
      <c r="A17" s="6" t="inlineStr">
        <is>
          <t>Permits &amp; inspections</t>
        </is>
      </c>
      <c r="B17" s="6" t="inlineStr">
        <is>
          <t>Who issues the building permit?</t>
        </is>
      </c>
      <c r="C17" s="6" t="inlineStr">
        <is>
          <t>A relevant building surveyor (RBS) that you appoint. It can be a private surveyor or the council's. They assess your plans, issue the permit, carry out the mandatory inspections and issue the occupancy permit or certificate of final inspection.</t>
        </is>
      </c>
    </row>
    <row r="18">
      <c r="A18" s="6" t="inlineStr">
        <is>
          <t>Permits &amp; inspections</t>
        </is>
      </c>
      <c r="B18" s="6" t="inlineStr">
        <is>
          <t>What inspections are mandatory?</t>
        </is>
      </c>
      <c r="C18" s="6" t="inlineStr">
        <is>
          <t>Usually before pouring footings, before pouring the slab, at frame stage and at final. Your permit may add more, such as a pre-plaster or a retaining wall inspection. You must notify the RBS at each stage and not cover work before it's inspected.</t>
        </is>
      </c>
    </row>
    <row r="19">
      <c r="A19" s="6" t="inlineStr">
        <is>
          <t>Permits &amp; inspections</t>
        </is>
      </c>
      <c r="B19" s="6" t="inlineStr">
        <is>
          <t>What documents does the surveyor need at the end?</t>
        </is>
      </c>
      <c r="C19" s="6" t="inlineStr">
        <is>
          <t>Typically: plumbing compliance certificates, Certificate of Electrical Safety, waterproofing, termite and glazing certificates, insulation and energy compliance, smoke alarm certificate, and engineer sign-offs where required. Collect them as each trade finishes and don't release final payment until you have them.</t>
        </is>
      </c>
    </row>
    <row r="20">
      <c r="A20" s="6" t="inlineStr">
        <is>
          <t>Permits &amp; inspections</t>
        </is>
      </c>
      <c r="B20" s="6" t="inlineStr">
        <is>
          <t>What is an occupancy permit and why does it matter?</t>
        </is>
      </c>
      <c r="C20" s="6" t="inlineStr">
        <is>
          <t>It's the RBS confirming a new home is suitable to live in. It's an offence to occupy a new dwelling without one, and your lender and insurer will ask for it.</t>
        </is>
      </c>
    </row>
    <row r="21">
      <c r="A21" s="6" t="inlineStr">
        <is>
          <t>Permits &amp; inspections</t>
        </is>
      </c>
      <c r="B21" s="6" t="inlineStr">
        <is>
          <t>What does the 7-star energy rating mean for me?</t>
        </is>
      </c>
      <c r="C21" s="6" t="inlineStr">
        <is>
          <t>New Victorian homes must meet NCC 2022 energy efficiency: a 7-star NatHERS thermal rating plus a whole-of-home energy budget covering appliances, hot water and solar. Your energy assessor's report sets the insulation, glazing and fixed appliances, so buy exactly what it says.</t>
        </is>
      </c>
    </row>
    <row r="22">
      <c r="A22" s="6" t="inlineStr">
        <is>
          <t>Permits &amp; inspections</t>
        </is>
      </c>
      <c r="B22" s="6" t="inlineStr">
        <is>
          <t>Can I change the design during construction?</t>
        </is>
      </c>
      <c r="C22" s="6" t="inlineStr">
        <is>
          <t>Minor non-structural changes are usually fine. Anything affecting structure, siting, fire safety or energy compliance needs an amended permit from your RBS before you build it.</t>
        </is>
      </c>
    </row>
    <row r="23">
      <c r="A23" s="6" t="inlineStr">
        <is>
          <t>Trades &amp; contracts</t>
        </is>
      </c>
      <c r="B23" s="6" t="inlineStr">
        <is>
          <t>Do my trades need to be registered?</t>
        </is>
      </c>
      <c r="C23" s="6" t="inlineStr">
        <is>
          <t>Plumbers and gasfitters must be BPC licensed or registered, and electricians must be licensed by Energy Safe Victoria, regardless of job size. For other domestic building work over $10,000, the trade generally needs to be a registered domestic builder with a written major domestic building contract, with some single-trade exemptions. An increase in that threshold to $20,000 has been proposed.</t>
        </is>
      </c>
    </row>
    <row r="24">
      <c r="A24" s="6" t="inlineStr">
        <is>
          <t>Trades &amp; contracts</t>
        </is>
      </c>
      <c r="B24" s="6" t="inlineStr">
        <is>
          <t>How many quotes should I get?</t>
        </is>
      </c>
      <c r="C24" s="6" t="inlineStr">
        <is>
          <t>Three is the minimum per package. Five for big packages like slab, frame and roof. Send every tenderer the same RFQ pack so the prices are comparable, then level and score them with the tender tool.</t>
        </is>
      </c>
    </row>
    <row r="25">
      <c r="A25" s="6" t="inlineStr">
        <is>
          <t>Trades &amp; contracts</t>
        </is>
      </c>
      <c r="B25" s="6" t="inlineStr">
        <is>
          <t>Should I always pick the cheapest quote?</t>
        </is>
      </c>
      <c r="C25" s="6" t="inlineStr">
        <is>
          <t>No. Level the quotes first by adding the cost of exclusions and normalising provisional sums. Then weigh price against experience, availability, quality and communication. A quote well below the others usually means something is missing from the scope.</t>
        </is>
      </c>
    </row>
    <row r="26">
      <c r="A26" s="6" t="inlineStr">
        <is>
          <t>Trades &amp; contracts</t>
        </is>
      </c>
      <c r="B26" s="6" t="inlineStr">
        <is>
          <t>How much deposit can a trade ask for?</t>
        </is>
      </c>
      <c r="C26" s="6" t="inlineStr">
        <is>
          <t>Under a major domestic building contract: no more than 10% if the contract price is under $20,000, and 5% if it's $20,000 or more. For smaller trade jobs, keep deposits minimal. Pay for completed, inspected work, not in advance.</t>
        </is>
      </c>
    </row>
    <row r="27">
      <c r="A27" s="6" t="inlineStr">
        <is>
          <t>Trades &amp; contracts</t>
        </is>
      </c>
      <c r="B27" s="6" t="inlineStr">
        <is>
          <t>What should be in a trade contract?</t>
        </is>
      </c>
      <c r="C27" s="6" t="inlineStr">
        <is>
          <t>Scope tied to drawing revisions, inclusions and exclusions, price and GST, program, payment milestones, variations in writing, defects period, insurance, SWMS and site rules, and compliance certificates required before final payment. See the must-have clauses.</t>
        </is>
      </c>
    </row>
    <row r="28">
      <c r="A28" s="6" t="inlineStr">
        <is>
          <t>Trades &amp; contracts</t>
        </is>
      </c>
      <c r="B28" s="6" t="inlineStr">
        <is>
          <t>What if a trade does defective work?</t>
        </is>
      </c>
      <c r="C28" s="6" t="inlineStr">
        <is>
          <t>Document it with photos, notify them in writing with a reasonable time to fix, and meet on site. If it's unresolved, use the BPC's domestic building dispute resolution, then VCAT. Statutory warranties under the Domestic Building Contracts Act protect you.</t>
        </is>
      </c>
    </row>
    <row r="29">
      <c r="A29" s="6" t="inlineStr">
        <is>
          <t>Trades &amp; contracts</t>
        </is>
      </c>
      <c r="B29" s="6" t="inlineStr">
        <is>
          <t>Can I hire workers directly and pay them wages?</t>
        </is>
      </c>
      <c r="C29" s="6" t="inlineStr">
        <is>
          <t>You can, but then you're an employer, with obligations for WorkCover insurance, superannuation, PAYG, awards and OHS. Most owner-builders engage trades as contractors with their own ABN and insurance.</t>
        </is>
      </c>
    </row>
    <row r="30">
      <c r="A30" s="6" t="inlineStr">
        <is>
          <t>Money &amp; finance</t>
        </is>
      </c>
      <c r="B30" s="6" t="inlineStr">
        <is>
          <t>Will a bank lend to an owner-builder?</t>
        </is>
      </c>
      <c r="C30" s="6" t="inlineStr">
        <is>
          <t>Some will, often with a lower maximum loan-to-value ratio, a detailed costing, fixed-price quotes, and progress draws released only after a valuer inspects each stage. Talk to a broker who knows construction lending before you buy land or commit to a design.</t>
        </is>
      </c>
    </row>
    <row r="31">
      <c r="A31" s="6" t="inlineStr">
        <is>
          <t>Money &amp; finance</t>
        </is>
      </c>
      <c r="B31" s="6" t="inlineStr">
        <is>
          <t>How much contingency should I allow?</t>
        </is>
      </c>
      <c r="C31" s="6" t="inlineStr">
        <is>
          <t>At least 10%, and 15% for sloping, rocky or bushfire-prone sites or renovations. Contingency is for risks, not upgrades. Track it separately in your budget.</t>
        </is>
      </c>
    </row>
    <row r="32">
      <c r="A32" s="6" t="inlineStr">
        <is>
          <t>Money &amp; finance</t>
        </is>
      </c>
      <c r="B32" s="6" t="inlineStr">
        <is>
          <t>Can I get the First Home Owner Grant?</t>
        </is>
      </c>
      <c r="C32" s="6" t="inlineStr">
        <is>
          <t>Owner-builders building their first home may be eligible, subject to value caps, residence requirements and timing rules such as when the foundations are laid. Check the current rules with the State Revenue Office before you start.</t>
        </is>
      </c>
    </row>
    <row r="33">
      <c r="A33" s="6" t="inlineStr">
        <is>
          <t>Money &amp; finance</t>
        </is>
      </c>
      <c r="B33" s="6" t="inlineStr">
        <is>
          <t>Do I pay or claim GST?</t>
        </is>
      </c>
      <c r="C33" s="6" t="inlineStr">
        <is>
          <t>If you're building your own home to live in, you're generally not carrying on an enterprise, so you pay GST on trade invoices but can't claim it back. Building to sell can change that, so get tax advice.</t>
        </is>
      </c>
    </row>
    <row r="34">
      <c r="A34" s="6" t="inlineStr">
        <is>
          <t>Money &amp; finance</t>
        </is>
      </c>
      <c r="B34" s="6" t="inlineStr">
        <is>
          <t>How do I stop the budget blowing out?</t>
        </is>
      </c>
      <c r="C34" s="6" t="inlineStr">
        <is>
          <t>Freeze scope at gateway G1. Get fixed prices wherever you can. Use written variations. Track Budget → Committed → Paid → Forecast every week. And never pay ahead of work.</t>
        </is>
      </c>
    </row>
    <row r="35">
      <c r="A35" s="6" t="inlineStr">
        <is>
          <t>Safety &amp; insurance</t>
        </is>
      </c>
      <c r="B35" s="6" t="inlineStr">
        <is>
          <t>Am I responsible for safety on site?</t>
        </is>
      </c>
      <c r="C35" s="6" t="inlineStr">
        <is>
          <t>Yes. As the person managing or controlling the site you have duties under the OHS Act 2004. For projects of $350,000 or more you're the principal contractor unless you appoint one. That means a safety coordination plan, site induction, SWMS management and signage.</t>
        </is>
      </c>
    </row>
    <row r="36">
      <c r="A36" s="6" t="inlineStr">
        <is>
          <t>Safety &amp; insurance</t>
        </is>
      </c>
      <c r="B36" s="6" t="inlineStr">
        <is>
          <t>What is a SWMS?</t>
        </is>
      </c>
      <c r="C36" s="6" t="inlineStr">
        <is>
          <t>A Safe Work Method Statement is required before any high-risk construction work, such as work at heights over 2 m, trenches over 1.5 m, structural alterations or work near powerlines. The trade prepares it. You check it's on site and being followed.</t>
        </is>
      </c>
    </row>
    <row r="37">
      <c r="A37" s="6" t="inlineStr">
        <is>
          <t>Safety &amp; insurance</t>
        </is>
      </c>
      <c r="B37" s="6" t="inlineStr">
        <is>
          <t>What insurance do I need?</t>
        </is>
      </c>
      <c r="C37" s="6" t="inlineStr">
        <is>
          <t>Construction (contract works) insurance and public liability are strongly recommended, and lenders usually require them. Also consider personal accident cover. Check every trade's public liability and WorkCover certificates of currency, and track their expiry dates.</t>
        </is>
      </c>
    </row>
    <row r="38">
      <c r="A38" s="6" t="inlineStr">
        <is>
          <t>Safety &amp; insurance</t>
        </is>
      </c>
      <c r="B38" s="6" t="inlineStr">
        <is>
          <t>Does everyone on site need a white card?</t>
        </is>
      </c>
      <c r="C38" s="6" t="inlineStr">
        <is>
          <t>Yes. Anyone doing construction work needs construction induction training, and so do you. It's also part of the owner-builder eligibility criteria.</t>
        </is>
      </c>
    </row>
    <row r="39">
      <c r="A39" s="6" t="inlineStr">
        <is>
          <t>Selling &amp; after completion</t>
        </is>
      </c>
      <c r="B39" s="6" t="inlineStr">
        <is>
          <t>What if I sell within 6.5 years?</t>
        </is>
      </c>
      <c r="C39" s="6" t="inlineStr">
        <is>
          <t>Under s137B of the Building Act you must, before signing the contract of sale: (1) get a defects report from a prescribed building practitioner, no more than 6 months old, on the BPC template; and (2) for work over $20,000, comply with the statutory insurance scheme by buying owner-builder cover. The buyer gets copies. Selling without them is an offence, and the buyer may be able to end the contract.</t>
        </is>
      </c>
    </row>
    <row r="40">
      <c r="A40" s="6" t="inlineStr">
        <is>
          <t>Selling &amp; after completion</t>
        </is>
      </c>
      <c r="B40" s="6" t="inlineStr">
        <is>
          <t>What changed for owner-builder insurance on 1 July 2026?</t>
        </is>
      </c>
      <c r="C40" s="6" t="inlineStr">
        <is>
          <t>The old last-resort domestic building insurance was replaced by the First Resort Home Warranty Scheme, run by the BPC. Buyers can claim without the owner-builder having died, disappeared or become insolvent. The trigger threshold rose to $20,000.</t>
        </is>
      </c>
    </row>
    <row r="41">
      <c r="A41" s="6" t="inlineStr">
        <is>
          <t>Selling &amp; after completion</t>
        </is>
      </c>
      <c r="B41" s="6" t="inlineStr">
        <is>
          <t>What records should I keep, and for how long?</t>
        </is>
      </c>
      <c r="C41" s="6" t="inlineStr">
        <is>
          <t>Keep everything for at least 10 years: permits, stamped plans, certificates, contracts, invoices, warranties, photos and the site diary. A complete handover file makes selling, insurance claims and future renovations much easier. My Build keeps it all in one place.</t>
        </is>
      </c>
    </row>
    <row r="42">
      <c r="A42" s="6" t="inlineStr">
        <is>
          <t>Selling &amp; after completion</t>
        </is>
      </c>
      <c r="B42" s="6" t="inlineStr">
        <is>
          <t>Am I liable for defects after I finish?</t>
        </is>
      </c>
      <c r="C42" s="6" t="inlineStr">
        <is>
          <t>If you sell, the buyer can rely on statutory warranties for owner-builder work for a period, and the insurance scheme backs claims. In practice that's why the defects report and insurance exist. Build it right, document it, and fix issues before sale.</t>
        </is>
      </c>
    </row>
  </sheetData>
  <sheetProtection selectLockedCells="0" selectUnlockedCells="0" sheet="1" objects="0" insertRows="1" insertHyperlinks="1" autoFilter="0" scenarios="0" formatColumns="1" deleteColumns="1" insertColumns="1" pivotTables="1" deleteRows="1" formatCells="1" formatRows="1" sort="1"/>
  <autoFilter ref="A3:C42"/>
  <pageMargins left="0.75" right="0.75" top="1" bottom="1" header="0.5" footer="0.5"/>
</worksheet>
</file>

<file path=xl/worksheets/sheet23.xml><?xml version="1.0" encoding="utf-8"?>
<worksheet xmlns="http://schemas.openxmlformats.org/spreadsheetml/2006/main">
  <sheetPr>
    <tabColor rgb="008A9BAE"/>
    <outlinePr summaryBelow="1" summaryRight="1"/>
    <pageSetUpPr/>
  </sheetPr>
  <dimension ref="A1:F73"/>
  <sheetViews>
    <sheetView workbookViewId="0">
      <selection activeCell="A1" sqref="A1"/>
    </sheetView>
  </sheetViews>
  <sheetFormatPr baseColWidth="8" defaultRowHeight="15"/>
  <cols>
    <col width="36" customWidth="1" min="1" max="1"/>
    <col width="30" customWidth="1" min="2" max="2"/>
    <col width="30" customWidth="1" min="3" max="3"/>
    <col width="30" customWidth="1" min="4" max="4"/>
    <col width="30" customWidth="1" min="5" max="5"/>
    <col width="22" customWidth="1" min="6" max="6"/>
  </cols>
  <sheetData>
    <row r="1" ht="24" customHeight="1">
      <c r="A1" s="1" t="inlineStr">
        <is>
          <t>Reference</t>
        </is>
      </c>
    </row>
    <row r="2">
      <c r="A2" s="2" t="inlineStr">
        <is>
          <t>Key numbers, contract types, tendering and who does what. Read-only.</t>
        </is>
      </c>
    </row>
    <row r="3">
      <c r="A3" s="1" t="inlineStr">
        <is>
          <t>Key numbers</t>
        </is>
      </c>
    </row>
    <row r="4">
      <c r="A4" s="3" t="inlineStr">
        <is>
          <t>Rule</t>
        </is>
      </c>
      <c r="B4" s="3" t="inlineStr">
        <is>
          <t>Figure</t>
        </is>
      </c>
      <c r="C4" s="3" t="inlineStr">
        <is>
          <t>Where it comes from</t>
        </is>
      </c>
    </row>
    <row r="5">
      <c r="A5" s="6" t="inlineStr">
        <is>
          <t>Certificate of consent required</t>
        </is>
      </c>
      <c r="B5" s="6" t="inlineStr">
        <is>
          <t>Work over $20,000 (was $16,000 before 1 July 2026)</t>
        </is>
      </c>
      <c r="C5" s="6" t="inlineStr">
        <is>
          <t>Building Act 1993, BPC</t>
        </is>
      </c>
    </row>
    <row r="6">
      <c r="A6" s="6" t="inlineStr">
        <is>
          <t>Owner-builder permit frequency</t>
        </is>
      </c>
      <c r="B6" s="6" t="inlineStr">
        <is>
          <t>1 every 5 years (exemptions apply)</t>
        </is>
      </c>
      <c r="C6" s="6" t="inlineStr">
        <is>
          <t>Building Act s25E, BPC</t>
        </is>
      </c>
    </row>
    <row r="7">
      <c r="A7" s="6" t="inlineStr">
        <is>
          <t>Major domestic building contract / registered builder</t>
        </is>
      </c>
      <c r="B7" s="6" t="inlineStr">
        <is>
          <t>Work over $10,000 (proposed increase to $20,000)</t>
        </is>
      </c>
      <c r="C7" s="6" t="inlineStr">
        <is>
          <t>Domestic Building Contracts Act 1995</t>
        </is>
      </c>
    </row>
    <row r="8">
      <c r="A8" s="6" t="inlineStr">
        <is>
          <t>Principal contractor (OHS)</t>
        </is>
      </c>
      <c r="B8" s="6" t="inlineStr">
        <is>
          <t>Projects of $350,000 or more</t>
        </is>
      </c>
      <c r="C8" s="6" t="inlineStr">
        <is>
          <t>OHS Regulations 2017</t>
        </is>
      </c>
    </row>
    <row r="9">
      <c r="A9" s="6" t="inlineStr">
        <is>
          <t>Selling: defects report &amp; insurance</t>
        </is>
      </c>
      <c r="B9" s="6" t="inlineStr">
        <is>
          <t>Within 6 yrs 6 mths of completion. Report ≤ 6 months old</t>
        </is>
      </c>
      <c r="C9" s="6" t="inlineStr">
        <is>
          <t>Building Act s137B</t>
        </is>
      </c>
    </row>
    <row r="10">
      <c r="A10" s="6" t="inlineStr">
        <is>
          <t>Energy efficiency (new homes)</t>
        </is>
      </c>
      <c r="B10" s="6" t="inlineStr">
        <is>
          <t>7-star NatHERS + whole-of-home</t>
        </is>
      </c>
      <c r="C10" s="6" t="inlineStr">
        <is>
          <t>NCC 2022, Victoria from 1 May 2024</t>
        </is>
      </c>
    </row>
    <row r="11">
      <c r="A11" s="6" t="inlineStr">
        <is>
          <t>Building permit levy</t>
        </is>
      </c>
      <c r="B11" s="6" t="inlineStr">
        <is>
          <t>Work over $10,000</t>
        </is>
      </c>
      <c r="C11" s="6" t="inlineStr">
        <is>
          <t>Building Act, collected by the RBS</t>
        </is>
      </c>
    </row>
    <row r="13">
      <c r="A13" s="1" t="inlineStr">
        <is>
          <t>Contract types</t>
        </is>
      </c>
    </row>
    <row r="14">
      <c r="A14" s="3" t="inlineStr">
        <is>
          <t>Type</t>
        </is>
      </c>
      <c r="B14" s="3" t="inlineStr">
        <is>
          <t>How it's priced</t>
        </is>
      </c>
      <c r="C14" s="3" t="inlineStr">
        <is>
          <t>Best for</t>
        </is>
      </c>
      <c r="D14" s="3" t="inlineStr">
        <is>
          <t>Watch out for</t>
        </is>
      </c>
    </row>
    <row r="15">
      <c r="A15" s="6" t="inlineStr">
        <is>
          <t>Lump sum (fixed price)</t>
        </is>
      </c>
      <c r="B15" s="6" t="inlineStr">
        <is>
          <t>One price for a defined scope</t>
        </is>
      </c>
      <c r="C15" s="6" t="inlineStr">
        <is>
          <t>Well-documented packages: slab, roof, electrical</t>
        </is>
      </c>
      <c r="D15" s="6" t="inlineStr">
        <is>
          <t>Vague scope means variations. Exclusions hide cost.</t>
        </is>
      </c>
    </row>
    <row r="16">
      <c r="A16" s="6" t="inlineStr">
        <is>
          <t>Schedule of rates</t>
        </is>
      </c>
      <c r="B16" s="6" t="inlineStr">
        <is>
          <t>$ per m², per point, per 1,000 bricks</t>
        </is>
      </c>
      <c r="C16" s="6" t="inlineStr">
        <is>
          <t>Measurable work: bricks, plaster, tiles</t>
        </is>
      </c>
      <c r="D16" s="6" t="inlineStr">
        <is>
          <t>You carry the quantity risk. Measure it yourself.</t>
        </is>
      </c>
    </row>
    <row r="17">
      <c r="A17" s="6" t="inlineStr">
        <is>
          <t>Labour only</t>
        </is>
      </c>
      <c r="B17" s="6" t="inlineStr">
        <is>
          <t>Labour price; you supply the materials</t>
        </is>
      </c>
      <c r="C17" s="6" t="inlineStr">
        <is>
          <t>Carpentry, fixing, painting</t>
        </is>
      </c>
      <c r="D17" s="6" t="inlineStr">
        <is>
          <t>You carry material risk and waste. Deliveries must be on time.</t>
        </is>
      </c>
    </row>
    <row r="18">
      <c r="A18" s="6" t="inlineStr">
        <is>
          <t>Supply only</t>
        </is>
      </c>
      <c r="B18" s="6" t="inlineStr">
        <is>
          <t>Materials delivered</t>
        </is>
      </c>
      <c r="C18" s="6" t="inlineStr">
        <is>
          <t>Frames, trusses, windows, appliances</t>
        </is>
      </c>
      <c r="D18" s="6" t="inlineStr">
        <is>
          <t>Check against the plans. Delivery dates. Damage on delivery.</t>
        </is>
      </c>
    </row>
    <row r="19">
      <c r="A19" s="6" t="inlineStr">
        <is>
          <t>Supply &amp; install</t>
        </is>
      </c>
      <c r="B19" s="6" t="inlineStr">
        <is>
          <t>Materials + labour</t>
        </is>
      </c>
      <c r="C19" s="6" t="inlineStr">
        <is>
          <t>Roofing, insulation, cabinetry</t>
        </is>
      </c>
      <c r="D19" s="6" t="inlineStr">
        <is>
          <t>Confirm the spec and brand. Warranty covers both parts.</t>
        </is>
      </c>
    </row>
    <row r="20">
      <c r="A20" s="6" t="inlineStr">
        <is>
          <t>Cost plus / do &amp; charge</t>
        </is>
      </c>
      <c r="B20" s="6" t="inlineStr">
        <is>
          <t>Actual cost + margin or hourly rate</t>
        </is>
      </c>
      <c r="C20" s="6" t="inlineStr">
        <is>
          <t>Small unknowns, repairs, excavation in rock</t>
        </is>
      </c>
      <c r="D20" s="6" t="inlineStr">
        <is>
          <t>No price certainty. Cap it and require daily dockets.</t>
        </is>
      </c>
    </row>
    <row r="22">
      <c r="A22" s="1" t="inlineStr">
        <is>
          <t>What goes in an RFQ pack</t>
        </is>
      </c>
    </row>
    <row r="23">
      <c r="A23" s="3" t="inlineStr">
        <is>
          <t>What goes in an RFQ pack</t>
        </is>
      </c>
    </row>
    <row r="24">
      <c r="A24" s="6" t="inlineStr">
        <is>
          <t>Cover letter: package, address, closing date, contact</t>
        </is>
      </c>
    </row>
    <row r="25">
      <c r="A25" s="6" t="inlineStr">
        <is>
          <t>Scope of works + inclusions list</t>
        </is>
      </c>
    </row>
    <row r="26">
      <c r="A26" s="6" t="inlineStr">
        <is>
          <t>Drawings &amp; specification (with revision numbers)</t>
        </is>
      </c>
    </row>
    <row r="27">
      <c r="A27" s="6" t="inlineStr">
        <is>
          <t>Engineering &amp; energy report extracts</t>
        </is>
      </c>
    </row>
    <row r="28">
      <c r="A28" s="6" t="inlineStr">
        <is>
          <t>Program: target start and duration</t>
        </is>
      </c>
    </row>
    <row r="29">
      <c r="A29" s="6" t="inlineStr">
        <is>
          <t>Site info: access, power, water, slope, photos</t>
        </is>
      </c>
    </row>
    <row r="30">
      <c r="A30" s="6" t="inlineStr">
        <is>
          <t>Your draft trade agreement (see Contracts)</t>
        </is>
      </c>
    </row>
    <row r="31">
      <c r="A31" s="6" t="inlineStr">
        <is>
          <t>Pricing schedule so every quote breaks down the same way</t>
        </is>
      </c>
    </row>
    <row r="32">
      <c r="A32" s="6" t="inlineStr">
        <is>
          <t>What to return: licence, insurance, ABN, SWMS, references</t>
        </is>
      </c>
    </row>
    <row r="34">
      <c r="A34" s="1" t="inlineStr">
        <is>
          <t>Levelling: making quotes comparable</t>
        </is>
      </c>
    </row>
    <row r="35">
      <c r="A35" s="3" t="inlineStr">
        <is>
          <t>Levelling: making quotes comparable</t>
        </is>
      </c>
    </row>
    <row r="36">
      <c r="A36" s="6" t="inlineStr">
        <is>
          <t>Exclusions: if Quote A excludes rubbish removal, add what it will cost you</t>
        </is>
      </c>
    </row>
    <row r="37">
      <c r="A37" s="6" t="inlineStr">
        <is>
          <t>Provisional sums: replace each tenderer's allowance with the same figure</t>
        </is>
      </c>
    </row>
    <row r="38">
      <c r="A38" s="6" t="inlineStr">
        <is>
          <t>Scope gaps: price anything missing against the RFQ</t>
        </is>
      </c>
    </row>
    <row r="39">
      <c r="A39" s="6" t="inlineStr">
        <is>
          <t>Risk: add an allowance for vague or heavily qualified quotes</t>
        </is>
      </c>
    </row>
    <row r="40">
      <c r="A40" s="6" t="inlineStr">
        <is>
          <t>GST: compare everything inc. GST</t>
        </is>
      </c>
    </row>
    <row r="41">
      <c r="A41" s="6" t="inlineStr">
        <is>
          <t>Result: a levelled price for each tenderer, like-for-like</t>
        </is>
      </c>
    </row>
    <row r="43">
      <c r="A43" s="1" t="inlineStr">
        <is>
          <t>Red flags</t>
        </is>
      </c>
    </row>
    <row r="44">
      <c r="A44" s="3" t="inlineStr">
        <is>
          <t>Red flags</t>
        </is>
      </c>
    </row>
    <row r="45">
      <c r="A45" s="6" t="inlineStr">
        <is>
          <t>Price more than 15% under the median: something is probably missing</t>
        </is>
      </c>
    </row>
    <row r="46">
      <c r="A46" s="6" t="inlineStr">
        <is>
          <t>Deposit request above the statutory cap</t>
        </is>
      </c>
    </row>
    <row r="47">
      <c r="A47" s="6" t="inlineStr">
        <is>
          <t>No written quote, or "cash price"</t>
        </is>
      </c>
    </row>
    <row r="48">
      <c r="A48" s="6" t="inlineStr">
        <is>
          <t>Registration or insurance in a different name</t>
        </is>
      </c>
    </row>
    <row r="49">
      <c r="A49" s="6" t="inlineStr">
        <is>
          <t>Long exclusions list or "subject to" everywhere</t>
        </is>
      </c>
    </row>
    <row r="50">
      <c r="A50" s="6" t="inlineStr">
        <is>
          <t>Can't provide references or recent jobs</t>
        </is>
      </c>
    </row>
    <row r="51">
      <c r="A51" s="6" t="inlineStr">
        <is>
          <t>Pressure to sign immediately</t>
        </is>
      </c>
    </row>
    <row r="53">
      <c r="A53" s="1" t="inlineStr">
        <is>
          <t>1. Tenderers &amp; quotes
+ Add tenderer
Export CSV
Print
Reset to example
2. Criteria weights
3. Results
How the scoring works</t>
        </is>
      </c>
    </row>
    <row r="54">
      <c r="A54" s="3" t="inlineStr">
        <is>
          <t>1. Tenderers &amp; quotes
+ Add tenderer
Export CSV
Print
Reset to example
2. Criteria weights
3. Results
How the scoring works</t>
        </is>
      </c>
    </row>
    <row r="55">
      <c r="A55" s="6" t="inlineStr">
        <is>
          <t>Compliance gates are pass / fail. A tenderer who fails any gate (not registered, no current insurance, no SWMS, non-conforming scope) is excluded from ranking, whatever the price.</t>
        </is>
      </c>
    </row>
    <row r="56">
      <c r="A56" s="6" t="inlineStr">
        <is>
          <t>Levelled price = quoted price + cost of exclusions + provisional sum adjustment + risk allowance.</t>
        </is>
      </c>
    </row>
    <row r="57">
      <c r="A57" s="6" t="inlineStr">
        <is>
          <t>Price score = lowest compliant levelled price ÷ this levelled price × 10. The cheapest scores 10.</t>
        </is>
      </c>
    </row>
    <row r="58">
      <c r="A58" s="6" t="inlineStr">
        <is>
          <t>Non-price criteria are scored 0–10 by you: experience, program, quality, communication, warranty.</t>
        </is>
      </c>
    </row>
    <row r="59">
      <c r="A59" s="6" t="inlineStr">
        <is>
          <t>Weighted total = Σ (score × weight) ÷ 10, out of 100. Weights must add to 100%.</t>
        </is>
      </c>
    </row>
    <row r="60">
      <c r="A60" s="6" t="inlineStr">
        <is>
          <t>Quotes more than 15% below the median levelled price are flagged Check scope.</t>
        </is>
      </c>
    </row>
    <row r="62">
      <c r="A62" s="1" t="inlineStr">
        <is>
          <t>Who does what (RACI)</t>
        </is>
      </c>
    </row>
    <row r="63">
      <c r="A63" s="3" t="inlineStr">
        <is>
          <t>Activity</t>
        </is>
      </c>
      <c r="B63" s="3" t="inlineStr">
        <is>
          <t>You (owner-builder)</t>
        </is>
      </c>
      <c r="C63" s="3" t="inlineStr">
        <is>
          <t>Designer / engineer</t>
        </is>
      </c>
      <c r="D63" s="3" t="inlineStr">
        <is>
          <t>Building surveyor</t>
        </is>
      </c>
      <c r="E63" s="3" t="inlineStr">
        <is>
          <t>Trades</t>
        </is>
      </c>
      <c r="F63" s="3" t="inlineStr">
        <is>
          <t>Lender</t>
        </is>
      </c>
    </row>
    <row r="64">
      <c r="A64" s="6" t="inlineStr">
        <is>
          <t>Design brief &amp; scope</t>
        </is>
      </c>
      <c r="B64" s="6" t="inlineStr">
        <is>
          <t>A/R</t>
        </is>
      </c>
      <c r="C64" s="6" t="inlineStr">
        <is>
          <t>C</t>
        </is>
      </c>
      <c r="D64" s="6" t="inlineStr">
        <is>
          <t>I</t>
        </is>
      </c>
      <c r="E64" s="6" t="inlineStr">
        <is>
          <t>–</t>
        </is>
      </c>
      <c r="F64" s="6" t="inlineStr">
        <is>
          <t>I</t>
        </is>
      </c>
    </row>
    <row r="65">
      <c r="A65" s="6" t="inlineStr">
        <is>
          <t>Working drawings &amp; engineering</t>
        </is>
      </c>
      <c r="B65" s="6" t="inlineStr">
        <is>
          <t>A</t>
        </is>
      </c>
      <c r="C65" s="6" t="inlineStr">
        <is>
          <t>R</t>
        </is>
      </c>
      <c r="D65" s="6" t="inlineStr">
        <is>
          <t>C</t>
        </is>
      </c>
      <c r="E65" s="6" t="inlineStr">
        <is>
          <t>–</t>
        </is>
      </c>
      <c r="F65" s="6" t="inlineStr">
        <is>
          <t>I</t>
        </is>
      </c>
    </row>
    <row r="66">
      <c r="A66" s="6" t="inlineStr">
        <is>
          <t>Certificate of consent</t>
        </is>
      </c>
      <c r="B66" s="6" t="inlineStr">
        <is>
          <t>A/R</t>
        </is>
      </c>
      <c r="C66" s="6" t="inlineStr">
        <is>
          <t>–</t>
        </is>
      </c>
      <c r="D66" s="6" t="inlineStr">
        <is>
          <t>I</t>
        </is>
      </c>
      <c r="E66" s="6" t="inlineStr">
        <is>
          <t>–</t>
        </is>
      </c>
      <c r="F66" s="6" t="inlineStr">
        <is>
          <t>I</t>
        </is>
      </c>
    </row>
    <row r="67">
      <c r="A67" s="6" t="inlineStr">
        <is>
          <t>Building permit</t>
        </is>
      </c>
      <c r="B67" s="6" t="inlineStr">
        <is>
          <t>A</t>
        </is>
      </c>
      <c r="C67" s="6" t="inlineStr">
        <is>
          <t>C</t>
        </is>
      </c>
      <c r="D67" s="6" t="inlineStr">
        <is>
          <t>R</t>
        </is>
      </c>
      <c r="E67" s="6" t="inlineStr">
        <is>
          <t>–</t>
        </is>
      </c>
      <c r="F67" s="6" t="inlineStr">
        <is>
          <t>I</t>
        </is>
      </c>
    </row>
    <row r="68">
      <c r="A68" s="6" t="inlineStr">
        <is>
          <t>Tendering &amp; contracts</t>
        </is>
      </c>
      <c r="B68" s="6" t="inlineStr">
        <is>
          <t>A/R</t>
        </is>
      </c>
      <c r="C68" s="6" t="inlineStr">
        <is>
          <t>C</t>
        </is>
      </c>
      <c r="D68" s="6" t="inlineStr">
        <is>
          <t>–</t>
        </is>
      </c>
      <c r="E68" s="6" t="inlineStr">
        <is>
          <t>C</t>
        </is>
      </c>
      <c r="F68" s="6" t="inlineStr">
        <is>
          <t>I</t>
        </is>
      </c>
    </row>
    <row r="69">
      <c r="A69" s="6" t="inlineStr">
        <is>
          <t>Site safety &amp; coordination</t>
        </is>
      </c>
      <c r="B69" s="6" t="inlineStr">
        <is>
          <t>A/R</t>
        </is>
      </c>
      <c r="C69" s="6" t="inlineStr">
        <is>
          <t>–</t>
        </is>
      </c>
      <c r="D69" s="6" t="inlineStr">
        <is>
          <t>–</t>
        </is>
      </c>
      <c r="E69" s="6" t="inlineStr">
        <is>
          <t>R (own work)</t>
        </is>
      </c>
      <c r="F69" s="6" t="inlineStr">
        <is>
          <t>–</t>
        </is>
      </c>
    </row>
    <row r="70">
      <c r="A70" s="6" t="inlineStr">
        <is>
          <t>Mandatory inspections</t>
        </is>
      </c>
      <c r="B70" s="6" t="inlineStr">
        <is>
          <t>A (notify)</t>
        </is>
      </c>
      <c r="C70" s="6" t="inlineStr">
        <is>
          <t>C</t>
        </is>
      </c>
      <c r="D70" s="6" t="inlineStr">
        <is>
          <t>R</t>
        </is>
      </c>
      <c r="E70" s="6" t="inlineStr">
        <is>
          <t>C</t>
        </is>
      </c>
      <c r="F70" s="6" t="inlineStr">
        <is>
          <t>I</t>
        </is>
      </c>
    </row>
    <row r="71">
      <c r="A71" s="6" t="inlineStr">
        <is>
          <t>Trade workmanship &amp; certificates</t>
        </is>
      </c>
      <c r="B71" s="6" t="inlineStr">
        <is>
          <t>A</t>
        </is>
      </c>
      <c r="C71" s="6" t="inlineStr">
        <is>
          <t>–</t>
        </is>
      </c>
      <c r="D71" s="6" t="inlineStr">
        <is>
          <t>C</t>
        </is>
      </c>
      <c r="E71" s="6" t="inlineStr">
        <is>
          <t>R</t>
        </is>
      </c>
      <c r="F71" s="6" t="inlineStr">
        <is>
          <t>–</t>
        </is>
      </c>
    </row>
    <row r="72">
      <c r="A72" s="6" t="inlineStr">
        <is>
          <t>Progress claims &amp; payments</t>
        </is>
      </c>
      <c r="B72" s="6" t="inlineStr">
        <is>
          <t>A/R</t>
        </is>
      </c>
      <c r="C72" s="6" t="inlineStr">
        <is>
          <t>–</t>
        </is>
      </c>
      <c r="D72" s="6" t="inlineStr">
        <is>
          <t>–</t>
        </is>
      </c>
      <c r="E72" s="6" t="inlineStr">
        <is>
          <t>C</t>
        </is>
      </c>
      <c r="F72" s="6" t="inlineStr">
        <is>
          <t>R (drawdown)</t>
        </is>
      </c>
    </row>
    <row r="73">
      <c r="A73" s="6" t="inlineStr">
        <is>
          <t>Occupancy permit</t>
        </is>
      </c>
      <c r="B73" s="6" t="inlineStr">
        <is>
          <t>A</t>
        </is>
      </c>
      <c r="C73" s="6" t="inlineStr">
        <is>
          <t>–</t>
        </is>
      </c>
      <c r="D73" s="6" t="inlineStr">
        <is>
          <t>R</t>
        </is>
      </c>
      <c r="E73" s="6" t="inlineStr">
        <is>
          <t>C</t>
        </is>
      </c>
      <c r="F73" s="6" t="inlineStr">
        <is>
          <t>I</t>
        </is>
      </c>
    </row>
  </sheetData>
  <sheetProtection selectLockedCells="0" selectUnlockedCells="0" sheet="1" objects="0" insertRows="1" insertHyperlinks="1" autoFilter="0" scenarios="0" formatColumns="1" deleteColumns="1" insertColumns="1" pivotTables="1" deleteRows="1" formatCells="1" formatRows="1" sort="1"/>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Z2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48" customWidth="1" min="26" max="26"/>
  </cols>
  <sheetData>
    <row r="1">
      <c r="A1" s="11" t="inlineStr">
        <is>
          <t>Gates</t>
        </is>
      </c>
      <c r="B1" s="11" t="inlineStr">
        <is>
          <t>YesNo</t>
        </is>
      </c>
      <c r="C1" s="11" t="inlineStr">
        <is>
          <t>YesNoNA</t>
        </is>
      </c>
      <c r="D1" s="11" t="inlineStr">
        <is>
          <t>Status</t>
        </is>
      </c>
      <c r="E1" s="11" t="inlineStr">
        <is>
          <t>Requirement</t>
        </is>
      </c>
      <c r="F1" s="11" t="inlineStr">
        <is>
          <t>GateItemType</t>
        </is>
      </c>
      <c r="G1" s="11" t="inlineStr">
        <is>
          <t>Decision</t>
        </is>
      </c>
      <c r="H1" s="11" t="inlineStr">
        <is>
          <t>SelectionStatus</t>
        </is>
      </c>
      <c r="I1" s="11" t="inlineStr">
        <is>
          <t>SelectionCategory</t>
        </is>
      </c>
      <c r="J1" s="11" t="inlineStr">
        <is>
          <t>DiaryType</t>
        </is>
      </c>
      <c r="K1" s="11" t="inlineStr">
        <is>
          <t>HoldPoint</t>
        </is>
      </c>
      <c r="L1" s="11" t="inlineStr">
        <is>
          <t>FolderCode</t>
        </is>
      </c>
      <c r="M1" s="11" t="inlineStr">
        <is>
          <t>DocType</t>
        </is>
      </c>
      <c r="N1" s="11" t="inlineStr">
        <is>
          <t>DocStatus</t>
        </is>
      </c>
      <c r="O1" s="11" t="inlineStr">
        <is>
          <t>TradeStatus</t>
        </is>
      </c>
      <c r="P1" s="11" t="inlineStr">
        <is>
          <t>VariationStatus</t>
        </is>
      </c>
      <c r="Q1" s="11" t="inlineStr">
        <is>
          <t>VariationReason</t>
        </is>
      </c>
      <c r="R1" s="11" t="inlineStr">
        <is>
          <t>CertType</t>
        </is>
      </c>
      <c r="S1" s="11" t="inlineStr">
        <is>
          <t>Result</t>
        </is>
      </c>
      <c r="T1" s="11" t="inlineStr">
        <is>
          <t>LowMedHigh</t>
        </is>
      </c>
      <c r="U1" s="11" t="inlineStr">
        <is>
          <t>RiskStatus</t>
        </is>
      </c>
      <c r="V1" s="11" t="inlineStr">
        <is>
          <t>Level</t>
        </is>
      </c>
      <c r="W1" s="11" t="inlineStr">
        <is>
          <t>ContractType</t>
        </is>
      </c>
      <c r="Y1" s="11" t="inlineStr">
        <is>
          <t>Doc type</t>
        </is>
      </c>
      <c r="Z1" s="11" t="inlineStr">
        <is>
          <t>Meaning</t>
        </is>
      </c>
    </row>
    <row r="2">
      <c r="A2" s="31" t="inlineStr">
        <is>
          <t>G0</t>
        </is>
      </c>
      <c r="B2" s="31" t="inlineStr">
        <is>
          <t>Yes</t>
        </is>
      </c>
      <c r="C2" s="31" t="inlineStr">
        <is>
          <t>Yes</t>
        </is>
      </c>
      <c r="D2" s="31" t="inlineStr">
        <is>
          <t>Not started</t>
        </is>
      </c>
      <c r="E2" s="31" t="inlineStr">
        <is>
          <t>Must</t>
        </is>
      </c>
      <c r="F2" s="31" t="inlineStr">
        <is>
          <t>Entry criteria</t>
        </is>
      </c>
      <c r="G2" s="31" t="inlineStr">
        <is>
          <t>Go</t>
        </is>
      </c>
      <c r="H2" s="31" t="inlineStr">
        <is>
          <t>To choose</t>
        </is>
      </c>
      <c r="I2" s="31" t="inlineStr">
        <is>
          <t>Base</t>
        </is>
      </c>
      <c r="J2" s="31" t="inlineStr">
        <is>
          <t>Site diary</t>
        </is>
      </c>
      <c r="K2" s="31" t="inlineStr">
        <is>
          <t>Footings</t>
        </is>
      </c>
      <c r="L2" s="31" t="inlineStr">
        <is>
          <t>00</t>
        </is>
      </c>
      <c r="M2" s="31" t="inlineStr">
        <is>
          <t>DWG</t>
        </is>
      </c>
      <c r="N2" s="31" t="inlineStr">
        <is>
          <t>Draft</t>
        </is>
      </c>
      <c r="O2" s="31" t="inlineStr">
        <is>
          <t>Invited</t>
        </is>
      </c>
      <c r="P2" s="31" t="inlineStr">
        <is>
          <t>Pending</t>
        </is>
      </c>
      <c r="Q2" s="31" t="inlineStr">
        <is>
          <t>Owner change</t>
        </is>
      </c>
      <c r="R2" s="31" t="inlineStr">
        <is>
          <t>Inspection</t>
        </is>
      </c>
      <c r="S2" s="31" t="inlineStr">
        <is>
          <t>Pending</t>
        </is>
      </c>
      <c r="T2" s="31" t="inlineStr">
        <is>
          <t>Low</t>
        </is>
      </c>
      <c r="U2" s="31" t="inlineStr">
        <is>
          <t>Open</t>
        </is>
      </c>
      <c r="V2" s="31" t="inlineStr">
        <is>
          <t>Ground</t>
        </is>
      </c>
      <c r="W2" s="31" t="inlineStr">
        <is>
          <t>Lump sum (fixed price)</t>
        </is>
      </c>
      <c r="Y2" t="inlineStr">
        <is>
          <t>DWG</t>
        </is>
      </c>
      <c r="Z2" t="inlineStr">
        <is>
          <t>Drawing</t>
        </is>
      </c>
    </row>
    <row r="3">
      <c r="A3" s="31" t="inlineStr">
        <is>
          <t>G1</t>
        </is>
      </c>
      <c r="B3" s="31" t="inlineStr">
        <is>
          <t>No</t>
        </is>
      </c>
      <c r="C3" s="31" t="inlineStr">
        <is>
          <t>No</t>
        </is>
      </c>
      <c r="D3" s="31" t="inlineStr">
        <is>
          <t>In progress</t>
        </is>
      </c>
      <c r="E3" s="31" t="inlineStr">
        <is>
          <t>If applies</t>
        </is>
      </c>
      <c r="F3" s="31" t="inlineStr">
        <is>
          <t>Deliverable</t>
        </is>
      </c>
      <c r="G3" s="31" t="inlineStr">
        <is>
          <t>Hold</t>
        </is>
      </c>
      <c r="H3" s="31" t="inlineStr">
        <is>
          <t>Selected</t>
        </is>
      </c>
      <c r="I3" s="31" t="inlineStr">
        <is>
          <t>Frame &amp; roof</t>
        </is>
      </c>
      <c r="J3" s="31" t="inlineStr">
        <is>
          <t>Plan note</t>
        </is>
      </c>
      <c r="K3" s="31" t="inlineStr">
        <is>
          <t>Pre-slab</t>
        </is>
      </c>
      <c r="L3" s="31" t="inlineStr">
        <is>
          <t>01</t>
        </is>
      </c>
      <c r="M3" s="31" t="inlineStr">
        <is>
          <t>SPEC</t>
        </is>
      </c>
      <c r="N3" s="31" t="inlineStr">
        <is>
          <t>Current</t>
        </is>
      </c>
      <c r="O3" s="31" t="inlineStr">
        <is>
          <t>Quoted</t>
        </is>
      </c>
      <c r="P3" s="31" t="inlineStr">
        <is>
          <t>Approved</t>
        </is>
      </c>
      <c r="Q3" s="31" t="inlineStr">
        <is>
          <t>Site condition</t>
        </is>
      </c>
      <c r="R3" s="31" t="inlineStr">
        <is>
          <t>Certificate</t>
        </is>
      </c>
      <c r="S3" s="31" t="inlineStr">
        <is>
          <t>Pass</t>
        </is>
      </c>
      <c r="T3" s="31" t="inlineStr">
        <is>
          <t>Med</t>
        </is>
      </c>
      <c r="U3" s="31" t="inlineStr">
        <is>
          <t>Watching</t>
        </is>
      </c>
      <c r="V3" s="31" t="inlineStr">
        <is>
          <t>First</t>
        </is>
      </c>
      <c r="W3" s="31" t="inlineStr">
        <is>
          <t>Schedule of rates</t>
        </is>
      </c>
      <c r="Y3" t="inlineStr">
        <is>
          <t>SPEC</t>
        </is>
      </c>
      <c r="Z3" t="inlineStr">
        <is>
          <t>Specification or spec sheet</t>
        </is>
      </c>
    </row>
    <row r="4">
      <c r="A4" s="31" t="inlineStr">
        <is>
          <t>G2</t>
        </is>
      </c>
      <c r="C4" s="31" t="inlineStr">
        <is>
          <t>N/A</t>
        </is>
      </c>
      <c r="D4" s="31" t="inlineStr">
        <is>
          <t>Done</t>
        </is>
      </c>
      <c r="E4" s="31" t="inlineStr">
        <is>
          <t>Best practice</t>
        </is>
      </c>
      <c r="F4" s="31" t="inlineStr">
        <is>
          <t>Exit check</t>
        </is>
      </c>
      <c r="G4" s="31" t="inlineStr">
        <is>
          <t>Stop</t>
        </is>
      </c>
      <c r="H4" s="31" t="inlineStr">
        <is>
          <t>Ordered</t>
        </is>
      </c>
      <c r="I4" s="31" t="inlineStr">
        <is>
          <t>Lock-up</t>
        </is>
      </c>
      <c r="J4" s="31" t="inlineStr">
        <is>
          <t>Instruction to trade</t>
        </is>
      </c>
      <c r="K4" s="31" t="inlineStr">
        <is>
          <t>Frame</t>
        </is>
      </c>
      <c r="L4" s="31" t="inlineStr">
        <is>
          <t>02</t>
        </is>
      </c>
      <c r="M4" s="31" t="inlineStr">
        <is>
          <t>ENG</t>
        </is>
      </c>
      <c r="N4" s="31" t="inlineStr">
        <is>
          <t>Superseded</t>
        </is>
      </c>
      <c r="O4" s="31" t="inlineStr">
        <is>
          <t>Engaged</t>
        </is>
      </c>
      <c r="P4" s="31" t="inlineStr">
        <is>
          <t>Rejected</t>
        </is>
      </c>
      <c r="Q4" s="31" t="inlineStr">
        <is>
          <t>Design change</t>
        </is>
      </c>
      <c r="R4" s="31" t="inlineStr">
        <is>
          <t>Permit</t>
        </is>
      </c>
      <c r="S4" s="31" t="inlineStr">
        <is>
          <t>Fail</t>
        </is>
      </c>
      <c r="T4" s="31" t="inlineStr">
        <is>
          <t>High</t>
        </is>
      </c>
      <c r="U4" s="31" t="inlineStr">
        <is>
          <t>Closed</t>
        </is>
      </c>
      <c r="V4" s="31" t="inlineStr">
        <is>
          <t>Second</t>
        </is>
      </c>
      <c r="W4" s="31" t="inlineStr">
        <is>
          <t>Labour only</t>
        </is>
      </c>
      <c r="Y4" t="inlineStr">
        <is>
          <t>ENG</t>
        </is>
      </c>
      <c r="Z4" t="inlineStr">
        <is>
          <t>Engineering</t>
        </is>
      </c>
    </row>
    <row r="5">
      <c r="A5" s="31" t="inlineStr">
        <is>
          <t>G3</t>
        </is>
      </c>
      <c r="D5" s="31" t="inlineStr">
        <is>
          <t>N/A</t>
        </is>
      </c>
      <c r="H5" s="31" t="inlineStr">
        <is>
          <t>Delivered</t>
        </is>
      </c>
      <c r="I5" s="31" t="inlineStr">
        <is>
          <t>Services</t>
        </is>
      </c>
      <c r="J5" s="31" t="inlineStr">
        <is>
          <t>Defect</t>
        </is>
      </c>
      <c r="K5" s="31" t="inlineStr">
        <is>
          <t>Insulation</t>
        </is>
      </c>
      <c r="L5" s="31" t="inlineStr">
        <is>
          <t>03</t>
        </is>
      </c>
      <c r="M5" s="31" t="inlineStr">
        <is>
          <t>RPT</t>
        </is>
      </c>
      <c r="O5" s="31" t="inlineStr">
        <is>
          <t>Complete</t>
        </is>
      </c>
      <c r="Q5" s="31" t="inlineStr">
        <is>
          <t>Authority requirement</t>
        </is>
      </c>
      <c r="S5" s="31" t="inlineStr">
        <is>
          <t>N/A</t>
        </is>
      </c>
      <c r="V5" s="31" t="inlineStr">
        <is>
          <t>Basement</t>
        </is>
      </c>
      <c r="W5" s="31" t="inlineStr">
        <is>
          <t>Supply only</t>
        </is>
      </c>
      <c r="Y5" t="inlineStr">
        <is>
          <t>RPT</t>
        </is>
      </c>
      <c r="Z5" t="inlineStr">
        <is>
          <t>Report or assessment (soil, energy, BAL, asbestos, s137B)</t>
        </is>
      </c>
    </row>
    <row r="6">
      <c r="A6" s="31" t="inlineStr">
        <is>
          <t>G4</t>
        </is>
      </c>
      <c r="H6" s="31" t="inlineStr">
        <is>
          <t>Installed</t>
        </is>
      </c>
      <c r="I6" s="31" t="inlineStr">
        <is>
          <t>Fit-out</t>
        </is>
      </c>
      <c r="J6" s="31" t="inlineStr">
        <is>
          <t>Question for RBS</t>
        </is>
      </c>
      <c r="K6" s="31" t="inlineStr">
        <is>
          <t>Waterproofing</t>
        </is>
      </c>
      <c r="L6" s="31" t="inlineStr">
        <is>
          <t>04</t>
        </is>
      </c>
      <c r="M6" s="31" t="inlineStr">
        <is>
          <t>APP</t>
        </is>
      </c>
      <c r="O6" s="31" t="inlineStr">
        <is>
          <t>Not engaged</t>
        </is>
      </c>
      <c r="Q6" s="31" t="inlineStr">
        <is>
          <t>Other</t>
        </is>
      </c>
      <c r="V6" s="31" t="inlineStr">
        <is>
          <t>External</t>
        </is>
      </c>
      <c r="W6" s="31" t="inlineStr">
        <is>
          <t>Supply &amp; install</t>
        </is>
      </c>
      <c r="Y6" t="inlineStr">
        <is>
          <t>APP</t>
        </is>
      </c>
      <c r="Z6" t="inlineStr">
        <is>
          <t>Application</t>
        </is>
      </c>
    </row>
    <row r="7">
      <c r="A7" s="31" t="inlineStr">
        <is>
          <t>G5</t>
        </is>
      </c>
      <c r="I7" s="31" t="inlineStr">
        <is>
          <t>Appliances</t>
        </is>
      </c>
      <c r="J7" s="31" t="inlineStr">
        <is>
          <t>Variation request</t>
        </is>
      </c>
      <c r="K7" s="31" t="inlineStr">
        <is>
          <t>Pre-plaster</t>
        </is>
      </c>
      <c r="L7" s="31" t="inlineStr">
        <is>
          <t>05</t>
        </is>
      </c>
      <c r="M7" s="31" t="inlineStr">
        <is>
          <t>PMT</t>
        </is>
      </c>
      <c r="W7" s="31" t="inlineStr">
        <is>
          <t>Cost plus / do &amp; charge</t>
        </is>
      </c>
      <c r="Y7" t="inlineStr">
        <is>
          <t>PMT</t>
        </is>
      </c>
      <c r="Z7" t="inlineStr">
        <is>
          <t>Permit, consent or approval</t>
        </is>
      </c>
    </row>
    <row r="8">
      <c r="A8" s="31" t="inlineStr">
        <is>
          <t>G6</t>
        </is>
      </c>
      <c r="I8" s="31" t="inlineStr">
        <is>
          <t>External</t>
        </is>
      </c>
      <c r="K8" s="31" t="inlineStr">
        <is>
          <t>Final</t>
        </is>
      </c>
      <c r="L8" s="31" t="inlineStr">
        <is>
          <t>06</t>
        </is>
      </c>
      <c r="M8" s="31" t="inlineStr">
        <is>
          <t>INSP</t>
        </is>
      </c>
      <c r="Y8" t="inlineStr">
        <is>
          <t>INSP</t>
        </is>
      </c>
      <c r="Z8" t="inlineStr">
        <is>
          <t>Inspection report</t>
        </is>
      </c>
    </row>
    <row r="9">
      <c r="A9" s="31" t="inlineStr">
        <is>
          <t>G7</t>
        </is>
      </c>
      <c r="I9" s="31" t="inlineStr">
        <is>
          <t>Other</t>
        </is>
      </c>
      <c r="K9" s="31" t="inlineStr">
        <is>
          <t>Other</t>
        </is>
      </c>
      <c r="L9" s="31" t="inlineStr">
        <is>
          <t>07</t>
        </is>
      </c>
      <c r="M9" s="31" t="inlineStr">
        <is>
          <t>CERT</t>
        </is>
      </c>
      <c r="Y9" t="inlineStr">
        <is>
          <t>CERT</t>
        </is>
      </c>
      <c r="Z9" t="inlineStr">
        <is>
          <t>Certificate</t>
        </is>
      </c>
    </row>
    <row r="10">
      <c r="L10" s="31" t="inlineStr">
        <is>
          <t>08</t>
        </is>
      </c>
      <c r="M10" s="31" t="inlineStr">
        <is>
          <t>RFQ</t>
        </is>
      </c>
      <c r="Y10" t="inlineStr">
        <is>
          <t>RFQ</t>
        </is>
      </c>
      <c r="Z10" t="inlineStr">
        <is>
          <t>RFQ pack or addendum</t>
        </is>
      </c>
    </row>
    <row r="11">
      <c r="L11" s="31" t="inlineStr">
        <is>
          <t>99</t>
        </is>
      </c>
      <c r="M11" s="31" t="inlineStr">
        <is>
          <t>QUO</t>
        </is>
      </c>
      <c r="Y11" t="inlineStr">
        <is>
          <t>QUO</t>
        </is>
      </c>
      <c r="Z11" t="inlineStr">
        <is>
          <t>Quote or tender</t>
        </is>
      </c>
    </row>
    <row r="12">
      <c r="M12" s="31" t="inlineStr">
        <is>
          <t>CON</t>
        </is>
      </c>
      <c r="Y12" t="inlineStr">
        <is>
          <t>CON</t>
        </is>
      </c>
      <c r="Z12" t="inlineStr">
        <is>
          <t>Contract</t>
        </is>
      </c>
    </row>
    <row r="13">
      <c r="M13" s="31" t="inlineStr">
        <is>
          <t>VAR</t>
        </is>
      </c>
      <c r="Y13" t="inlineStr">
        <is>
          <t>VAR</t>
        </is>
      </c>
      <c r="Z13" t="inlineStr">
        <is>
          <t>Variation</t>
        </is>
      </c>
    </row>
    <row r="14">
      <c r="M14" s="31" t="inlineStr">
        <is>
          <t>INV</t>
        </is>
      </c>
      <c r="Y14" t="inlineStr">
        <is>
          <t>INV</t>
        </is>
      </c>
      <c r="Z14" t="inlineStr">
        <is>
          <t>Invoice</t>
        </is>
      </c>
    </row>
    <row r="15">
      <c r="M15" s="31" t="inlineStr">
        <is>
          <t>REC</t>
        </is>
      </c>
      <c r="Y15" t="inlineStr">
        <is>
          <t>REC</t>
        </is>
      </c>
      <c r="Z15" t="inlineStr">
        <is>
          <t>Receipt or payment record</t>
        </is>
      </c>
    </row>
    <row r="16">
      <c r="M16" s="31" t="inlineStr">
        <is>
          <t>INS</t>
        </is>
      </c>
      <c r="Y16" t="inlineStr">
        <is>
          <t>INS</t>
        </is>
      </c>
      <c r="Z16" t="inlineStr">
        <is>
          <t>Insurance policy or certificate of currency</t>
        </is>
      </c>
    </row>
    <row r="17">
      <c r="M17" s="31" t="inlineStr">
        <is>
          <t>LIC</t>
        </is>
      </c>
      <c r="Y17" t="inlineStr">
        <is>
          <t>LIC</t>
        </is>
      </c>
      <c r="Z17" t="inlineStr">
        <is>
          <t>Licence or registration</t>
        </is>
      </c>
    </row>
    <row r="18">
      <c r="M18" s="31" t="inlineStr">
        <is>
          <t>SWMS</t>
        </is>
      </c>
      <c r="Y18" t="inlineStr">
        <is>
          <t>SWMS</t>
        </is>
      </c>
      <c r="Z18" t="inlineStr">
        <is>
          <t>Safe work method statement</t>
        </is>
      </c>
    </row>
    <row r="19">
      <c r="M19" s="31" t="inlineStr">
        <is>
          <t>PHO</t>
        </is>
      </c>
      <c r="Y19" t="inlineStr">
        <is>
          <t>PHO</t>
        </is>
      </c>
      <c r="Z19" t="inlineStr">
        <is>
          <t>Photo</t>
        </is>
      </c>
    </row>
    <row r="20">
      <c r="M20" s="31" t="inlineStr">
        <is>
          <t>COR</t>
        </is>
      </c>
      <c r="Y20" t="inlineStr">
        <is>
          <t>COR</t>
        </is>
      </c>
      <c r="Z20" t="inlineStr">
        <is>
          <t>Correspondence</t>
        </is>
      </c>
    </row>
    <row r="21">
      <c r="M21" s="31" t="inlineStr">
        <is>
          <t>FIN</t>
        </is>
      </c>
      <c r="Y21" t="inlineStr">
        <is>
          <t>FIN</t>
        </is>
      </c>
      <c r="Z21" t="inlineStr">
        <is>
          <t>Finance (loan, valuation, drawdown)</t>
        </is>
      </c>
    </row>
    <row r="22">
      <c r="M22" s="31" t="inlineStr">
        <is>
          <t>PLN</t>
        </is>
      </c>
      <c r="Y22" t="inlineStr">
        <is>
          <t>PLN</t>
        </is>
      </c>
      <c r="Z22" t="inlineStr">
        <is>
          <t>Plan, program or cost plan</t>
        </is>
      </c>
    </row>
    <row r="23">
      <c r="M23" s="31" t="inlineStr">
        <is>
          <t>MAN</t>
        </is>
      </c>
      <c r="Y23" t="inlineStr">
        <is>
          <t>MAN</t>
        </is>
      </c>
      <c r="Z23" t="inlineStr">
        <is>
          <t>Manual</t>
        </is>
      </c>
    </row>
    <row r="24">
      <c r="M24" s="31" t="inlineStr">
        <is>
          <t>WAR</t>
        </is>
      </c>
      <c r="Y24" t="inlineStr">
        <is>
          <t>WAR</t>
        </is>
      </c>
      <c r="Z24" t="inlineStr">
        <is>
          <t>Warranty</t>
        </is>
      </c>
    </row>
    <row r="25">
      <c r="M25" s="31" t="inlineStr">
        <is>
          <t>OTH</t>
        </is>
      </c>
      <c r="Y25" t="inlineStr">
        <is>
          <t>OTH</t>
        </is>
      </c>
      <c r="Z25"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2026-10-17T07:20:05Z</dcterms:created>
  <dcterms:modified xmlns:dcterms="http://purl.org/dc/terms/" xmlns:xsi="http://www.w3.org/2001/XMLSchema-instance" xsi:type="dcterms:W3CDTF">2026-10-17T07:20:05Z</dcterms:modified>
</cp:coreProperties>
</file>